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tricoreplumbing.sharepoint.com/sites/TricoreCivilServices/Shared Documents/00 TCS/01 TCS_Trust/04 Proj. Potential/CQ ROK_TAFE/01.A. Pre Bid/Costings/V.1/"/>
    </mc:Choice>
  </mc:AlternateContent>
  <xr:revisionPtr revIDLastSave="411" documentId="13_ncr:1_{01F4D7FD-A120-4A7F-A391-8F28FB7E81E6}" xr6:coauthVersionLast="47" xr6:coauthVersionMax="47" xr10:uidLastSave="{D70BE9D7-4273-4E80-9C4C-99F006E0BD2E}"/>
  <bookViews>
    <workbookView xWindow="-30828" yWindow="-108" windowWidth="30936" windowHeight="12576" xr2:uid="{117F8D60-0828-402C-A174-EAA172ED20FF}"/>
  </bookViews>
  <sheets>
    <sheet name="TCS $ Sched" sheetId="1" r:id="rId1"/>
    <sheet name="00_ TCS Prelim &amp; OH" sheetId="25" r:id="rId2"/>
    <sheet name="MISC &amp; SITEWIDE" sheetId="38" r:id="rId3"/>
    <sheet name="ROK092" sheetId="18" r:id="rId4"/>
    <sheet name="ROK21A" sheetId="32" r:id="rId5"/>
    <sheet name="ROK019" sheetId="33" r:id="rId6"/>
    <sheet name="ROK033" sheetId="34" r:id="rId7"/>
    <sheet name="ROK034" sheetId="35" r:id="rId8"/>
    <sheet name="ROK036" sheetId="36" r:id="rId9"/>
    <sheet name="ROK076" sheetId="37" r:id="rId10"/>
    <sheet name="LabourProject Rates_Master" sheetId="5" r:id="rId11"/>
    <sheet name="Material Rates_Master" sheetId="6" r:id="rId12"/>
    <sheet name="Equip&amp;HIRE_Master" sheetId="14" r:id="rId13"/>
    <sheet name="Misc Subbie Rates_Master" sheetId="9" r:id="rId14"/>
    <sheet name="Accomodation_Master" sheetId="4" r:id="rId15"/>
  </sheets>
  <externalReferences>
    <externalReference r:id="rId16"/>
    <externalReference r:id="rId17"/>
    <externalReference r:id="rId18"/>
    <externalReference r:id="rId19"/>
  </externalReferences>
  <definedNames>
    <definedName name="aa" localSheetId="1">#REF!</definedName>
    <definedName name="aa" localSheetId="14">#REF!</definedName>
    <definedName name="aa" localSheetId="10">#REF!</definedName>
    <definedName name="aa" localSheetId="11">#REF!</definedName>
    <definedName name="aa" localSheetId="2">'MISC &amp; SITEWIDE'!#REF!</definedName>
    <definedName name="aa" localSheetId="13">#REF!</definedName>
    <definedName name="aa" localSheetId="5">#REF!</definedName>
    <definedName name="aa" localSheetId="6">#REF!</definedName>
    <definedName name="aa" localSheetId="7">#REF!</definedName>
    <definedName name="aa" localSheetId="8">#REF!</definedName>
    <definedName name="aa" localSheetId="9">#REF!</definedName>
    <definedName name="aa" localSheetId="3">#REF!</definedName>
    <definedName name="aa" localSheetId="4">#REF!</definedName>
    <definedName name="aa" localSheetId="0">#REF!</definedName>
    <definedName name="aa">#REF!</definedName>
    <definedName name="bh">#REF!</definedName>
    <definedName name="Civil4" localSheetId="1">#REF!</definedName>
    <definedName name="Civil4" localSheetId="14">#REF!</definedName>
    <definedName name="Civil4" localSheetId="10">#REF!</definedName>
    <definedName name="Civil4" localSheetId="11">#REF!</definedName>
    <definedName name="Civil4" localSheetId="2">'MISC &amp; SITEWIDE'!#REF!</definedName>
    <definedName name="Civil4" localSheetId="13">#REF!</definedName>
    <definedName name="Civil4" localSheetId="5">#REF!</definedName>
    <definedName name="Civil4" localSheetId="6">#REF!</definedName>
    <definedName name="Civil4" localSheetId="7">#REF!</definedName>
    <definedName name="Civil4" localSheetId="8">#REF!</definedName>
    <definedName name="Civil4" localSheetId="9">#REF!</definedName>
    <definedName name="Civil4" localSheetId="3">#REF!</definedName>
    <definedName name="Civil4" localSheetId="4">#REF!</definedName>
    <definedName name="Civil4" localSheetId="0">#REF!</definedName>
    <definedName name="Civil4">#REF!</definedName>
    <definedName name="d" localSheetId="1">#REF!</definedName>
    <definedName name="d" localSheetId="14">#REF!</definedName>
    <definedName name="d" localSheetId="10">#REF!</definedName>
    <definedName name="d" localSheetId="11">#REF!</definedName>
    <definedName name="d" localSheetId="2">'MISC &amp; SITEWIDE'!#REF!</definedName>
    <definedName name="d" localSheetId="13">#REF!</definedName>
    <definedName name="d" localSheetId="5">#REF!</definedName>
    <definedName name="d" localSheetId="6">#REF!</definedName>
    <definedName name="d" localSheetId="7">#REF!</definedName>
    <definedName name="d" localSheetId="8">#REF!</definedName>
    <definedName name="d" localSheetId="9">#REF!</definedName>
    <definedName name="d" localSheetId="3">#REF!</definedName>
    <definedName name="d" localSheetId="4">#REF!</definedName>
    <definedName name="d" localSheetId="0">#REF!</definedName>
    <definedName name="d">#REF!</definedName>
    <definedName name="date" localSheetId="1">#REF!</definedName>
    <definedName name="date" localSheetId="14">#REF!</definedName>
    <definedName name="date" localSheetId="10">#REF!</definedName>
    <definedName name="date" localSheetId="11">#REF!</definedName>
    <definedName name="date" localSheetId="2">'MISC &amp; SITEWIDE'!#REF!</definedName>
    <definedName name="date" localSheetId="13">#REF!</definedName>
    <definedName name="date" localSheetId="5">#REF!</definedName>
    <definedName name="date" localSheetId="6">#REF!</definedName>
    <definedName name="date" localSheetId="7">#REF!</definedName>
    <definedName name="date" localSheetId="8">#REF!</definedName>
    <definedName name="date" localSheetId="9">#REF!</definedName>
    <definedName name="date" localSheetId="3">#REF!</definedName>
    <definedName name="date" localSheetId="4">#REF!</definedName>
    <definedName name="date" localSheetId="0">#REF!</definedName>
    <definedName name="date">#REF!</definedName>
    <definedName name="daz" localSheetId="1">#REF!</definedName>
    <definedName name="daz" localSheetId="14">#REF!</definedName>
    <definedName name="daz" localSheetId="10">#REF!</definedName>
    <definedName name="daz" localSheetId="2">'MISC &amp; SITEWIDE'!#REF!</definedName>
    <definedName name="daz" localSheetId="13">#REF!</definedName>
    <definedName name="daz" localSheetId="5">#REF!</definedName>
    <definedName name="daz" localSheetId="6">#REF!</definedName>
    <definedName name="daz" localSheetId="7">#REF!</definedName>
    <definedName name="daz" localSheetId="8">#REF!</definedName>
    <definedName name="daz" localSheetId="9">#REF!</definedName>
    <definedName name="daz" localSheetId="3">#REF!</definedName>
    <definedName name="daz" localSheetId="4">#REF!</definedName>
    <definedName name="daz" localSheetId="0">#REF!</definedName>
    <definedName name="daz">#REF!</definedName>
    <definedName name="ddd" localSheetId="1">#REF!</definedName>
    <definedName name="ddd" localSheetId="14">#REF!</definedName>
    <definedName name="ddd" localSheetId="10">#REF!</definedName>
    <definedName name="ddd" localSheetId="2">'MISC &amp; SITEWIDE'!#REF!</definedName>
    <definedName name="ddd" localSheetId="13">#REF!</definedName>
    <definedName name="ddd" localSheetId="5">#REF!</definedName>
    <definedName name="ddd" localSheetId="6">#REF!</definedName>
    <definedName name="ddd" localSheetId="7">#REF!</definedName>
    <definedName name="ddd" localSheetId="8">#REF!</definedName>
    <definedName name="ddd" localSheetId="9">#REF!</definedName>
    <definedName name="ddd" localSheetId="3">#REF!</definedName>
    <definedName name="ddd" localSheetId="4">#REF!</definedName>
    <definedName name="ddd" localSheetId="0">#REF!</definedName>
    <definedName name="ddd">#REF!</definedName>
    <definedName name="for" localSheetId="1">#REF!</definedName>
    <definedName name="for" localSheetId="14">#REF!</definedName>
    <definedName name="for" localSheetId="10">#REF!</definedName>
    <definedName name="for" localSheetId="2">'MISC &amp; SITEWIDE'!#REF!</definedName>
    <definedName name="for" localSheetId="13">#REF!</definedName>
    <definedName name="for" localSheetId="5">#REF!</definedName>
    <definedName name="for" localSheetId="6">#REF!</definedName>
    <definedName name="for" localSheetId="7">#REF!</definedName>
    <definedName name="for" localSheetId="8">#REF!</definedName>
    <definedName name="for" localSheetId="9">#REF!</definedName>
    <definedName name="for" localSheetId="3">#REF!</definedName>
    <definedName name="for" localSheetId="4">#REF!</definedName>
    <definedName name="for" localSheetId="0">#REF!</definedName>
    <definedName name="for">#REF!</definedName>
    <definedName name="job" localSheetId="1">#REF!</definedName>
    <definedName name="job" localSheetId="14">#REF!</definedName>
    <definedName name="job" localSheetId="10">#REF!</definedName>
    <definedName name="job" localSheetId="2">'MISC &amp; SITEWIDE'!#REF!</definedName>
    <definedName name="job" localSheetId="13">#REF!</definedName>
    <definedName name="job" localSheetId="5">#REF!</definedName>
    <definedName name="job" localSheetId="6">#REF!</definedName>
    <definedName name="job" localSheetId="7">#REF!</definedName>
    <definedName name="job" localSheetId="8">#REF!</definedName>
    <definedName name="job" localSheetId="9">#REF!</definedName>
    <definedName name="job" localSheetId="3">#REF!</definedName>
    <definedName name="job" localSheetId="4">#REF!</definedName>
    <definedName name="job" localSheetId="0">#REF!</definedName>
    <definedName name="job">#REF!</definedName>
    <definedName name="No" localSheetId="1">#REF!</definedName>
    <definedName name="No" localSheetId="14">#REF!</definedName>
    <definedName name="No" localSheetId="10">#REF!</definedName>
    <definedName name="No" localSheetId="2">'MISC &amp; SITEWIDE'!#REF!</definedName>
    <definedName name="No" localSheetId="13">#REF!</definedName>
    <definedName name="No" localSheetId="5">#REF!</definedName>
    <definedName name="No" localSheetId="6">#REF!</definedName>
    <definedName name="No" localSheetId="7">#REF!</definedName>
    <definedName name="No" localSheetId="8">#REF!</definedName>
    <definedName name="No" localSheetId="9">#REF!</definedName>
    <definedName name="No" localSheetId="3">#REF!</definedName>
    <definedName name="No" localSheetId="4">#REF!</definedName>
    <definedName name="No" localSheetId="0">#REF!</definedName>
    <definedName name="No">#REF!</definedName>
    <definedName name="_xlnm.Print_Area" localSheetId="11">'Material Rates_Master'!$A$1:$B$241</definedName>
    <definedName name="_xlnm.Print_Area" localSheetId="0">'TCS $ Sched'!$B$1:$N$79</definedName>
    <definedName name="qqq" localSheetId="1">#REF!</definedName>
    <definedName name="qqq" localSheetId="14">#REF!</definedName>
    <definedName name="qqq" localSheetId="10">#REF!</definedName>
    <definedName name="qqq" localSheetId="11">#REF!</definedName>
    <definedName name="qqq" localSheetId="2">'MISC &amp; SITEWIDE'!#REF!</definedName>
    <definedName name="qqq" localSheetId="13">#REF!</definedName>
    <definedName name="qqq" localSheetId="5">#REF!</definedName>
    <definedName name="qqq" localSheetId="6">#REF!</definedName>
    <definedName name="qqq" localSheetId="7">#REF!</definedName>
    <definedName name="qqq" localSheetId="8">#REF!</definedName>
    <definedName name="qqq" localSheetId="9">#REF!</definedName>
    <definedName name="qqq" localSheetId="3">#REF!</definedName>
    <definedName name="qqq" localSheetId="4">#REF!</definedName>
    <definedName name="qqq" localSheetId="0">#REF!</definedName>
    <definedName name="qqq">#REF!</definedName>
    <definedName name="site" localSheetId="1">#REF!</definedName>
    <definedName name="site" localSheetId="14">#REF!</definedName>
    <definedName name="site" localSheetId="10">#REF!</definedName>
    <definedName name="site" localSheetId="11">#REF!</definedName>
    <definedName name="site" localSheetId="2">'MISC &amp; SITEWIDE'!#REF!</definedName>
    <definedName name="site" localSheetId="13">#REF!</definedName>
    <definedName name="site" localSheetId="5">#REF!</definedName>
    <definedName name="site" localSheetId="6">#REF!</definedName>
    <definedName name="site" localSheetId="7">#REF!</definedName>
    <definedName name="site" localSheetId="8">#REF!</definedName>
    <definedName name="site" localSheetId="9">#REF!</definedName>
    <definedName name="site" localSheetId="3">#REF!</definedName>
    <definedName name="site" localSheetId="4">#REF!</definedName>
    <definedName name="site" localSheetId="0">#REF!</definedName>
    <definedName name="site">#REF!</definedName>
    <definedName name="site1" localSheetId="1">#REF!</definedName>
    <definedName name="site1" localSheetId="14">#REF!</definedName>
    <definedName name="site1" localSheetId="10">#REF!</definedName>
    <definedName name="site1" localSheetId="11">#REF!</definedName>
    <definedName name="site1" localSheetId="2">'MISC &amp; SITEWIDE'!#REF!</definedName>
    <definedName name="site1" localSheetId="13">#REF!</definedName>
    <definedName name="site1" localSheetId="5">#REF!</definedName>
    <definedName name="site1" localSheetId="6">#REF!</definedName>
    <definedName name="site1" localSheetId="7">#REF!</definedName>
    <definedName name="site1" localSheetId="8">#REF!</definedName>
    <definedName name="site1" localSheetId="9">#REF!</definedName>
    <definedName name="site1" localSheetId="3">#REF!</definedName>
    <definedName name="site1" localSheetId="4">#REF!</definedName>
    <definedName name="site1" localSheetId="0">#REF!</definedName>
    <definedName name="site1">#REF!</definedName>
    <definedName name="site2" localSheetId="1">#REF!</definedName>
    <definedName name="site2" localSheetId="14">#REF!</definedName>
    <definedName name="site2" localSheetId="10">#REF!</definedName>
    <definedName name="site2" localSheetId="2">'MISC &amp; SITEWIDE'!#REF!</definedName>
    <definedName name="site2" localSheetId="13">#REF!</definedName>
    <definedName name="site2" localSheetId="5">#REF!</definedName>
    <definedName name="site2" localSheetId="6">#REF!</definedName>
    <definedName name="site2" localSheetId="7">#REF!</definedName>
    <definedName name="site2" localSheetId="8">#REF!</definedName>
    <definedName name="site2" localSheetId="9">#REF!</definedName>
    <definedName name="site2" localSheetId="3">#REF!</definedName>
    <definedName name="site2" localSheetId="4">#REF!</definedName>
    <definedName name="site2" localSheetId="0">#REF!</definedName>
    <definedName name="site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7" i="25" l="1"/>
  <c r="R59" i="1"/>
  <c r="W110" i="1"/>
  <c r="F896" i="18"/>
  <c r="Z17" i="1"/>
  <c r="C920" i="18"/>
  <c r="I949" i="18" s="1"/>
  <c r="B23" i="37"/>
  <c r="B22" i="37"/>
  <c r="B21" i="37"/>
  <c r="B20" i="37"/>
  <c r="B23" i="36"/>
  <c r="B22" i="36"/>
  <c r="B21" i="36"/>
  <c r="B20" i="36"/>
  <c r="B23" i="35"/>
  <c r="B22" i="35"/>
  <c r="B21" i="35"/>
  <c r="B20" i="35"/>
  <c r="B23" i="34"/>
  <c r="B22" i="34"/>
  <c r="B21" i="34"/>
  <c r="B20" i="34"/>
  <c r="B23" i="33"/>
  <c r="B22" i="33"/>
  <c r="B21" i="33"/>
  <c r="B20" i="33"/>
  <c r="B23" i="32"/>
  <c r="B22" i="32"/>
  <c r="B21" i="32"/>
  <c r="B20" i="32"/>
  <c r="B23" i="18"/>
  <c r="B22" i="18"/>
  <c r="B21" i="18"/>
  <c r="B20" i="18"/>
  <c r="B52" i="5"/>
  <c r="B60" i="5" s="1"/>
  <c r="B68" i="5" s="1"/>
  <c r="B76" i="5" s="1"/>
  <c r="B18" i="18"/>
  <c r="F714" i="38"/>
  <c r="F715" i="38"/>
  <c r="F716" i="38"/>
  <c r="F717" i="38"/>
  <c r="F713" i="38"/>
  <c r="F711" i="38"/>
  <c r="F779" i="18"/>
  <c r="F866" i="37"/>
  <c r="F864" i="37"/>
  <c r="F862" i="37"/>
  <c r="F857" i="37"/>
  <c r="F859" i="37"/>
  <c r="F854" i="37"/>
  <c r="F849" i="37"/>
  <c r="F763" i="37"/>
  <c r="F761" i="37"/>
  <c r="F831" i="36"/>
  <c r="F746" i="36"/>
  <c r="F738" i="36"/>
  <c r="F739" i="36"/>
  <c r="F740" i="36"/>
  <c r="F741" i="36"/>
  <c r="F742" i="36"/>
  <c r="F743" i="36"/>
  <c r="F744" i="36"/>
  <c r="F745" i="36"/>
  <c r="F747" i="36"/>
  <c r="F756" i="34"/>
  <c r="F791" i="38"/>
  <c r="F790" i="38"/>
  <c r="F789" i="38"/>
  <c r="W88" i="1"/>
  <c r="F687" i="33"/>
  <c r="B152" i="38"/>
  <c r="C152" i="38"/>
  <c r="B153" i="38"/>
  <c r="C153" i="38"/>
  <c r="B154" i="38"/>
  <c r="C154" i="38"/>
  <c r="B155" i="38"/>
  <c r="C155" i="38"/>
  <c r="B156" i="38"/>
  <c r="C156" i="38"/>
  <c r="B158" i="38"/>
  <c r="C158" i="38"/>
  <c r="B159" i="38"/>
  <c r="C159" i="38"/>
  <c r="B160" i="38"/>
  <c r="C160" i="38"/>
  <c r="F162" i="38"/>
  <c r="C169" i="38"/>
  <c r="C170" i="38"/>
  <c r="C171" i="38"/>
  <c r="F172" i="38"/>
  <c r="C173" i="38"/>
  <c r="E176" i="38"/>
  <c r="C177" i="38"/>
  <c r="C178" i="38"/>
  <c r="C179" i="38"/>
  <c r="C180" i="38"/>
  <c r="C181" i="38"/>
  <c r="C182" i="38"/>
  <c r="C183" i="38"/>
  <c r="C184" i="38"/>
  <c r="C185" i="38"/>
  <c r="C186" i="38"/>
  <c r="C187" i="38"/>
  <c r="C188" i="38"/>
  <c r="C189" i="38"/>
  <c r="C190" i="38"/>
  <c r="C191" i="38"/>
  <c r="C192" i="38"/>
  <c r="C193" i="38"/>
  <c r="C194" i="38"/>
  <c r="F194" i="38"/>
  <c r="C195" i="38"/>
  <c r="C196" i="38"/>
  <c r="C197" i="38"/>
  <c r="C198" i="38"/>
  <c r="C199" i="38"/>
  <c r="C200" i="38"/>
  <c r="E200" i="38"/>
  <c r="F200" i="38" s="1"/>
  <c r="C201" i="38"/>
  <c r="C202" i="38"/>
  <c r="C203" i="38"/>
  <c r="C204" i="38"/>
  <c r="C205" i="38"/>
  <c r="C206" i="38"/>
  <c r="C207" i="38"/>
  <c r="C208" i="38"/>
  <c r="C209" i="38"/>
  <c r="C210" i="38"/>
  <c r="C211" i="38"/>
  <c r="C212" i="38"/>
  <c r="C213" i="38"/>
  <c r="C214" i="38"/>
  <c r="C215" i="38"/>
  <c r="C216" i="38"/>
  <c r="F217" i="38"/>
  <c r="F218" i="38"/>
  <c r="C219" i="38"/>
  <c r="C220" i="38"/>
  <c r="C221" i="38"/>
  <c r="C222" i="38"/>
  <c r="C223" i="38"/>
  <c r="C224" i="38"/>
  <c r="C225" i="38"/>
  <c r="C226" i="38"/>
  <c r="E226" i="38"/>
  <c r="F226" i="38" s="1"/>
  <c r="C227" i="38"/>
  <c r="C228" i="38"/>
  <c r="C229" i="38"/>
  <c r="C230" i="38"/>
  <c r="C231" i="38"/>
  <c r="C232" i="38"/>
  <c r="C233" i="38"/>
  <c r="C234" i="38"/>
  <c r="C235" i="38"/>
  <c r="C236" i="38"/>
  <c r="C237" i="38"/>
  <c r="C238" i="38"/>
  <c r="C239" i="38"/>
  <c r="C240" i="38"/>
  <c r="C241" i="38"/>
  <c r="C242" i="38"/>
  <c r="C243" i="38"/>
  <c r="C244" i="38"/>
  <c r="C245" i="38"/>
  <c r="C246" i="38"/>
  <c r="C247" i="38"/>
  <c r="C248" i="38"/>
  <c r="C249" i="38"/>
  <c r="C250" i="38"/>
  <c r="C251" i="38"/>
  <c r="C252" i="38"/>
  <c r="C253" i="38"/>
  <c r="C254" i="38"/>
  <c r="E254" i="38"/>
  <c r="F254" i="38" s="1"/>
  <c r="C255" i="38"/>
  <c r="C256" i="38"/>
  <c r="C257" i="38"/>
  <c r="C258" i="38"/>
  <c r="C259" i="38"/>
  <c r="C260" i="38"/>
  <c r="C261" i="38"/>
  <c r="E261" i="38"/>
  <c r="F261" i="38" s="1"/>
  <c r="C262" i="38"/>
  <c r="C263" i="38"/>
  <c r="C264" i="38"/>
  <c r="C265" i="38"/>
  <c r="C266" i="38"/>
  <c r="C267" i="38"/>
  <c r="C268" i="38"/>
  <c r="C269" i="38"/>
  <c r="C270" i="38"/>
  <c r="E270" i="38"/>
  <c r="F270" i="38" s="1"/>
  <c r="C271" i="38"/>
  <c r="C272" i="38"/>
  <c r="C273" i="38"/>
  <c r="C274" i="38"/>
  <c r="F275" i="38"/>
  <c r="F276" i="38"/>
  <c r="C281" i="38"/>
  <c r="C282" i="38"/>
  <c r="C283" i="38"/>
  <c r="C284" i="38"/>
  <c r="C285" i="38"/>
  <c r="C286" i="38"/>
  <c r="E286" i="38"/>
  <c r="F286" i="38" s="1"/>
  <c r="C287" i="38"/>
  <c r="C288" i="38"/>
  <c r="C289" i="38"/>
  <c r="C290" i="38"/>
  <c r="C291" i="38"/>
  <c r="C292" i="38"/>
  <c r="C293" i="38"/>
  <c r="C294" i="38"/>
  <c r="C295" i="38"/>
  <c r="C296" i="38"/>
  <c r="C297" i="38"/>
  <c r="C298" i="38"/>
  <c r="C299" i="38"/>
  <c r="E299" i="38"/>
  <c r="F299" i="38"/>
  <c r="C300" i="38"/>
  <c r="C301" i="38"/>
  <c r="C302" i="38"/>
  <c r="E302" i="38"/>
  <c r="F302" i="38" s="1"/>
  <c r="C303" i="38"/>
  <c r="C304" i="38"/>
  <c r="C305" i="38"/>
  <c r="C306" i="38"/>
  <c r="C307" i="38"/>
  <c r="C308" i="38"/>
  <c r="C309" i="38"/>
  <c r="E309" i="38"/>
  <c r="F309" i="38" s="1"/>
  <c r="C310" i="38"/>
  <c r="C311" i="38"/>
  <c r="C312" i="38"/>
  <c r="E312" i="38"/>
  <c r="F312" i="38" s="1"/>
  <c r="C313" i="38"/>
  <c r="C314" i="38"/>
  <c r="C315" i="38"/>
  <c r="C316" i="38"/>
  <c r="C317" i="38"/>
  <c r="C318" i="38"/>
  <c r="C319" i="38"/>
  <c r="C320" i="38"/>
  <c r="C321" i="38"/>
  <c r="E321" i="38"/>
  <c r="F321" i="38" s="1"/>
  <c r="E322" i="38"/>
  <c r="F322" i="38" s="1"/>
  <c r="F323" i="38"/>
  <c r="F324" i="38"/>
  <c r="F325" i="38"/>
  <c r="C326" i="38"/>
  <c r="C327" i="38"/>
  <c r="C328" i="38"/>
  <c r="C329" i="38"/>
  <c r="C330" i="38"/>
  <c r="E331" i="38"/>
  <c r="F331" i="38" s="1"/>
  <c r="C332" i="38"/>
  <c r="C333" i="38"/>
  <c r="C334" i="38"/>
  <c r="C335" i="38"/>
  <c r="C336" i="38"/>
  <c r="E336" i="38"/>
  <c r="F336" i="38" s="1"/>
  <c r="C337" i="38"/>
  <c r="C338" i="38"/>
  <c r="E338" i="38"/>
  <c r="F338" i="38" s="1"/>
  <c r="C339" i="38"/>
  <c r="C340" i="38"/>
  <c r="C341" i="38"/>
  <c r="C342" i="38"/>
  <c r="C343" i="38"/>
  <c r="C344" i="38"/>
  <c r="C345" i="38"/>
  <c r="C346" i="38"/>
  <c r="C351" i="38"/>
  <c r="F351" i="38"/>
  <c r="C352" i="38"/>
  <c r="E352" i="38"/>
  <c r="F352" i="38" s="1"/>
  <c r="F353" i="38"/>
  <c r="C354" i="38"/>
  <c r="E354" i="38"/>
  <c r="F354" i="38" s="1"/>
  <c r="C355" i="38"/>
  <c r="C356" i="38"/>
  <c r="F361" i="38"/>
  <c r="F362" i="38"/>
  <c r="F363" i="38"/>
  <c r="F364" i="38"/>
  <c r="F365" i="38"/>
  <c r="F366" i="38"/>
  <c r="F367" i="38"/>
  <c r="E368" i="38"/>
  <c r="F368" i="38" s="1"/>
  <c r="F369" i="38"/>
  <c r="F370" i="38"/>
  <c r="F371" i="38"/>
  <c r="F372" i="38"/>
  <c r="F373" i="38"/>
  <c r="F374" i="38"/>
  <c r="F375" i="38"/>
  <c r="F376" i="38"/>
  <c r="F377" i="38"/>
  <c r="F378" i="38"/>
  <c r="F379" i="38"/>
  <c r="F380" i="38"/>
  <c r="F381" i="38"/>
  <c r="F382" i="38"/>
  <c r="F383" i="38"/>
  <c r="F384" i="38"/>
  <c r="F385" i="38"/>
  <c r="F386" i="38"/>
  <c r="F387" i="38"/>
  <c r="F388" i="38"/>
  <c r="F389" i="38"/>
  <c r="F390" i="38"/>
  <c r="F391" i="38"/>
  <c r="F392" i="38"/>
  <c r="F393" i="38"/>
  <c r="F394" i="38"/>
  <c r="F395" i="38"/>
  <c r="F396" i="38"/>
  <c r="F397" i="38"/>
  <c r="F398" i="38"/>
  <c r="F399" i="38"/>
  <c r="F400" i="38"/>
  <c r="F401" i="38"/>
  <c r="F402" i="38"/>
  <c r="F403" i="38"/>
  <c r="F404" i="38"/>
  <c r="F405" i="38"/>
  <c r="F406" i="38"/>
  <c r="F407" i="38"/>
  <c r="F408" i="38"/>
  <c r="F409" i="38"/>
  <c r="F410" i="38"/>
  <c r="F411" i="38"/>
  <c r="F412" i="38"/>
  <c r="F413" i="38"/>
  <c r="F414" i="38"/>
  <c r="F415" i="38"/>
  <c r="F416" i="38"/>
  <c r="F417" i="38"/>
  <c r="E418" i="38"/>
  <c r="F418" i="38" s="1"/>
  <c r="E419" i="38"/>
  <c r="F419" i="38" s="1"/>
  <c r="E420" i="38"/>
  <c r="F420" i="38"/>
  <c r="F421" i="38"/>
  <c r="E422" i="38"/>
  <c r="F422" i="38" s="1"/>
  <c r="E423" i="38"/>
  <c r="F423" i="38" s="1"/>
  <c r="F424" i="38"/>
  <c r="F425" i="38"/>
  <c r="E426" i="38"/>
  <c r="F426" i="38" s="1"/>
  <c r="E427" i="38"/>
  <c r="F427" i="38" s="1"/>
  <c r="F428" i="38"/>
  <c r="F429" i="38"/>
  <c r="F430" i="38"/>
  <c r="F431" i="38"/>
  <c r="F432" i="38"/>
  <c r="F433" i="38"/>
  <c r="F435" i="38"/>
  <c r="F436" i="38"/>
  <c r="F437" i="38"/>
  <c r="F438" i="38"/>
  <c r="F439" i="38"/>
  <c r="F440" i="38"/>
  <c r="F441" i="38"/>
  <c r="F442" i="38"/>
  <c r="F443" i="38"/>
  <c r="F444" i="38"/>
  <c r="F445" i="38"/>
  <c r="F446" i="38"/>
  <c r="F447" i="38"/>
  <c r="F448" i="38"/>
  <c r="F449" i="38"/>
  <c r="F450" i="38"/>
  <c r="F451" i="38"/>
  <c r="F452" i="38"/>
  <c r="F453" i="38"/>
  <c r="F454" i="38"/>
  <c r="F455" i="38"/>
  <c r="F456" i="38"/>
  <c r="F457" i="38"/>
  <c r="F458" i="38"/>
  <c r="F459" i="38"/>
  <c r="F460" i="38"/>
  <c r="F461" i="38"/>
  <c r="F462" i="38"/>
  <c r="F463" i="38"/>
  <c r="F464" i="38"/>
  <c r="F465" i="38"/>
  <c r="F466" i="38"/>
  <c r="F467" i="38"/>
  <c r="F468" i="38"/>
  <c r="F469" i="38"/>
  <c r="F470" i="38"/>
  <c r="F471" i="38"/>
  <c r="F472" i="38"/>
  <c r="F473" i="38"/>
  <c r="F474" i="38"/>
  <c r="F475" i="38"/>
  <c r="F476" i="38"/>
  <c r="F477" i="38"/>
  <c r="F478" i="38"/>
  <c r="F479" i="38"/>
  <c r="F480" i="38"/>
  <c r="F481" i="38"/>
  <c r="F482" i="38"/>
  <c r="F483" i="38"/>
  <c r="F484" i="38"/>
  <c r="F485" i="38"/>
  <c r="F486" i="38"/>
  <c r="F487" i="38"/>
  <c r="F488" i="38"/>
  <c r="F489" i="38"/>
  <c r="F490" i="38"/>
  <c r="F491" i="38"/>
  <c r="F492" i="38"/>
  <c r="F493" i="38"/>
  <c r="F494" i="38"/>
  <c r="F495" i="38"/>
  <c r="F496" i="38"/>
  <c r="F497" i="38"/>
  <c r="F498" i="38"/>
  <c r="F499" i="38"/>
  <c r="F500" i="38"/>
  <c r="F501" i="38"/>
  <c r="F502" i="38"/>
  <c r="F503" i="38"/>
  <c r="F504" i="38"/>
  <c r="F505" i="38"/>
  <c r="F506" i="38"/>
  <c r="F507" i="38"/>
  <c r="F508" i="38"/>
  <c r="F509" i="38"/>
  <c r="F510" i="38"/>
  <c r="F511" i="38"/>
  <c r="F512" i="38"/>
  <c r="F513" i="38"/>
  <c r="F514" i="38"/>
  <c r="F515" i="38"/>
  <c r="F516" i="38"/>
  <c r="F517" i="38"/>
  <c r="F518" i="38"/>
  <c r="F519" i="38"/>
  <c r="F520" i="38"/>
  <c r="F521" i="38"/>
  <c r="F522" i="38"/>
  <c r="F523" i="38"/>
  <c r="F524" i="38"/>
  <c r="F525" i="38"/>
  <c r="F526" i="38"/>
  <c r="F527" i="38"/>
  <c r="F528" i="38"/>
  <c r="F529" i="38"/>
  <c r="F530" i="38"/>
  <c r="F531" i="38"/>
  <c r="F532" i="38"/>
  <c r="F533" i="38"/>
  <c r="F534" i="38"/>
  <c r="F535" i="38"/>
  <c r="F536" i="38"/>
  <c r="F537" i="38"/>
  <c r="F538" i="38"/>
  <c r="F539" i="38"/>
  <c r="F540" i="38"/>
  <c r="F541" i="38"/>
  <c r="F542" i="38"/>
  <c r="F543" i="38"/>
  <c r="F544" i="38"/>
  <c r="F545" i="38"/>
  <c r="F546" i="38"/>
  <c r="F547" i="38"/>
  <c r="F548" i="38"/>
  <c r="F549" i="38"/>
  <c r="F550" i="38"/>
  <c r="F551" i="38"/>
  <c r="F552" i="38"/>
  <c r="F553" i="38"/>
  <c r="F554" i="38"/>
  <c r="F555" i="38"/>
  <c r="F556" i="38"/>
  <c r="F557" i="38"/>
  <c r="F558" i="38"/>
  <c r="F559" i="38"/>
  <c r="F560" i="38"/>
  <c r="F561" i="38"/>
  <c r="F562" i="38"/>
  <c r="F563" i="38"/>
  <c r="F564" i="38"/>
  <c r="F565" i="38"/>
  <c r="F566" i="38"/>
  <c r="F567" i="38"/>
  <c r="F568" i="38"/>
  <c r="F569" i="38"/>
  <c r="F570" i="38"/>
  <c r="F571" i="38"/>
  <c r="F572" i="38"/>
  <c r="F573" i="38"/>
  <c r="F574" i="38"/>
  <c r="F575" i="38"/>
  <c r="F576" i="38"/>
  <c r="F577" i="38"/>
  <c r="F578" i="38"/>
  <c r="F579" i="38"/>
  <c r="F580" i="38"/>
  <c r="F581" i="38"/>
  <c r="F582" i="38"/>
  <c r="F583" i="38"/>
  <c r="F584" i="38"/>
  <c r="F585" i="38"/>
  <c r="F586" i="38"/>
  <c r="F587" i="38"/>
  <c r="F588" i="38"/>
  <c r="F589" i="38"/>
  <c r="F590" i="38"/>
  <c r="F591" i="38"/>
  <c r="F592" i="38"/>
  <c r="F593" i="38"/>
  <c r="F594" i="38"/>
  <c r="F595" i="38"/>
  <c r="F596" i="38"/>
  <c r="F597" i="38"/>
  <c r="F598" i="38"/>
  <c r="F599" i="38"/>
  <c r="F600" i="38"/>
  <c r="F601" i="38"/>
  <c r="F602" i="38"/>
  <c r="F603" i="38"/>
  <c r="F604" i="38"/>
  <c r="F605" i="38"/>
  <c r="F606" i="38"/>
  <c r="F607" i="38"/>
  <c r="F608" i="38"/>
  <c r="F609" i="38"/>
  <c r="F610" i="38"/>
  <c r="F611" i="38"/>
  <c r="F612" i="38"/>
  <c r="F613" i="38"/>
  <c r="F614" i="38"/>
  <c r="F615" i="38"/>
  <c r="F616" i="38"/>
  <c r="F617" i="38"/>
  <c r="F618" i="38"/>
  <c r="F619" i="38"/>
  <c r="F620" i="38"/>
  <c r="F621" i="38"/>
  <c r="F622" i="38"/>
  <c r="F623" i="38"/>
  <c r="F624" i="38"/>
  <c r="F625" i="38"/>
  <c r="F626" i="38"/>
  <c r="F627" i="38"/>
  <c r="F628" i="38"/>
  <c r="F629" i="38"/>
  <c r="F630" i="38"/>
  <c r="F631" i="38"/>
  <c r="F632" i="38"/>
  <c r="F633" i="38"/>
  <c r="F634" i="38"/>
  <c r="F635" i="38"/>
  <c r="F636" i="38"/>
  <c r="F637" i="38"/>
  <c r="F638" i="38"/>
  <c r="F639" i="38"/>
  <c r="F640" i="38"/>
  <c r="F641" i="38"/>
  <c r="F642" i="38"/>
  <c r="F643" i="38"/>
  <c r="F644" i="38"/>
  <c r="F645" i="38"/>
  <c r="F646" i="38"/>
  <c r="F647" i="38"/>
  <c r="F648" i="38"/>
  <c r="F649" i="38"/>
  <c r="F650" i="38"/>
  <c r="F651" i="38"/>
  <c r="F652" i="38"/>
  <c r="F653" i="38"/>
  <c r="F654" i="38"/>
  <c r="F655" i="38"/>
  <c r="F656" i="38"/>
  <c r="F657" i="38"/>
  <c r="F658" i="38"/>
  <c r="F659" i="38"/>
  <c r="F660" i="38"/>
  <c r="F661" i="38"/>
  <c r="F662" i="38"/>
  <c r="F663" i="38"/>
  <c r="F664" i="38"/>
  <c r="F665" i="38"/>
  <c r="F666" i="38"/>
  <c r="F667" i="38"/>
  <c r="F668" i="38"/>
  <c r="F669" i="38"/>
  <c r="F670" i="38"/>
  <c r="F671" i="38"/>
  <c r="F672" i="38"/>
  <c r="F673" i="38"/>
  <c r="F674" i="38"/>
  <c r="F675" i="38"/>
  <c r="F676" i="38"/>
  <c r="F677" i="38"/>
  <c r="F678" i="38"/>
  <c r="F679" i="38"/>
  <c r="F680" i="38"/>
  <c r="F681" i="38"/>
  <c r="F682" i="38"/>
  <c r="F683" i="38"/>
  <c r="F684" i="38"/>
  <c r="F685" i="38"/>
  <c r="F686" i="38"/>
  <c r="F687" i="38"/>
  <c r="F688" i="38"/>
  <c r="F689" i="38"/>
  <c r="F690" i="38"/>
  <c r="F691" i="38"/>
  <c r="F692" i="38"/>
  <c r="F693" i="38"/>
  <c r="F694" i="38"/>
  <c r="F695" i="38"/>
  <c r="F696" i="38"/>
  <c r="F697" i="38"/>
  <c r="F698" i="38"/>
  <c r="F699" i="38"/>
  <c r="F700" i="38"/>
  <c r="F701" i="38"/>
  <c r="E702" i="38"/>
  <c r="F702" i="38" s="1"/>
  <c r="E703" i="38"/>
  <c r="F703" i="38" s="1"/>
  <c r="F704" i="38"/>
  <c r="F705" i="38"/>
  <c r="F706" i="38"/>
  <c r="F707" i="38"/>
  <c r="F708" i="38"/>
  <c r="F709" i="38"/>
  <c r="F710" i="38"/>
  <c r="F723" i="38"/>
  <c r="F724" i="38"/>
  <c r="F725" i="38"/>
  <c r="F726" i="38"/>
  <c r="F727" i="38"/>
  <c r="F728" i="38"/>
  <c r="F729" i="38"/>
  <c r="F730" i="38"/>
  <c r="F731" i="38"/>
  <c r="F732" i="38"/>
  <c r="F733" i="38"/>
  <c r="F734" i="38"/>
  <c r="F735" i="38"/>
  <c r="F736" i="38"/>
  <c r="F737" i="38"/>
  <c r="F738" i="38"/>
  <c r="F739" i="38"/>
  <c r="F740" i="38"/>
  <c r="F741" i="38"/>
  <c r="F742" i="38"/>
  <c r="F743" i="38"/>
  <c r="F744" i="38"/>
  <c r="F745" i="38"/>
  <c r="F746" i="38"/>
  <c r="F747" i="38"/>
  <c r="F748" i="38"/>
  <c r="F749" i="38"/>
  <c r="F750" i="38"/>
  <c r="F751" i="38"/>
  <c r="F752" i="38"/>
  <c r="F753" i="38"/>
  <c r="F754" i="38"/>
  <c r="F755" i="38"/>
  <c r="F756" i="38"/>
  <c r="F757" i="38"/>
  <c r="F758" i="38"/>
  <c r="F759" i="38"/>
  <c r="F760" i="38"/>
  <c r="F761" i="38"/>
  <c r="F762" i="38"/>
  <c r="F763" i="38"/>
  <c r="E764" i="38"/>
  <c r="F764" i="38" s="1"/>
  <c r="F765" i="38"/>
  <c r="F766" i="38"/>
  <c r="F767" i="38"/>
  <c r="F768" i="38"/>
  <c r="F769" i="38"/>
  <c r="F770" i="38"/>
  <c r="F771" i="38"/>
  <c r="F772" i="38"/>
  <c r="F773" i="38"/>
  <c r="F774" i="38"/>
  <c r="F775" i="38"/>
  <c r="F776" i="38"/>
  <c r="F777" i="38"/>
  <c r="F778" i="38"/>
  <c r="F779" i="38"/>
  <c r="F780" i="38"/>
  <c r="F781" i="38"/>
  <c r="F782" i="38"/>
  <c r="F783" i="38"/>
  <c r="F784" i="38"/>
  <c r="F785" i="38"/>
  <c r="F786" i="38"/>
  <c r="E800" i="38"/>
  <c r="F800" i="38" s="1"/>
  <c r="F801" i="38"/>
  <c r="F802" i="38"/>
  <c r="F803" i="38"/>
  <c r="F804" i="38"/>
  <c r="F805" i="38"/>
  <c r="F806" i="38"/>
  <c r="F807" i="38"/>
  <c r="F808" i="38"/>
  <c r="F809" i="38"/>
  <c r="F810" i="38"/>
  <c r="F811" i="38"/>
  <c r="F812" i="38"/>
  <c r="F813" i="38"/>
  <c r="F814" i="38"/>
  <c r="F815" i="38"/>
  <c r="F821" i="38"/>
  <c r="F822" i="38"/>
  <c r="F823" i="38"/>
  <c r="F824" i="38"/>
  <c r="F825" i="38"/>
  <c r="F826" i="38"/>
  <c r="F827" i="38"/>
  <c r="F828" i="38"/>
  <c r="F829" i="38"/>
  <c r="F830" i="38"/>
  <c r="F831" i="38"/>
  <c r="F832" i="38"/>
  <c r="F833" i="38"/>
  <c r="F834" i="38"/>
  <c r="F835" i="38"/>
  <c r="E836" i="38"/>
  <c r="F836" i="38" s="1"/>
  <c r="F837" i="38"/>
  <c r="E838" i="38"/>
  <c r="F838" i="38" s="1"/>
  <c r="F839" i="38"/>
  <c r="F840" i="38"/>
  <c r="F841" i="38"/>
  <c r="F842" i="38"/>
  <c r="F843" i="38"/>
  <c r="F844" i="38"/>
  <c r="F845" i="38"/>
  <c r="F846" i="38"/>
  <c r="F847" i="38"/>
  <c r="F848" i="38"/>
  <c r="F849" i="38"/>
  <c r="F850" i="38"/>
  <c r="F851" i="38"/>
  <c r="F852" i="38"/>
  <c r="F853" i="38"/>
  <c r="F854" i="38"/>
  <c r="F855" i="38"/>
  <c r="F856" i="38"/>
  <c r="F857" i="38"/>
  <c r="F858" i="38"/>
  <c r="F859" i="38"/>
  <c r="F860" i="38"/>
  <c r="F861" i="38"/>
  <c r="F862" i="38"/>
  <c r="F863" i="38"/>
  <c r="F864" i="38"/>
  <c r="F865" i="38"/>
  <c r="F866" i="38"/>
  <c r="F867" i="38"/>
  <c r="F868" i="38"/>
  <c r="F869" i="38"/>
  <c r="F870" i="38"/>
  <c r="F871" i="38"/>
  <c r="F872" i="38"/>
  <c r="F873" i="38"/>
  <c r="F874" i="38"/>
  <c r="F875" i="38"/>
  <c r="F876" i="38"/>
  <c r="F877" i="38"/>
  <c r="F878" i="38"/>
  <c r="F879" i="38"/>
  <c r="F880" i="38"/>
  <c r="F881" i="38"/>
  <c r="F882" i="38"/>
  <c r="F883" i="38"/>
  <c r="F884" i="38"/>
  <c r="F885" i="38"/>
  <c r="F886" i="38"/>
  <c r="F887" i="38"/>
  <c r="F888" i="38"/>
  <c r="F889" i="38"/>
  <c r="F890" i="38"/>
  <c r="F891" i="38"/>
  <c r="F892" i="38"/>
  <c r="F893" i="38"/>
  <c r="F894" i="38"/>
  <c r="F895" i="38"/>
  <c r="F896" i="38"/>
  <c r="E897" i="38"/>
  <c r="F897" i="38" s="1"/>
  <c r="E898" i="38"/>
  <c r="F898" i="38" s="1"/>
  <c r="E899" i="38"/>
  <c r="F899" i="38" s="1"/>
  <c r="F900" i="38"/>
  <c r="F901" i="38"/>
  <c r="F902" i="38"/>
  <c r="F903" i="38"/>
  <c r="F908" i="38"/>
  <c r="F909" i="38"/>
  <c r="C933" i="38"/>
  <c r="E942" i="38" s="1"/>
  <c r="E946" i="38" s="1"/>
  <c r="B942" i="38"/>
  <c r="G942" i="38"/>
  <c r="B943" i="38"/>
  <c r="E943" i="38"/>
  <c r="H943" i="38" s="1"/>
  <c r="D944" i="38"/>
  <c r="G944" i="38"/>
  <c r="D945" i="38"/>
  <c r="G945" i="38"/>
  <c r="C946" i="38"/>
  <c r="D946" i="38"/>
  <c r="G946" i="38"/>
  <c r="C947" i="38"/>
  <c r="D947" i="38"/>
  <c r="G947" i="38"/>
  <c r="E956" i="38"/>
  <c r="G956" i="38" s="1"/>
  <c r="H956" i="38" s="1"/>
  <c r="E962" i="38"/>
  <c r="F962" i="38" s="1"/>
  <c r="J962" i="38"/>
  <c r="E963" i="38"/>
  <c r="F963" i="38" s="1"/>
  <c r="E964" i="38"/>
  <c r="E965" i="38"/>
  <c r="F965" i="38" s="1"/>
  <c r="E966" i="38"/>
  <c r="F966" i="38" s="1"/>
  <c r="J966" i="38"/>
  <c r="E967" i="38"/>
  <c r="F967" i="38" s="1"/>
  <c r="E968" i="38"/>
  <c r="F968" i="38" s="1"/>
  <c r="I968" i="38"/>
  <c r="E969" i="38"/>
  <c r="F969" i="38" s="1"/>
  <c r="I969" i="38"/>
  <c r="E970" i="38"/>
  <c r="F970" i="38" s="1"/>
  <c r="I970" i="38"/>
  <c r="E142" i="38"/>
  <c r="F142" i="38" s="1"/>
  <c r="F143" i="38"/>
  <c r="F144" i="38"/>
  <c r="F145" i="38"/>
  <c r="F135" i="38"/>
  <c r="E71" i="38"/>
  <c r="F71" i="38" s="1"/>
  <c r="E73" i="38"/>
  <c r="F73" i="38" s="1"/>
  <c r="E76" i="38"/>
  <c r="F76" i="38" s="1"/>
  <c r="E79" i="38"/>
  <c r="F79" i="38" s="1"/>
  <c r="E80" i="38"/>
  <c r="F80" i="38" s="1"/>
  <c r="E82" i="38"/>
  <c r="F82" i="38" s="1"/>
  <c r="E87" i="38"/>
  <c r="F87" i="38" s="1"/>
  <c r="E89" i="38"/>
  <c r="F89" i="38" s="1"/>
  <c r="E90" i="38"/>
  <c r="F90" i="38" s="1"/>
  <c r="E91" i="38"/>
  <c r="F91" i="38" s="1"/>
  <c r="E95" i="38"/>
  <c r="F95" i="38" s="1"/>
  <c r="E96" i="38"/>
  <c r="F96" i="38" s="1"/>
  <c r="E99" i="38"/>
  <c r="F99" i="38" s="1"/>
  <c r="E100" i="38"/>
  <c r="F100" i="38" s="1"/>
  <c r="E101" i="38"/>
  <c r="F101" i="38" s="1"/>
  <c r="E102" i="38"/>
  <c r="F102" i="38" s="1"/>
  <c r="E103" i="38"/>
  <c r="F103" i="38" s="1"/>
  <c r="E107" i="38"/>
  <c r="F107" i="38" s="1"/>
  <c r="E108" i="38"/>
  <c r="F108" i="38" s="1"/>
  <c r="E109" i="38"/>
  <c r="F109" i="38" s="1"/>
  <c r="E110" i="38"/>
  <c r="F110" i="38" s="1"/>
  <c r="E111" i="38"/>
  <c r="F111" i="38" s="1"/>
  <c r="E112" i="38"/>
  <c r="F112" i="38" s="1"/>
  <c r="E113" i="38"/>
  <c r="F113" i="38" s="1"/>
  <c r="E114" i="38"/>
  <c r="F114" i="38" s="1"/>
  <c r="E115" i="38"/>
  <c r="F115" i="38" s="1"/>
  <c r="E116" i="38"/>
  <c r="F116" i="38" s="1"/>
  <c r="E117" i="38"/>
  <c r="F117" i="38" s="1"/>
  <c r="E118" i="38"/>
  <c r="F118" i="38" s="1"/>
  <c r="E128" i="38"/>
  <c r="F128" i="38" s="1"/>
  <c r="E129" i="38"/>
  <c r="F129" i="38" s="1"/>
  <c r="B31" i="38"/>
  <c r="B32" i="38"/>
  <c r="B42" i="38"/>
  <c r="E42" i="38"/>
  <c r="F42" i="38" s="1"/>
  <c r="B25" i="38"/>
  <c r="B26" i="38"/>
  <c r="B18" i="38"/>
  <c r="B19" i="38"/>
  <c r="F829" i="36"/>
  <c r="C950" i="36"/>
  <c r="F825" i="36"/>
  <c r="F826" i="36"/>
  <c r="F824" i="36"/>
  <c r="F760" i="36"/>
  <c r="Z140" i="1"/>
  <c r="W140" i="1"/>
  <c r="F689" i="37"/>
  <c r="AC131" i="1"/>
  <c r="Z131" i="1"/>
  <c r="E851" i="37"/>
  <c r="F851" i="37" s="1"/>
  <c r="E850" i="37"/>
  <c r="F850" i="37" s="1"/>
  <c r="W131" i="1"/>
  <c r="C895" i="37"/>
  <c r="E314" i="37"/>
  <c r="F314" i="37" s="1"/>
  <c r="F711" i="37"/>
  <c r="F375" i="37"/>
  <c r="F374" i="37"/>
  <c r="F389" i="37"/>
  <c r="F391" i="37"/>
  <c r="F351" i="37"/>
  <c r="F432" i="37"/>
  <c r="F431" i="37"/>
  <c r="F430" i="37"/>
  <c r="F415" i="37"/>
  <c r="F426" i="37"/>
  <c r="E686" i="37"/>
  <c r="E685" i="37"/>
  <c r="E356" i="37"/>
  <c r="E733" i="36"/>
  <c r="E730" i="36"/>
  <c r="F730" i="36" s="1"/>
  <c r="E726" i="36"/>
  <c r="F726" i="36" s="1"/>
  <c r="E722" i="36"/>
  <c r="F722" i="36" s="1"/>
  <c r="E718" i="36"/>
  <c r="F718" i="36" s="1"/>
  <c r="E714" i="36"/>
  <c r="F714" i="36" s="1"/>
  <c r="E419" i="36"/>
  <c r="F419" i="36" s="1"/>
  <c r="E417" i="36"/>
  <c r="E411" i="36"/>
  <c r="E409" i="36"/>
  <c r="E408" i="36"/>
  <c r="F408" i="36" s="1"/>
  <c r="E407" i="36"/>
  <c r="E406" i="36"/>
  <c r="F406" i="36" s="1"/>
  <c r="E320" i="36"/>
  <c r="F320" i="36" s="1"/>
  <c r="Z120" i="1"/>
  <c r="W120" i="1"/>
  <c r="AC110" i="1"/>
  <c r="F700" i="36"/>
  <c r="F701" i="36"/>
  <c r="F702" i="36"/>
  <c r="Z110" i="1"/>
  <c r="F737" i="36"/>
  <c r="F920" i="36"/>
  <c r="F921" i="36"/>
  <c r="F919" i="36"/>
  <c r="F827" i="36"/>
  <c r="F821" i="36"/>
  <c r="F822" i="36"/>
  <c r="F823" i="36"/>
  <c r="F820" i="36"/>
  <c r="F735" i="36"/>
  <c r="F734" i="36"/>
  <c r="F733" i="36"/>
  <c r="F732" i="36"/>
  <c r="F731" i="36"/>
  <c r="F729" i="36"/>
  <c r="F728" i="36"/>
  <c r="F727" i="36"/>
  <c r="F725" i="36"/>
  <c r="F724" i="36"/>
  <c r="F723" i="36"/>
  <c r="F721" i="36"/>
  <c r="F720" i="36"/>
  <c r="F719" i="36"/>
  <c r="F716" i="36"/>
  <c r="F717" i="36"/>
  <c r="F715" i="36"/>
  <c r="F362" i="36"/>
  <c r="F420" i="36"/>
  <c r="F436" i="36"/>
  <c r="F435" i="36"/>
  <c r="F439" i="36"/>
  <c r="F414" i="36"/>
  <c r="F434" i="36"/>
  <c r="F433" i="36"/>
  <c r="F432" i="36"/>
  <c r="F430" i="36"/>
  <c r="F429" i="36"/>
  <c r="F428" i="36"/>
  <c r="F431" i="36"/>
  <c r="F413" i="36"/>
  <c r="F438" i="36"/>
  <c r="F427" i="36"/>
  <c r="F437" i="36"/>
  <c r="F412" i="36"/>
  <c r="F324" i="36"/>
  <c r="C864" i="35"/>
  <c r="E354" i="36"/>
  <c r="L970" i="38" l="1"/>
  <c r="N970" i="38" s="1"/>
  <c r="L968" i="38"/>
  <c r="N968" i="38" s="1"/>
  <c r="L969" i="38"/>
  <c r="N969" i="38" s="1"/>
  <c r="L965" i="38"/>
  <c r="N965" i="38" s="1"/>
  <c r="E945" i="38"/>
  <c r="I945" i="38" s="1"/>
  <c r="E947" i="38"/>
  <c r="C929" i="38"/>
  <c r="E936" i="38"/>
  <c r="E937" i="38"/>
  <c r="I966" i="38"/>
  <c r="K966" i="38" s="1"/>
  <c r="L966" i="38" s="1"/>
  <c r="E938" i="38"/>
  <c r="I962" i="38"/>
  <c r="K962" i="38" s="1"/>
  <c r="L962" i="38" s="1"/>
  <c r="E944" i="38"/>
  <c r="I944" i="38" s="1"/>
  <c r="I949" i="38" s="1"/>
  <c r="H942" i="38"/>
  <c r="H949" i="38" s="1"/>
  <c r="F964" i="38"/>
  <c r="L964" i="38"/>
  <c r="N964" i="38" s="1"/>
  <c r="E698" i="36"/>
  <c r="E697" i="36"/>
  <c r="W99" i="1"/>
  <c r="F708" i="35"/>
  <c r="F700" i="35"/>
  <c r="J947" i="38" l="1"/>
  <c r="M962" i="38"/>
  <c r="N962" i="38"/>
  <c r="O962" i="38" s="1"/>
  <c r="M966" i="38"/>
  <c r="N966" i="38"/>
  <c r="J946" i="38"/>
  <c r="J949" i="38" s="1"/>
  <c r="K949" i="38" s="1"/>
  <c r="M949" i="38" s="1"/>
  <c r="C872" i="34"/>
  <c r="C866" i="33"/>
  <c r="E410" i="35"/>
  <c r="E404" i="35"/>
  <c r="Q966" i="38" l="1"/>
  <c r="P966" i="38"/>
  <c r="E678" i="32"/>
  <c r="E677" i="32"/>
  <c r="F647" i="35"/>
  <c r="F646" i="35"/>
  <c r="F645" i="35"/>
  <c r="F644" i="35"/>
  <c r="F643" i="35"/>
  <c r="F642" i="35"/>
  <c r="F641" i="35"/>
  <c r="F640" i="35"/>
  <c r="F639" i="35"/>
  <c r="F638" i="35"/>
  <c r="F637" i="35"/>
  <c r="F636" i="35"/>
  <c r="F635" i="35"/>
  <c r="F634" i="35"/>
  <c r="F633" i="35"/>
  <c r="F632" i="35"/>
  <c r="F631" i="35"/>
  <c r="F630" i="35"/>
  <c r="F629" i="35"/>
  <c r="F628" i="35"/>
  <c r="F682" i="35"/>
  <c r="F681" i="35"/>
  <c r="F680" i="35"/>
  <c r="F679" i="35"/>
  <c r="F678" i="35"/>
  <c r="F677" i="35"/>
  <c r="E676" i="35"/>
  <c r="F676" i="35" s="1"/>
  <c r="E675" i="35"/>
  <c r="F675" i="35" s="1"/>
  <c r="F674" i="35"/>
  <c r="F673" i="35"/>
  <c r="F672" i="35"/>
  <c r="F671" i="35"/>
  <c r="F670" i="35"/>
  <c r="F669" i="35"/>
  <c r="F668" i="35"/>
  <c r="F667" i="35"/>
  <c r="F666" i="35"/>
  <c r="F665" i="35"/>
  <c r="F664" i="35"/>
  <c r="F663" i="35"/>
  <c r="F662" i="35"/>
  <c r="F661" i="35"/>
  <c r="F660" i="35"/>
  <c r="F659" i="35"/>
  <c r="F658" i="35"/>
  <c r="F657" i="35"/>
  <c r="F656" i="35"/>
  <c r="F655" i="35"/>
  <c r="F654" i="35"/>
  <c r="F653" i="35"/>
  <c r="F652" i="35"/>
  <c r="F651" i="35"/>
  <c r="F650" i="35"/>
  <c r="F649" i="35"/>
  <c r="AC88" i="1"/>
  <c r="Z88" i="1"/>
  <c r="E414" i="34"/>
  <c r="F414" i="34" s="1"/>
  <c r="E412" i="34"/>
  <c r="F412" i="34" s="1"/>
  <c r="E408" i="34"/>
  <c r="E405" i="34"/>
  <c r="F405" i="34" s="1"/>
  <c r="E404" i="34"/>
  <c r="F404" i="34" s="1"/>
  <c r="E403" i="34"/>
  <c r="F403" i="34" s="1"/>
  <c r="E679" i="33"/>
  <c r="E678" i="33"/>
  <c r="F671" i="34"/>
  <c r="F672" i="34"/>
  <c r="F673" i="34"/>
  <c r="F843" i="34"/>
  <c r="F713" i="34"/>
  <c r="F406" i="34"/>
  <c r="F423" i="34"/>
  <c r="F422" i="34"/>
  <c r="F421" i="34"/>
  <c r="F420" i="34"/>
  <c r="F419" i="34"/>
  <c r="F418" i="34"/>
  <c r="F417" i="34"/>
  <c r="F416" i="34"/>
  <c r="F415" i="34"/>
  <c r="F413" i="34"/>
  <c r="F411" i="34"/>
  <c r="F410" i="34"/>
  <c r="F409" i="34"/>
  <c r="F408" i="34"/>
  <c r="F407" i="34"/>
  <c r="F402" i="34"/>
  <c r="F688" i="34"/>
  <c r="F687" i="34"/>
  <c r="F686" i="34"/>
  <c r="F685" i="34"/>
  <c r="F684" i="34"/>
  <c r="F683" i="34"/>
  <c r="E682" i="34"/>
  <c r="F682" i="34" s="1"/>
  <c r="E681" i="34"/>
  <c r="F681" i="34" s="1"/>
  <c r="F680" i="34"/>
  <c r="F679" i="34"/>
  <c r="F677" i="34"/>
  <c r="F676" i="34"/>
  <c r="F675" i="34"/>
  <c r="F674" i="34"/>
  <c r="F670" i="34"/>
  <c r="F669" i="34"/>
  <c r="F668" i="34"/>
  <c r="F667" i="34"/>
  <c r="F666" i="34"/>
  <c r="F665" i="34"/>
  <c r="F664" i="34"/>
  <c r="F663" i="34"/>
  <c r="F662" i="34"/>
  <c r="F661" i="34"/>
  <c r="F660" i="34"/>
  <c r="F659" i="34"/>
  <c r="F658" i="34"/>
  <c r="F657" i="34"/>
  <c r="F656" i="34"/>
  <c r="F655" i="34"/>
  <c r="F654" i="34"/>
  <c r="F653" i="34"/>
  <c r="F652" i="34"/>
  <c r="E411" i="33"/>
  <c r="F411" i="33" s="1"/>
  <c r="E410" i="33"/>
  <c r="F410" i="33" s="1"/>
  <c r="E405" i="33"/>
  <c r="F405" i="33" s="1"/>
  <c r="F400" i="33"/>
  <c r="F401" i="33"/>
  <c r="F402" i="33"/>
  <c r="F404" i="33"/>
  <c r="F406" i="33"/>
  <c r="F407" i="33"/>
  <c r="F408" i="33"/>
  <c r="F409" i="33"/>
  <c r="F412" i="33"/>
  <c r="F413" i="33"/>
  <c r="F414" i="33"/>
  <c r="F415" i="33"/>
  <c r="F416" i="33"/>
  <c r="F417" i="33"/>
  <c r="F418" i="33"/>
  <c r="F420" i="33"/>
  <c r="F421" i="33"/>
  <c r="F422" i="33"/>
  <c r="E306" i="33"/>
  <c r="F306" i="33" s="1"/>
  <c r="F669" i="33"/>
  <c r="F670" i="33"/>
  <c r="AC77" i="1"/>
  <c r="Z77" i="1"/>
  <c r="W77" i="1"/>
  <c r="C865" i="32"/>
  <c r="E408" i="32"/>
  <c r="E405" i="32"/>
  <c r="F681" i="32"/>
  <c r="W65" i="1"/>
  <c r="F379" i="32"/>
  <c r="F392" i="32"/>
  <c r="E787" i="18"/>
  <c r="F787" i="18" s="1"/>
  <c r="F693" i="18"/>
  <c r="E425" i="18"/>
  <c r="E422" i="18"/>
  <c r="E886" i="18"/>
  <c r="F886" i="18" s="1"/>
  <c r="E885" i="18"/>
  <c r="F885" i="18" s="1"/>
  <c r="E884" i="18"/>
  <c r="F884" i="18" s="1"/>
  <c r="F887" i="18"/>
  <c r="W54" i="1"/>
  <c r="F788" i="18"/>
  <c r="F789" i="18"/>
  <c r="F790" i="18"/>
  <c r="F791" i="18"/>
  <c r="F792" i="18"/>
  <c r="F793" i="18"/>
  <c r="F794" i="18"/>
  <c r="F795" i="18"/>
  <c r="F796" i="18"/>
  <c r="F797" i="18"/>
  <c r="F798" i="18"/>
  <c r="F799" i="18"/>
  <c r="F800" i="18"/>
  <c r="F801" i="18"/>
  <c r="F802" i="18"/>
  <c r="F777" i="18" l="1"/>
  <c r="F733" i="18"/>
  <c r="F732" i="18"/>
  <c r="F735" i="18"/>
  <c r="F704" i="18"/>
  <c r="F692" i="18"/>
  <c r="AC44" i="1"/>
  <c r="Z44" i="1"/>
  <c r="W44" i="1"/>
  <c r="AC36" i="1"/>
  <c r="Z36" i="1"/>
  <c r="AC17" i="1"/>
  <c r="W36" i="1"/>
  <c r="AC27" i="1"/>
  <c r="W17" i="1"/>
  <c r="Z27" i="1"/>
  <c r="W26" i="1"/>
  <c r="F361" i="18" l="1"/>
  <c r="F436" i="18"/>
  <c r="E419" i="18"/>
  <c r="F501" i="18"/>
  <c r="F502" i="18"/>
  <c r="F503" i="18"/>
  <c r="F435" i="18"/>
  <c r="F500" i="18"/>
  <c r="F499" i="18"/>
  <c r="E418" i="18"/>
  <c r="F418" i="18" s="1"/>
  <c r="F411" i="18"/>
  <c r="E417" i="18"/>
  <c r="F417" i="18" s="1"/>
  <c r="F221" i="18"/>
  <c r="F222" i="18"/>
  <c r="F325" i="18"/>
  <c r="F324" i="18"/>
  <c r="F323" i="18"/>
  <c r="E331" i="18"/>
  <c r="F331" i="18" s="1"/>
  <c r="E322" i="18"/>
  <c r="F322" i="18" s="1"/>
  <c r="F198" i="18"/>
  <c r="C198" i="18"/>
  <c r="F176" i="18"/>
  <c r="I932" i="37"/>
  <c r="E932" i="37"/>
  <c r="F932" i="37" s="1"/>
  <c r="I931" i="37"/>
  <c r="E931" i="37"/>
  <c r="I930" i="37"/>
  <c r="E930" i="37"/>
  <c r="E929" i="37"/>
  <c r="F929" i="37" s="1"/>
  <c r="J928" i="37"/>
  <c r="E928" i="37"/>
  <c r="F928" i="37" s="1"/>
  <c r="E927" i="37"/>
  <c r="L927" i="37" s="1"/>
  <c r="N927" i="37" s="1"/>
  <c r="E926" i="37"/>
  <c r="L926" i="37" s="1"/>
  <c r="N926" i="37" s="1"/>
  <c r="E925" i="37"/>
  <c r="F925" i="37" s="1"/>
  <c r="J924" i="37"/>
  <c r="E924" i="37"/>
  <c r="F924" i="37" s="1"/>
  <c r="E918" i="37"/>
  <c r="G918" i="37" s="1"/>
  <c r="H918" i="37" s="1"/>
  <c r="G909" i="37"/>
  <c r="D909" i="37"/>
  <c r="C909" i="37"/>
  <c r="G908" i="37"/>
  <c r="D908" i="37"/>
  <c r="C908" i="37"/>
  <c r="G907" i="37"/>
  <c r="D907" i="37"/>
  <c r="G906" i="37"/>
  <c r="D906" i="37"/>
  <c r="E905" i="37"/>
  <c r="E907" i="37" s="1"/>
  <c r="B905" i="37"/>
  <c r="G904" i="37"/>
  <c r="B904" i="37"/>
  <c r="E904" i="37"/>
  <c r="F871" i="37"/>
  <c r="F870" i="37"/>
  <c r="F848" i="37"/>
  <c r="F847" i="37"/>
  <c r="F846" i="37"/>
  <c r="F845" i="37"/>
  <c r="F844" i="37"/>
  <c r="F843" i="37"/>
  <c r="F842" i="37"/>
  <c r="F841" i="37"/>
  <c r="F840" i="37"/>
  <c r="F839" i="37"/>
  <c r="F838" i="37"/>
  <c r="F837" i="37"/>
  <c r="F836" i="37"/>
  <c r="F835" i="37"/>
  <c r="F834" i="37"/>
  <c r="F833" i="37"/>
  <c r="F832" i="37"/>
  <c r="F831" i="37"/>
  <c r="F830" i="37"/>
  <c r="F829" i="37"/>
  <c r="F828" i="37"/>
  <c r="F827" i="37"/>
  <c r="F826" i="37"/>
  <c r="F825" i="37"/>
  <c r="F824" i="37"/>
  <c r="F823" i="37"/>
  <c r="F822" i="37"/>
  <c r="F821" i="37"/>
  <c r="F820" i="37"/>
  <c r="F819" i="37"/>
  <c r="F818" i="37"/>
  <c r="F817" i="37"/>
  <c r="F816" i="37"/>
  <c r="F815" i="37"/>
  <c r="F814" i="37"/>
  <c r="F813" i="37"/>
  <c r="F812" i="37"/>
  <c r="F811" i="37"/>
  <c r="F810" i="37"/>
  <c r="F809" i="37"/>
  <c r="F808" i="37"/>
  <c r="F807" i="37"/>
  <c r="F806" i="37"/>
  <c r="F805" i="37"/>
  <c r="F804" i="37"/>
  <c r="F803" i="37"/>
  <c r="F802" i="37"/>
  <c r="F801" i="37"/>
  <c r="F800" i="37"/>
  <c r="F799" i="37"/>
  <c r="F798" i="37"/>
  <c r="F797" i="37"/>
  <c r="F796" i="37"/>
  <c r="F795" i="37"/>
  <c r="F794" i="37"/>
  <c r="F793" i="37"/>
  <c r="F792" i="37"/>
  <c r="F791" i="37"/>
  <c r="F790" i="37"/>
  <c r="F789" i="37"/>
  <c r="E788" i="37"/>
  <c r="F788" i="37" s="1"/>
  <c r="F787" i="37"/>
  <c r="E786" i="37"/>
  <c r="F786" i="37" s="1"/>
  <c r="F785" i="37"/>
  <c r="F784" i="37"/>
  <c r="F783" i="37"/>
  <c r="F782" i="37"/>
  <c r="F781" i="37"/>
  <c r="F780" i="37"/>
  <c r="F779" i="37"/>
  <c r="F778" i="37"/>
  <c r="F777" i="37"/>
  <c r="F776" i="37"/>
  <c r="F775" i="37"/>
  <c r="F774" i="37"/>
  <c r="F773" i="37"/>
  <c r="F772" i="37"/>
  <c r="F771" i="37"/>
  <c r="F759" i="37"/>
  <c r="F758" i="37"/>
  <c r="F757" i="37"/>
  <c r="F756" i="37"/>
  <c r="F755" i="37"/>
  <c r="F754" i="37"/>
  <c r="F753" i="37"/>
  <c r="F752" i="37"/>
  <c r="F751" i="37"/>
  <c r="F750" i="37"/>
  <c r="F749" i="37"/>
  <c r="F748" i="37"/>
  <c r="F747" i="37"/>
  <c r="F746" i="37"/>
  <c r="F745" i="37"/>
  <c r="F744" i="37"/>
  <c r="F743" i="37"/>
  <c r="F742" i="37"/>
  <c r="F741" i="37"/>
  <c r="F740" i="37"/>
  <c r="F739" i="37"/>
  <c r="E738" i="37"/>
  <c r="F738" i="37" s="1"/>
  <c r="F737" i="37"/>
  <c r="F736" i="37"/>
  <c r="F735" i="37"/>
  <c r="F734" i="37"/>
  <c r="F733" i="37"/>
  <c r="F732" i="37"/>
  <c r="F731" i="37"/>
  <c r="F730" i="37"/>
  <c r="F729" i="37"/>
  <c r="F728" i="37"/>
  <c r="F727" i="37"/>
  <c r="F726" i="37"/>
  <c r="F725" i="37"/>
  <c r="F724" i="37"/>
  <c r="F723" i="37"/>
  <c r="F722" i="37"/>
  <c r="F721" i="37"/>
  <c r="F720" i="37"/>
  <c r="F719" i="37"/>
  <c r="F718" i="37"/>
  <c r="F717" i="37"/>
  <c r="F716" i="37"/>
  <c r="F715" i="37"/>
  <c r="F714" i="37"/>
  <c r="F713" i="37"/>
  <c r="F712" i="37"/>
  <c r="F710" i="37"/>
  <c r="F709" i="37"/>
  <c r="F708" i="37"/>
  <c r="F707" i="37"/>
  <c r="F706" i="37"/>
  <c r="F705" i="37"/>
  <c r="F704" i="37"/>
  <c r="F703" i="37"/>
  <c r="F702" i="37"/>
  <c r="F701" i="37"/>
  <c r="F700" i="37"/>
  <c r="F699" i="37"/>
  <c r="F694" i="37"/>
  <c r="F693" i="37"/>
  <c r="F692" i="37"/>
  <c r="F691" i="37"/>
  <c r="F690" i="37"/>
  <c r="F688" i="37"/>
  <c r="F687" i="37"/>
  <c r="F686" i="37"/>
  <c r="F685" i="37"/>
  <c r="F684" i="37"/>
  <c r="F683" i="37"/>
  <c r="F682" i="37"/>
  <c r="F681" i="37"/>
  <c r="F680" i="37"/>
  <c r="F679" i="37"/>
  <c r="F678" i="37"/>
  <c r="F677" i="37"/>
  <c r="F676" i="37"/>
  <c r="F675" i="37"/>
  <c r="F674" i="37"/>
  <c r="F673" i="37"/>
  <c r="F672" i="37"/>
  <c r="F671" i="37"/>
  <c r="F670" i="37"/>
  <c r="F669" i="37"/>
  <c r="F668" i="37"/>
  <c r="F667" i="37"/>
  <c r="F666" i="37"/>
  <c r="F665" i="37"/>
  <c r="F664" i="37"/>
  <c r="F663" i="37"/>
  <c r="F662" i="37"/>
  <c r="F661" i="37"/>
  <c r="F660" i="37"/>
  <c r="F659" i="37"/>
  <c r="F658" i="37"/>
  <c r="F657" i="37"/>
  <c r="F656" i="37"/>
  <c r="F655" i="37"/>
  <c r="F654" i="37"/>
  <c r="F653" i="37"/>
  <c r="F652" i="37"/>
  <c r="F651" i="37"/>
  <c r="F650" i="37"/>
  <c r="F649" i="37"/>
  <c r="F648" i="37"/>
  <c r="F647" i="37"/>
  <c r="F646" i="37"/>
  <c r="F645" i="37"/>
  <c r="F644" i="37"/>
  <c r="F643" i="37"/>
  <c r="F642" i="37"/>
  <c r="F641" i="37"/>
  <c r="F640" i="37"/>
  <c r="F639" i="37"/>
  <c r="F638" i="37"/>
  <c r="F637" i="37"/>
  <c r="F636" i="37"/>
  <c r="F635" i="37"/>
  <c r="F634" i="37"/>
  <c r="F633" i="37"/>
  <c r="F632" i="37"/>
  <c r="F631" i="37"/>
  <c r="F630" i="37"/>
  <c r="F629" i="37"/>
  <c r="F628" i="37"/>
  <c r="F627" i="37"/>
  <c r="F626" i="37"/>
  <c r="F625" i="37"/>
  <c r="F624" i="37"/>
  <c r="F623" i="37"/>
  <c r="F622" i="37"/>
  <c r="F621" i="37"/>
  <c r="F620" i="37"/>
  <c r="F619" i="37"/>
  <c r="F618" i="37"/>
  <c r="F617" i="37"/>
  <c r="F616" i="37"/>
  <c r="F615" i="37"/>
  <c r="F614" i="37"/>
  <c r="F613" i="37"/>
  <c r="F612" i="37"/>
  <c r="F611" i="37"/>
  <c r="F610" i="37"/>
  <c r="F609" i="37"/>
  <c r="F608" i="37"/>
  <c r="F607" i="37"/>
  <c r="F606" i="37"/>
  <c r="F605" i="37"/>
  <c r="F604" i="37"/>
  <c r="F603" i="37"/>
  <c r="F602" i="37"/>
  <c r="F601" i="37"/>
  <c r="F600" i="37"/>
  <c r="F599" i="37"/>
  <c r="F598" i="37"/>
  <c r="F597" i="37"/>
  <c r="F596" i="37"/>
  <c r="F595" i="37"/>
  <c r="F594" i="37"/>
  <c r="F593" i="37"/>
  <c r="F592" i="37"/>
  <c r="F591" i="37"/>
  <c r="F590" i="37"/>
  <c r="F589" i="37"/>
  <c r="F588" i="37"/>
  <c r="F587" i="37"/>
  <c r="F586" i="37"/>
  <c r="F585" i="37"/>
  <c r="F584" i="37"/>
  <c r="F583" i="37"/>
  <c r="F582" i="37"/>
  <c r="F581" i="37"/>
  <c r="F580" i="37"/>
  <c r="F579" i="37"/>
  <c r="F578" i="37"/>
  <c r="F577" i="37"/>
  <c r="F576" i="37"/>
  <c r="F575" i="37"/>
  <c r="F574" i="37"/>
  <c r="F573" i="37"/>
  <c r="F572" i="37"/>
  <c r="F571" i="37"/>
  <c r="F570" i="37"/>
  <c r="F569" i="37"/>
  <c r="F568" i="37"/>
  <c r="F567" i="37"/>
  <c r="F566" i="37"/>
  <c r="F565" i="37"/>
  <c r="F564" i="37"/>
  <c r="F563" i="37"/>
  <c r="F562" i="37"/>
  <c r="F561" i="37"/>
  <c r="F560" i="37"/>
  <c r="F559" i="37"/>
  <c r="F558" i="37"/>
  <c r="F557" i="37"/>
  <c r="F556" i="37"/>
  <c r="F555" i="37"/>
  <c r="F554" i="37"/>
  <c r="F553" i="37"/>
  <c r="F552" i="37"/>
  <c r="F551" i="37"/>
  <c r="F550" i="37"/>
  <c r="F549" i="37"/>
  <c r="F548" i="37"/>
  <c r="F547" i="37"/>
  <c r="F546" i="37"/>
  <c r="F545" i="37"/>
  <c r="F544" i="37"/>
  <c r="F543" i="37"/>
  <c r="F542" i="37"/>
  <c r="F541" i="37"/>
  <c r="F540" i="37"/>
  <c r="F539" i="37"/>
  <c r="F538" i="37"/>
  <c r="F537" i="37"/>
  <c r="F536" i="37"/>
  <c r="F535" i="37"/>
  <c r="F534" i="37"/>
  <c r="F533" i="37"/>
  <c r="F532" i="37"/>
  <c r="F531" i="37"/>
  <c r="F530" i="37"/>
  <c r="F529" i="37"/>
  <c r="F528" i="37"/>
  <c r="F527" i="37"/>
  <c r="F526" i="37"/>
  <c r="F525" i="37"/>
  <c r="F524" i="37"/>
  <c r="F523" i="37"/>
  <c r="F522" i="37"/>
  <c r="F521" i="37"/>
  <c r="F520" i="37"/>
  <c r="F519" i="37"/>
  <c r="F518" i="37"/>
  <c r="F517" i="37"/>
  <c r="F516" i="37"/>
  <c r="F515" i="37"/>
  <c r="F514" i="37"/>
  <c r="F513" i="37"/>
  <c r="F512" i="37"/>
  <c r="F511" i="37"/>
  <c r="F510" i="37"/>
  <c r="F509" i="37"/>
  <c r="F508" i="37"/>
  <c r="F507" i="37"/>
  <c r="F506" i="37"/>
  <c r="F505" i="37"/>
  <c r="F504" i="37"/>
  <c r="F503" i="37"/>
  <c r="F502" i="37"/>
  <c r="F501" i="37"/>
  <c r="F500" i="37"/>
  <c r="F499" i="37"/>
  <c r="F498" i="37"/>
  <c r="F497" i="37"/>
  <c r="F496" i="37"/>
  <c r="F495" i="37"/>
  <c r="F494" i="37"/>
  <c r="F493" i="37"/>
  <c r="F492" i="37"/>
  <c r="F491" i="37"/>
  <c r="F490" i="37"/>
  <c r="F489" i="37"/>
  <c r="F488" i="37"/>
  <c r="F487" i="37"/>
  <c r="F486" i="37"/>
  <c r="F485" i="37"/>
  <c r="F484" i="37"/>
  <c r="F483" i="37"/>
  <c r="F482" i="37"/>
  <c r="F481" i="37"/>
  <c r="F480" i="37"/>
  <c r="F479" i="37"/>
  <c r="F478" i="37"/>
  <c r="F477" i="37"/>
  <c r="F476" i="37"/>
  <c r="F475" i="37"/>
  <c r="F474" i="37"/>
  <c r="F473" i="37"/>
  <c r="F472" i="37"/>
  <c r="F471" i="37"/>
  <c r="F470" i="37"/>
  <c r="F469" i="37"/>
  <c r="F468" i="37"/>
  <c r="F467" i="37"/>
  <c r="F466" i="37"/>
  <c r="F465" i="37"/>
  <c r="F464" i="37"/>
  <c r="F463" i="37"/>
  <c r="F462" i="37"/>
  <c r="F461" i="37"/>
  <c r="F460" i="37"/>
  <c r="F459" i="37"/>
  <c r="F458" i="37"/>
  <c r="F457" i="37"/>
  <c r="F456" i="37"/>
  <c r="F455" i="37"/>
  <c r="F454" i="37"/>
  <c r="F453" i="37"/>
  <c r="F452" i="37"/>
  <c r="F451" i="37"/>
  <c r="F450" i="37"/>
  <c r="F449" i="37"/>
  <c r="F448" i="37"/>
  <c r="F447" i="37"/>
  <c r="F446" i="37"/>
  <c r="F445" i="37"/>
  <c r="F444" i="37"/>
  <c r="F443" i="37"/>
  <c r="F442" i="37"/>
  <c r="F441" i="37"/>
  <c r="F440" i="37"/>
  <c r="F439" i="37"/>
  <c r="F438" i="37"/>
  <c r="F437" i="37"/>
  <c r="F436" i="37"/>
  <c r="F435" i="37"/>
  <c r="F434" i="37"/>
  <c r="F429" i="37"/>
  <c r="F428" i="37"/>
  <c r="F427" i="37"/>
  <c r="F425" i="37"/>
  <c r="F424" i="37"/>
  <c r="F423" i="37"/>
  <c r="F422" i="37"/>
  <c r="F421" i="37"/>
  <c r="F420" i="37"/>
  <c r="F419" i="37"/>
  <c r="F418" i="37"/>
  <c r="F417" i="37"/>
  <c r="F416" i="37"/>
  <c r="F414" i="37"/>
  <c r="F413" i="37"/>
  <c r="F412" i="37"/>
  <c r="F411" i="37"/>
  <c r="F410" i="37"/>
  <c r="F409" i="37"/>
  <c r="F408" i="37"/>
  <c r="F407" i="37"/>
  <c r="F406" i="37"/>
  <c r="F405" i="37"/>
  <c r="F404" i="37"/>
  <c r="F403" i="37"/>
  <c r="F402" i="37"/>
  <c r="F401" i="37"/>
  <c r="F400" i="37"/>
  <c r="F399" i="37"/>
  <c r="F398" i="37"/>
  <c r="F397" i="37"/>
  <c r="F396" i="37"/>
  <c r="F395" i="37"/>
  <c r="F394" i="37"/>
  <c r="F393" i="37"/>
  <c r="F392" i="37"/>
  <c r="F390" i="37"/>
  <c r="F388" i="37"/>
  <c r="F387" i="37"/>
  <c r="F386" i="37"/>
  <c r="F385" i="37"/>
  <c r="F384" i="37"/>
  <c r="F383" i="37"/>
  <c r="F382" i="37"/>
  <c r="F381" i="37"/>
  <c r="F380" i="37"/>
  <c r="F379" i="37"/>
  <c r="F378" i="37"/>
  <c r="F377" i="37"/>
  <c r="F376" i="37"/>
  <c r="F373" i="37"/>
  <c r="F372" i="37"/>
  <c r="F371" i="37"/>
  <c r="F370" i="37"/>
  <c r="F369" i="37"/>
  <c r="F368" i="37"/>
  <c r="F367" i="37"/>
  <c r="F366" i="37"/>
  <c r="F365" i="37"/>
  <c r="F364" i="37"/>
  <c r="F363" i="37"/>
  <c r="F362" i="37"/>
  <c r="F361" i="37"/>
  <c r="F360" i="37"/>
  <c r="F359" i="37"/>
  <c r="F358" i="37"/>
  <c r="F357" i="37"/>
  <c r="F356" i="37"/>
  <c r="F355" i="37"/>
  <c r="F354" i="37"/>
  <c r="F353" i="37"/>
  <c r="F352" i="37"/>
  <c r="F350" i="37"/>
  <c r="C345" i="37"/>
  <c r="C344" i="37"/>
  <c r="E343" i="37"/>
  <c r="F343" i="37" s="1"/>
  <c r="C343" i="37"/>
  <c r="F342" i="37"/>
  <c r="E341" i="37"/>
  <c r="F341" i="37" s="1"/>
  <c r="C341" i="37"/>
  <c r="F340" i="37"/>
  <c r="C340" i="37"/>
  <c r="C334" i="37"/>
  <c r="C333" i="37"/>
  <c r="C332" i="37"/>
  <c r="C331" i="37"/>
  <c r="C330" i="37"/>
  <c r="C329" i="37"/>
  <c r="C328" i="37"/>
  <c r="C327" i="37"/>
  <c r="E326" i="37"/>
  <c r="F326" i="37" s="1"/>
  <c r="C326" i="37"/>
  <c r="C325" i="37"/>
  <c r="E324" i="37"/>
  <c r="F324" i="37" s="1"/>
  <c r="C324" i="37"/>
  <c r="C323" i="37"/>
  <c r="C322" i="37"/>
  <c r="C321" i="37"/>
  <c r="C320" i="37"/>
  <c r="C319" i="37"/>
  <c r="F318" i="37"/>
  <c r="C318" i="37"/>
  <c r="C317" i="37"/>
  <c r="C316" i="37"/>
  <c r="C315" i="37"/>
  <c r="E313" i="37"/>
  <c r="F313" i="37" s="1"/>
  <c r="C313" i="37"/>
  <c r="C312" i="37"/>
  <c r="C311" i="37"/>
  <c r="C310" i="37"/>
  <c r="C309" i="37"/>
  <c r="C308" i="37"/>
  <c r="C307" i="37"/>
  <c r="C306" i="37"/>
  <c r="C305" i="37"/>
  <c r="E304" i="37"/>
  <c r="F304" i="37" s="1"/>
  <c r="C304" i="37"/>
  <c r="C303" i="37"/>
  <c r="C302" i="37"/>
  <c r="E301" i="37"/>
  <c r="F301" i="37" s="1"/>
  <c r="C301" i="37"/>
  <c r="C300" i="37"/>
  <c r="C299" i="37"/>
  <c r="C298" i="37"/>
  <c r="C297" i="37"/>
  <c r="C296" i="37"/>
  <c r="C295" i="37"/>
  <c r="E294" i="37"/>
  <c r="F294" i="37" s="1"/>
  <c r="C294" i="37"/>
  <c r="C293" i="37"/>
  <c r="C292" i="37"/>
  <c r="E291" i="37"/>
  <c r="F291" i="37" s="1"/>
  <c r="C291" i="37"/>
  <c r="C290" i="37"/>
  <c r="C289" i="37"/>
  <c r="C288" i="37"/>
  <c r="C287" i="37"/>
  <c r="C286" i="37"/>
  <c r="C285" i="37"/>
  <c r="C284" i="37"/>
  <c r="C283" i="37"/>
  <c r="C282" i="37"/>
  <c r="C281" i="37"/>
  <c r="C280" i="37"/>
  <c r="C279" i="37"/>
  <c r="E278" i="37"/>
  <c r="F278" i="37" s="1"/>
  <c r="C278" i="37"/>
  <c r="C277" i="37"/>
  <c r="C276" i="37"/>
  <c r="C275" i="37"/>
  <c r="C274" i="37"/>
  <c r="C273" i="37"/>
  <c r="F272" i="37"/>
  <c r="F271" i="37"/>
  <c r="C270" i="37"/>
  <c r="C269" i="37"/>
  <c r="C268" i="37"/>
  <c r="C267" i="37"/>
  <c r="E266" i="37"/>
  <c r="F266" i="37" s="1"/>
  <c r="C266" i="37"/>
  <c r="C265" i="37"/>
  <c r="C264" i="37"/>
  <c r="C263" i="37"/>
  <c r="C262" i="37"/>
  <c r="C261" i="37"/>
  <c r="C260" i="37"/>
  <c r="C259" i="37"/>
  <c r="C258" i="37"/>
  <c r="E257" i="37"/>
  <c r="F257" i="37" s="1"/>
  <c r="C257" i="37"/>
  <c r="C256" i="37"/>
  <c r="C255" i="37"/>
  <c r="C254" i="37"/>
  <c r="C253" i="37"/>
  <c r="C252" i="37"/>
  <c r="C251" i="37"/>
  <c r="E250" i="37"/>
  <c r="F250" i="37" s="1"/>
  <c r="C250" i="37"/>
  <c r="C249" i="37"/>
  <c r="C248" i="37"/>
  <c r="C247" i="37"/>
  <c r="C246" i="37"/>
  <c r="C245" i="37"/>
  <c r="C244" i="37"/>
  <c r="C243" i="37"/>
  <c r="C242" i="37"/>
  <c r="C241" i="37"/>
  <c r="C240" i="37"/>
  <c r="C239" i="37"/>
  <c r="C238" i="37"/>
  <c r="C237" i="37"/>
  <c r="C236" i="37"/>
  <c r="C235" i="37"/>
  <c r="C234" i="37"/>
  <c r="C233" i="37"/>
  <c r="C232" i="37"/>
  <c r="C231" i="37"/>
  <c r="C230" i="37"/>
  <c r="C229" i="37"/>
  <c r="C228" i="37"/>
  <c r="C227" i="37"/>
  <c r="C226" i="37"/>
  <c r="C225" i="37"/>
  <c r="C224" i="37"/>
  <c r="C223" i="37"/>
  <c r="E222" i="37"/>
  <c r="F222" i="37" s="1"/>
  <c r="C222" i="37"/>
  <c r="C221" i="37"/>
  <c r="C220" i="37"/>
  <c r="C219" i="37"/>
  <c r="C218" i="37"/>
  <c r="C217" i="37"/>
  <c r="C216" i="37"/>
  <c r="C215" i="37"/>
  <c r="C214" i="37"/>
  <c r="C213" i="37"/>
  <c r="C212" i="37"/>
  <c r="C211" i="37"/>
  <c r="C210" i="37"/>
  <c r="C209" i="37"/>
  <c r="C208" i="37"/>
  <c r="C207" i="37"/>
  <c r="C206" i="37"/>
  <c r="C205" i="37"/>
  <c r="C204" i="37"/>
  <c r="C203" i="37"/>
  <c r="C202" i="37"/>
  <c r="C201" i="37"/>
  <c r="C200" i="37"/>
  <c r="C199" i="37"/>
  <c r="E198" i="37"/>
  <c r="F198" i="37" s="1"/>
  <c r="C198" i="37"/>
  <c r="C197" i="37"/>
  <c r="C196" i="37"/>
  <c r="C195" i="37"/>
  <c r="C194" i="37"/>
  <c r="C193" i="37"/>
  <c r="C192" i="37"/>
  <c r="C191" i="37"/>
  <c r="C190" i="37"/>
  <c r="C189" i="37"/>
  <c r="C188" i="37"/>
  <c r="C187" i="37"/>
  <c r="C186" i="37"/>
  <c r="C185" i="37"/>
  <c r="C184" i="37"/>
  <c r="C183" i="37"/>
  <c r="C182" i="37"/>
  <c r="C181" i="37"/>
  <c r="C180" i="37"/>
  <c r="C179" i="37"/>
  <c r="C178" i="37"/>
  <c r="C177" i="37"/>
  <c r="C176" i="37"/>
  <c r="E175" i="37"/>
  <c r="C174" i="37"/>
  <c r="C173" i="37"/>
  <c r="C172" i="37"/>
  <c r="C171" i="37"/>
  <c r="F166" i="37"/>
  <c r="C164" i="37"/>
  <c r="B164" i="37"/>
  <c r="C163" i="37"/>
  <c r="B163" i="37"/>
  <c r="C162" i="37"/>
  <c r="B162" i="37"/>
  <c r="C160" i="37"/>
  <c r="B160" i="37"/>
  <c r="C159" i="37"/>
  <c r="B159" i="37"/>
  <c r="C158" i="37"/>
  <c r="B158" i="37"/>
  <c r="C157" i="37"/>
  <c r="B157" i="37"/>
  <c r="C156" i="37"/>
  <c r="B156" i="37"/>
  <c r="F149" i="37"/>
  <c r="F148" i="37"/>
  <c r="F147" i="37"/>
  <c r="E146" i="37"/>
  <c r="F146" i="37" s="1"/>
  <c r="F139" i="37"/>
  <c r="E133" i="37"/>
  <c r="F133" i="37" s="1"/>
  <c r="E132" i="37"/>
  <c r="F132" i="37" s="1"/>
  <c r="E122" i="37"/>
  <c r="F122" i="37" s="1"/>
  <c r="E121" i="37"/>
  <c r="F121" i="37" s="1"/>
  <c r="E120" i="37"/>
  <c r="F120" i="37" s="1"/>
  <c r="E119" i="37"/>
  <c r="F119" i="37" s="1"/>
  <c r="E118" i="37"/>
  <c r="F118" i="37" s="1"/>
  <c r="E117" i="37"/>
  <c r="F117" i="37" s="1"/>
  <c r="E116" i="37"/>
  <c r="F116" i="37" s="1"/>
  <c r="E115" i="37"/>
  <c r="F115" i="37" s="1"/>
  <c r="E114" i="37"/>
  <c r="F114" i="37" s="1"/>
  <c r="E113" i="37"/>
  <c r="F113" i="37" s="1"/>
  <c r="E112" i="37"/>
  <c r="F112" i="37" s="1"/>
  <c r="E111" i="37"/>
  <c r="F111" i="37" s="1"/>
  <c r="E107" i="37"/>
  <c r="F107" i="37" s="1"/>
  <c r="E106" i="37"/>
  <c r="F106" i="37" s="1"/>
  <c r="E105" i="37"/>
  <c r="F105" i="37" s="1"/>
  <c r="E104" i="37"/>
  <c r="F104" i="37" s="1"/>
  <c r="E103" i="37"/>
  <c r="F103" i="37" s="1"/>
  <c r="E100" i="37"/>
  <c r="F100" i="37" s="1"/>
  <c r="E99" i="37"/>
  <c r="F99" i="37" s="1"/>
  <c r="E95" i="37"/>
  <c r="F95" i="37" s="1"/>
  <c r="E94" i="37"/>
  <c r="F94" i="37" s="1"/>
  <c r="E93" i="37"/>
  <c r="F93" i="37" s="1"/>
  <c r="E91" i="37"/>
  <c r="F91" i="37" s="1"/>
  <c r="E86" i="37"/>
  <c r="F86" i="37" s="1"/>
  <c r="E84" i="37"/>
  <c r="F84" i="37" s="1"/>
  <c r="E83" i="37"/>
  <c r="F83" i="37" s="1"/>
  <c r="E80" i="37"/>
  <c r="F80" i="37" s="1"/>
  <c r="E77" i="37"/>
  <c r="F77" i="37" s="1"/>
  <c r="E75" i="37"/>
  <c r="F75" i="37" s="1"/>
  <c r="E46" i="37"/>
  <c r="F46" i="37" s="1"/>
  <c r="B46" i="37"/>
  <c r="B36" i="37"/>
  <c r="B35" i="37"/>
  <c r="B30" i="37"/>
  <c r="B29" i="37"/>
  <c r="B19" i="37"/>
  <c r="B18" i="37"/>
  <c r="I987" i="36"/>
  <c r="E987" i="36"/>
  <c r="I986" i="36"/>
  <c r="E986" i="36"/>
  <c r="F986" i="36" s="1"/>
  <c r="I985" i="36"/>
  <c r="E985" i="36"/>
  <c r="E984" i="36"/>
  <c r="F984" i="36" s="1"/>
  <c r="J983" i="36"/>
  <c r="E983" i="36"/>
  <c r="F983" i="36" s="1"/>
  <c r="E982" i="36"/>
  <c r="L982" i="36" s="1"/>
  <c r="N982" i="36" s="1"/>
  <c r="E981" i="36"/>
  <c r="F981" i="36" s="1"/>
  <c r="E980" i="36"/>
  <c r="F980" i="36" s="1"/>
  <c r="J979" i="36"/>
  <c r="E979" i="36"/>
  <c r="F979" i="36" s="1"/>
  <c r="E973" i="36"/>
  <c r="G973" i="36" s="1"/>
  <c r="H973" i="36" s="1"/>
  <c r="G964" i="36"/>
  <c r="D964" i="36"/>
  <c r="C964" i="36"/>
  <c r="G963" i="36"/>
  <c r="D963" i="36"/>
  <c r="C963" i="36"/>
  <c r="G962" i="36"/>
  <c r="D962" i="36"/>
  <c r="G961" i="36"/>
  <c r="D961" i="36"/>
  <c r="E960" i="36"/>
  <c r="E964" i="36" s="1"/>
  <c r="B960" i="36"/>
  <c r="G959" i="36"/>
  <c r="B959" i="36"/>
  <c r="E959" i="36"/>
  <c r="F926" i="36"/>
  <c r="F925" i="36"/>
  <c r="F918" i="36"/>
  <c r="F917" i="36"/>
  <c r="F916" i="36"/>
  <c r="F915" i="36"/>
  <c r="F914" i="36"/>
  <c r="F913" i="36"/>
  <c r="F912" i="36"/>
  <c r="F911" i="36"/>
  <c r="F910" i="36"/>
  <c r="F909" i="36"/>
  <c r="F908" i="36"/>
  <c r="F907" i="36"/>
  <c r="F906" i="36"/>
  <c r="F905" i="36"/>
  <c r="F904" i="36"/>
  <c r="F903" i="36"/>
  <c r="F902" i="36"/>
  <c r="F901" i="36"/>
  <c r="F900" i="36"/>
  <c r="F899" i="36"/>
  <c r="F898" i="36"/>
  <c r="F897" i="36"/>
  <c r="F896" i="36"/>
  <c r="F895" i="36"/>
  <c r="F894" i="36"/>
  <c r="F893" i="36"/>
  <c r="F892" i="36"/>
  <c r="F891" i="36"/>
  <c r="F890" i="36"/>
  <c r="F889" i="36"/>
  <c r="F888" i="36"/>
  <c r="F887" i="36"/>
  <c r="F886" i="36"/>
  <c r="F885" i="36"/>
  <c r="F884" i="36"/>
  <c r="F883" i="36"/>
  <c r="F882" i="36"/>
  <c r="F881" i="36"/>
  <c r="F880" i="36"/>
  <c r="F879" i="36"/>
  <c r="F878" i="36"/>
  <c r="F877" i="36"/>
  <c r="F876" i="36"/>
  <c r="F875" i="36"/>
  <c r="F874" i="36"/>
  <c r="F873" i="36"/>
  <c r="F872" i="36"/>
  <c r="F871" i="36"/>
  <c r="F870" i="36"/>
  <c r="F869" i="36"/>
  <c r="F868" i="36"/>
  <c r="F867" i="36"/>
  <c r="F866" i="36"/>
  <c r="F865" i="36"/>
  <c r="F864" i="36"/>
  <c r="F863" i="36"/>
  <c r="F862" i="36"/>
  <c r="F861" i="36"/>
  <c r="F860" i="36"/>
  <c r="F859" i="36"/>
  <c r="F858" i="36"/>
  <c r="E857" i="36"/>
  <c r="F857" i="36" s="1"/>
  <c r="F856" i="36"/>
  <c r="E855" i="36"/>
  <c r="F855" i="36" s="1"/>
  <c r="F854" i="36"/>
  <c r="F853" i="36"/>
  <c r="F852" i="36"/>
  <c r="F851" i="36"/>
  <c r="F850" i="36"/>
  <c r="F849" i="36"/>
  <c r="F848" i="36"/>
  <c r="F847" i="36"/>
  <c r="F846" i="36"/>
  <c r="F845" i="36"/>
  <c r="F844" i="36"/>
  <c r="F843" i="36"/>
  <c r="F842" i="36"/>
  <c r="F841" i="36"/>
  <c r="F840" i="36"/>
  <c r="F813" i="36"/>
  <c r="F812" i="36"/>
  <c r="F811" i="36"/>
  <c r="F810" i="36"/>
  <c r="F809" i="36"/>
  <c r="F808" i="36"/>
  <c r="F807" i="36"/>
  <c r="F806" i="36"/>
  <c r="F805" i="36"/>
  <c r="F804" i="36"/>
  <c r="F803" i="36"/>
  <c r="F802" i="36"/>
  <c r="F801" i="36"/>
  <c r="F800" i="36"/>
  <c r="F799" i="36"/>
  <c r="F798" i="36"/>
  <c r="F797" i="36"/>
  <c r="F796" i="36"/>
  <c r="F795" i="36"/>
  <c r="F794" i="36"/>
  <c r="F793" i="36"/>
  <c r="E792" i="36"/>
  <c r="F792" i="36" s="1"/>
  <c r="F791" i="36"/>
  <c r="F790" i="36"/>
  <c r="F789" i="36"/>
  <c r="F788" i="36"/>
  <c r="F787" i="36"/>
  <c r="F786" i="36"/>
  <c r="F785" i="36"/>
  <c r="F784" i="36"/>
  <c r="F783" i="36"/>
  <c r="F782" i="36"/>
  <c r="F781" i="36"/>
  <c r="F780" i="36"/>
  <c r="F779" i="36"/>
  <c r="F778" i="36"/>
  <c r="F777" i="36"/>
  <c r="F776" i="36"/>
  <c r="F775" i="36"/>
  <c r="F774" i="36"/>
  <c r="F773" i="36"/>
  <c r="F772" i="36"/>
  <c r="F771" i="36"/>
  <c r="F770" i="36"/>
  <c r="F769" i="36"/>
  <c r="F768" i="36"/>
  <c r="F767" i="36"/>
  <c r="F766" i="36"/>
  <c r="F765" i="36"/>
  <c r="F764" i="36"/>
  <c r="F763" i="36"/>
  <c r="F762" i="36"/>
  <c r="F761" i="36"/>
  <c r="F759" i="36"/>
  <c r="F758" i="36"/>
  <c r="F757" i="36"/>
  <c r="F756" i="36"/>
  <c r="F755" i="36"/>
  <c r="F754" i="36"/>
  <c r="F753" i="36"/>
  <c r="F708" i="36"/>
  <c r="F707" i="36"/>
  <c r="F706" i="36"/>
  <c r="F705" i="36"/>
  <c r="F704" i="36"/>
  <c r="F703" i="36"/>
  <c r="F699" i="36"/>
  <c r="F698" i="36"/>
  <c r="F697" i="36"/>
  <c r="F696" i="36"/>
  <c r="F695" i="36"/>
  <c r="F694" i="36"/>
  <c r="F693" i="36"/>
  <c r="F692" i="36"/>
  <c r="F691" i="36"/>
  <c r="F690" i="36"/>
  <c r="F689" i="36"/>
  <c r="F688" i="36"/>
  <c r="F687" i="36"/>
  <c r="F686" i="36"/>
  <c r="F685" i="36"/>
  <c r="F684" i="36"/>
  <c r="F683" i="36"/>
  <c r="F682" i="36"/>
  <c r="F681" i="36"/>
  <c r="F680" i="36"/>
  <c r="F679" i="36"/>
  <c r="F678" i="36"/>
  <c r="F677" i="36"/>
  <c r="F676" i="36"/>
  <c r="F675" i="36"/>
  <c r="F674" i="36"/>
  <c r="F673" i="36"/>
  <c r="F672" i="36"/>
  <c r="F671" i="36"/>
  <c r="F670" i="36"/>
  <c r="F669" i="36"/>
  <c r="F668" i="36"/>
  <c r="F667" i="36"/>
  <c r="F666" i="36"/>
  <c r="F665" i="36"/>
  <c r="F664" i="36"/>
  <c r="F663" i="36"/>
  <c r="F662" i="36"/>
  <c r="F661" i="36"/>
  <c r="F660" i="36"/>
  <c r="F659" i="36"/>
  <c r="F658" i="36"/>
  <c r="F657" i="36"/>
  <c r="F656" i="36"/>
  <c r="F655" i="36"/>
  <c r="F654" i="36"/>
  <c r="F653" i="36"/>
  <c r="F652" i="36"/>
  <c r="F651" i="36"/>
  <c r="F650" i="36"/>
  <c r="F649" i="36"/>
  <c r="F648" i="36"/>
  <c r="F647" i="36"/>
  <c r="F646" i="36"/>
  <c r="F645" i="36"/>
  <c r="F644" i="36"/>
  <c r="F643" i="36"/>
  <c r="F642" i="36"/>
  <c r="F641" i="36"/>
  <c r="F640" i="36"/>
  <c r="F639" i="36"/>
  <c r="F638" i="36"/>
  <c r="F637" i="36"/>
  <c r="F636" i="36"/>
  <c r="F635" i="36"/>
  <c r="F634" i="36"/>
  <c r="F633" i="36"/>
  <c r="F632" i="36"/>
  <c r="F631" i="36"/>
  <c r="F630" i="36"/>
  <c r="F629" i="36"/>
  <c r="F628" i="36"/>
  <c r="F627" i="36"/>
  <c r="F626" i="36"/>
  <c r="F625" i="36"/>
  <c r="F624" i="36"/>
  <c r="F623" i="36"/>
  <c r="F622" i="36"/>
  <c r="F621" i="36"/>
  <c r="F620" i="36"/>
  <c r="F619" i="36"/>
  <c r="F618" i="36"/>
  <c r="F617" i="36"/>
  <c r="F616" i="36"/>
  <c r="F615" i="36"/>
  <c r="F614" i="36"/>
  <c r="F613" i="36"/>
  <c r="F612" i="36"/>
  <c r="F611" i="36"/>
  <c r="F610" i="36"/>
  <c r="F609" i="36"/>
  <c r="F608" i="36"/>
  <c r="F607" i="36"/>
  <c r="F606" i="36"/>
  <c r="F605" i="36"/>
  <c r="F604" i="36"/>
  <c r="F603" i="36"/>
  <c r="F602" i="36"/>
  <c r="F601" i="36"/>
  <c r="F600" i="36"/>
  <c r="F599" i="36"/>
  <c r="F598" i="36"/>
  <c r="F597" i="36"/>
  <c r="F596" i="36"/>
  <c r="F595" i="36"/>
  <c r="F594" i="36"/>
  <c r="F593" i="36"/>
  <c r="F592" i="36"/>
  <c r="F591" i="36"/>
  <c r="F590" i="36"/>
  <c r="F589" i="36"/>
  <c r="F588" i="36"/>
  <c r="F587" i="36"/>
  <c r="F586" i="36"/>
  <c r="F585" i="36"/>
  <c r="F584" i="36"/>
  <c r="F583" i="36"/>
  <c r="F582" i="36"/>
  <c r="F581" i="36"/>
  <c r="F580" i="36"/>
  <c r="F579" i="36"/>
  <c r="F578" i="36"/>
  <c r="F577" i="36"/>
  <c r="F576" i="36"/>
  <c r="F575" i="36"/>
  <c r="F574" i="36"/>
  <c r="F573" i="36"/>
  <c r="F572" i="36"/>
  <c r="F571" i="36"/>
  <c r="F570" i="36"/>
  <c r="F569" i="36"/>
  <c r="F568" i="36"/>
  <c r="F567" i="36"/>
  <c r="F566" i="36"/>
  <c r="F565" i="36"/>
  <c r="F564" i="36"/>
  <c r="F563" i="36"/>
  <c r="F562" i="36"/>
  <c r="F561" i="36"/>
  <c r="F560" i="36"/>
  <c r="F559" i="36"/>
  <c r="F558" i="36"/>
  <c r="F557" i="36"/>
  <c r="F556" i="36"/>
  <c r="F555" i="36"/>
  <c r="F554" i="36"/>
  <c r="F553" i="36"/>
  <c r="F552" i="36"/>
  <c r="F551" i="36"/>
  <c r="F550" i="36"/>
  <c r="F549" i="36"/>
  <c r="F548" i="36"/>
  <c r="F547" i="36"/>
  <c r="F546" i="36"/>
  <c r="F545" i="36"/>
  <c r="F544" i="36"/>
  <c r="F543" i="36"/>
  <c r="F542" i="36"/>
  <c r="F541" i="36"/>
  <c r="F540" i="36"/>
  <c r="F539" i="36"/>
  <c r="F538" i="36"/>
  <c r="F537" i="36"/>
  <c r="F536" i="36"/>
  <c r="F535" i="36"/>
  <c r="F534" i="36"/>
  <c r="F533" i="36"/>
  <c r="F532" i="36"/>
  <c r="F531" i="36"/>
  <c r="F530" i="36"/>
  <c r="F529" i="36"/>
  <c r="F528" i="36"/>
  <c r="F527" i="36"/>
  <c r="F526" i="36"/>
  <c r="F525" i="36"/>
  <c r="F524" i="36"/>
  <c r="F523" i="36"/>
  <c r="F522" i="36"/>
  <c r="F521" i="36"/>
  <c r="F520" i="36"/>
  <c r="F519" i="36"/>
  <c r="F518" i="36"/>
  <c r="F517" i="36"/>
  <c r="F516" i="36"/>
  <c r="F515" i="36"/>
  <c r="F514" i="36"/>
  <c r="F513" i="36"/>
  <c r="F512" i="36"/>
  <c r="F511" i="36"/>
  <c r="F510" i="36"/>
  <c r="F509" i="36"/>
  <c r="F508" i="36"/>
  <c r="F507" i="36"/>
  <c r="F506" i="36"/>
  <c r="F505" i="36"/>
  <c r="F504" i="36"/>
  <c r="F503" i="36"/>
  <c r="F502" i="36"/>
  <c r="F501" i="36"/>
  <c r="F500" i="36"/>
  <c r="F499" i="36"/>
  <c r="F498" i="36"/>
  <c r="F497" i="36"/>
  <c r="F496" i="36"/>
  <c r="F495" i="36"/>
  <c r="F494" i="36"/>
  <c r="F493" i="36"/>
  <c r="F492" i="36"/>
  <c r="F491" i="36"/>
  <c r="F490" i="36"/>
  <c r="F489" i="36"/>
  <c r="F488" i="36"/>
  <c r="F487" i="36"/>
  <c r="F486" i="36"/>
  <c r="F485" i="36"/>
  <c r="F484" i="36"/>
  <c r="F483" i="36"/>
  <c r="F482" i="36"/>
  <c r="F481" i="36"/>
  <c r="F480" i="36"/>
  <c r="F479" i="36"/>
  <c r="F478" i="36"/>
  <c r="F477" i="36"/>
  <c r="F476" i="36"/>
  <c r="F475" i="36"/>
  <c r="F474" i="36"/>
  <c r="F473" i="36"/>
  <c r="F472" i="36"/>
  <c r="F471" i="36"/>
  <c r="F470" i="36"/>
  <c r="F469" i="36"/>
  <c r="F468" i="36"/>
  <c r="F467" i="36"/>
  <c r="F466" i="36"/>
  <c r="F465" i="36"/>
  <c r="F464" i="36"/>
  <c r="F463" i="36"/>
  <c r="F462" i="36"/>
  <c r="F461" i="36"/>
  <c r="F460" i="36"/>
  <c r="F459" i="36"/>
  <c r="F458" i="36"/>
  <c r="F457" i="36"/>
  <c r="F456" i="36"/>
  <c r="F455" i="36"/>
  <c r="F454" i="36"/>
  <c r="F453" i="36"/>
  <c r="F452" i="36"/>
  <c r="F451" i="36"/>
  <c r="F450" i="36"/>
  <c r="F449" i="36"/>
  <c r="F448" i="36"/>
  <c r="F447" i="36"/>
  <c r="F446" i="36"/>
  <c r="F445" i="36"/>
  <c r="F444" i="36"/>
  <c r="F443" i="36"/>
  <c r="F442" i="36"/>
  <c r="F441" i="36"/>
  <c r="F440" i="36"/>
  <c r="F425" i="36"/>
  <c r="F424" i="36"/>
  <c r="F423" i="36"/>
  <c r="F422" i="36"/>
  <c r="F421" i="36"/>
  <c r="F418" i="36"/>
  <c r="F417" i="36"/>
  <c r="F416" i="36"/>
  <c r="F415" i="36"/>
  <c r="F411" i="36"/>
  <c r="F410" i="36"/>
  <c r="F409" i="36"/>
  <c r="F407" i="36"/>
  <c r="F405" i="36"/>
  <c r="F403" i="36"/>
  <c r="F402" i="36"/>
  <c r="F401" i="36"/>
  <c r="F400" i="36"/>
  <c r="F399" i="36"/>
  <c r="F398" i="36"/>
  <c r="F397" i="36"/>
  <c r="F396" i="36"/>
  <c r="F395" i="36"/>
  <c r="F394" i="36"/>
  <c r="F393" i="36"/>
  <c r="F392" i="36"/>
  <c r="F391" i="36"/>
  <c r="F390" i="36"/>
  <c r="F389" i="36"/>
  <c r="F388" i="36"/>
  <c r="F387" i="36"/>
  <c r="F386" i="36"/>
  <c r="F385" i="36"/>
  <c r="F384" i="36"/>
  <c r="F383" i="36"/>
  <c r="F382" i="36"/>
  <c r="F381" i="36"/>
  <c r="F380" i="36"/>
  <c r="F379" i="36"/>
  <c r="F378" i="36"/>
  <c r="F377" i="36"/>
  <c r="F376" i="36"/>
  <c r="F375" i="36"/>
  <c r="F374" i="36"/>
  <c r="F373" i="36"/>
  <c r="F372" i="36"/>
  <c r="F371" i="36"/>
  <c r="F370" i="36"/>
  <c r="F369" i="36"/>
  <c r="F368" i="36"/>
  <c r="F367" i="36"/>
  <c r="F366" i="36"/>
  <c r="F365" i="36"/>
  <c r="F364" i="36"/>
  <c r="F363" i="36"/>
  <c r="F361" i="36"/>
  <c r="F360" i="36"/>
  <c r="F359" i="36"/>
  <c r="F358" i="36"/>
  <c r="F357" i="36"/>
  <c r="F356" i="36"/>
  <c r="F355" i="36"/>
  <c r="F354" i="36"/>
  <c r="F353" i="36"/>
  <c r="F352" i="36"/>
  <c r="F351" i="36"/>
  <c r="F350" i="36"/>
  <c r="F349" i="36"/>
  <c r="C344" i="36"/>
  <c r="C343" i="36"/>
  <c r="E342" i="36"/>
  <c r="F342" i="36" s="1"/>
  <c r="C342" i="36"/>
  <c r="F341" i="36"/>
  <c r="E340" i="36"/>
  <c r="F340" i="36" s="1"/>
  <c r="C340" i="36"/>
  <c r="F339" i="36"/>
  <c r="C339" i="36"/>
  <c r="C335" i="36"/>
  <c r="C334" i="36"/>
  <c r="C333" i="36"/>
  <c r="C332" i="36"/>
  <c r="C331" i="36"/>
  <c r="C330" i="36"/>
  <c r="C329" i="36"/>
  <c r="C328" i="36"/>
  <c r="E327" i="36"/>
  <c r="F327" i="36" s="1"/>
  <c r="C327" i="36"/>
  <c r="C326" i="36"/>
  <c r="E325" i="36"/>
  <c r="F325" i="36" s="1"/>
  <c r="C325" i="36"/>
  <c r="C323" i="36"/>
  <c r="C322" i="36"/>
  <c r="C321" i="36"/>
  <c r="C319" i="36"/>
  <c r="C318" i="36"/>
  <c r="C317" i="36"/>
  <c r="C316" i="36"/>
  <c r="C315" i="36"/>
  <c r="C314" i="36"/>
  <c r="E313" i="36"/>
  <c r="F313" i="36" s="1"/>
  <c r="C313" i="36"/>
  <c r="C312" i="36"/>
  <c r="C311" i="36"/>
  <c r="C310" i="36"/>
  <c r="C309" i="36"/>
  <c r="C308" i="36"/>
  <c r="C307" i="36"/>
  <c r="C306" i="36"/>
  <c r="C305" i="36"/>
  <c r="E304" i="36"/>
  <c r="F304" i="36" s="1"/>
  <c r="C304" i="36"/>
  <c r="C303" i="36"/>
  <c r="C302" i="36"/>
  <c r="E301" i="36"/>
  <c r="F301" i="36" s="1"/>
  <c r="C301" i="36"/>
  <c r="C300" i="36"/>
  <c r="C299" i="36"/>
  <c r="C298" i="36"/>
  <c r="C297" i="36"/>
  <c r="C296" i="36"/>
  <c r="C295" i="36"/>
  <c r="E294" i="36"/>
  <c r="F294" i="36" s="1"/>
  <c r="C294" i="36"/>
  <c r="C293" i="36"/>
  <c r="C292" i="36"/>
  <c r="E291" i="36"/>
  <c r="F291" i="36" s="1"/>
  <c r="C291" i="36"/>
  <c r="C290" i="36"/>
  <c r="C289" i="36"/>
  <c r="C288" i="36"/>
  <c r="C287" i="36"/>
  <c r="C286" i="36"/>
  <c r="C285" i="36"/>
  <c r="C284" i="36"/>
  <c r="C283" i="36"/>
  <c r="C282" i="36"/>
  <c r="C281" i="36"/>
  <c r="C280" i="36"/>
  <c r="C279" i="36"/>
  <c r="E278" i="36"/>
  <c r="F278" i="36" s="1"/>
  <c r="C278" i="36"/>
  <c r="C277" i="36"/>
  <c r="C276" i="36"/>
  <c r="C275" i="36"/>
  <c r="C274" i="36"/>
  <c r="C273" i="36"/>
  <c r="F272" i="36"/>
  <c r="F271" i="36"/>
  <c r="C270" i="36"/>
  <c r="C269" i="36"/>
  <c r="C268" i="36"/>
  <c r="C267" i="36"/>
  <c r="E266" i="36"/>
  <c r="F266" i="36" s="1"/>
  <c r="C266" i="36"/>
  <c r="C265" i="36"/>
  <c r="C264" i="36"/>
  <c r="C263" i="36"/>
  <c r="C262" i="36"/>
  <c r="C261" i="36"/>
  <c r="C260" i="36"/>
  <c r="C259" i="36"/>
  <c r="C258" i="36"/>
  <c r="E257" i="36"/>
  <c r="F257" i="36" s="1"/>
  <c r="C257" i="36"/>
  <c r="C256" i="36"/>
  <c r="C255" i="36"/>
  <c r="C254" i="36"/>
  <c r="C253" i="36"/>
  <c r="C252" i="36"/>
  <c r="C251" i="36"/>
  <c r="E250" i="36"/>
  <c r="F250" i="36" s="1"/>
  <c r="C250" i="36"/>
  <c r="C249" i="36"/>
  <c r="C248" i="36"/>
  <c r="C247" i="36"/>
  <c r="C246" i="36"/>
  <c r="C245" i="36"/>
  <c r="C244" i="36"/>
  <c r="C243" i="36"/>
  <c r="C242" i="36"/>
  <c r="C241" i="36"/>
  <c r="C240" i="36"/>
  <c r="C239" i="36"/>
  <c r="C238" i="36"/>
  <c r="C237" i="36"/>
  <c r="C236" i="36"/>
  <c r="C235" i="36"/>
  <c r="C234" i="36"/>
  <c r="C233" i="36"/>
  <c r="C232" i="36"/>
  <c r="C231" i="36"/>
  <c r="C230" i="36"/>
  <c r="C229" i="36"/>
  <c r="C228" i="36"/>
  <c r="C227" i="36"/>
  <c r="C226" i="36"/>
  <c r="C225" i="36"/>
  <c r="C224" i="36"/>
  <c r="C223" i="36"/>
  <c r="E222" i="36"/>
  <c r="F222" i="36" s="1"/>
  <c r="C222" i="36"/>
  <c r="C221" i="36"/>
  <c r="C220" i="36"/>
  <c r="C219" i="36"/>
  <c r="C218" i="36"/>
  <c r="C217" i="36"/>
  <c r="C216" i="36"/>
  <c r="C215" i="36"/>
  <c r="C214" i="36"/>
  <c r="C213" i="36"/>
  <c r="C212" i="36"/>
  <c r="C211" i="36"/>
  <c r="C210" i="36"/>
  <c r="C209" i="36"/>
  <c r="C208" i="36"/>
  <c r="C207" i="36"/>
  <c r="C206" i="36"/>
  <c r="C205" i="36"/>
  <c r="C204" i="36"/>
  <c r="C203" i="36"/>
  <c r="C202" i="36"/>
  <c r="C201" i="36"/>
  <c r="C200" i="36"/>
  <c r="C199" i="36"/>
  <c r="E198" i="36"/>
  <c r="F198" i="36" s="1"/>
  <c r="C198" i="36"/>
  <c r="C197" i="36"/>
  <c r="C196" i="36"/>
  <c r="C195" i="36"/>
  <c r="C194" i="36"/>
  <c r="C193" i="36"/>
  <c r="C192" i="36"/>
  <c r="C191" i="36"/>
  <c r="C190" i="36"/>
  <c r="C189" i="36"/>
  <c r="C188" i="36"/>
  <c r="C187" i="36"/>
  <c r="C186" i="36"/>
  <c r="C185" i="36"/>
  <c r="C184" i="36"/>
  <c r="C183" i="36"/>
  <c r="C182" i="36"/>
  <c r="C181" i="36"/>
  <c r="C180" i="36"/>
  <c r="C179" i="36"/>
  <c r="C178" i="36"/>
  <c r="C177" i="36"/>
  <c r="C176" i="36"/>
  <c r="E175" i="36"/>
  <c r="C174" i="36"/>
  <c r="C173" i="36"/>
  <c r="C172" i="36"/>
  <c r="C171" i="36"/>
  <c r="F166" i="36"/>
  <c r="C164" i="36"/>
  <c r="B164" i="36"/>
  <c r="C163" i="36"/>
  <c r="B163" i="36"/>
  <c r="C162" i="36"/>
  <c r="B162" i="36"/>
  <c r="C160" i="36"/>
  <c r="B160" i="36"/>
  <c r="C159" i="36"/>
  <c r="B159" i="36"/>
  <c r="C158" i="36"/>
  <c r="B158" i="36"/>
  <c r="C157" i="36"/>
  <c r="B157" i="36"/>
  <c r="C156" i="36"/>
  <c r="B156" i="36"/>
  <c r="F149" i="36"/>
  <c r="F148" i="36"/>
  <c r="F147" i="36"/>
  <c r="E146" i="36"/>
  <c r="F146" i="36" s="1"/>
  <c r="F139" i="36"/>
  <c r="E133" i="36"/>
  <c r="F133" i="36" s="1"/>
  <c r="E132" i="36"/>
  <c r="F132" i="36" s="1"/>
  <c r="E122" i="36"/>
  <c r="F122" i="36" s="1"/>
  <c r="E121" i="36"/>
  <c r="F121" i="36" s="1"/>
  <c r="E120" i="36"/>
  <c r="F120" i="36" s="1"/>
  <c r="E119" i="36"/>
  <c r="F119" i="36" s="1"/>
  <c r="E118" i="36"/>
  <c r="F118" i="36" s="1"/>
  <c r="E117" i="36"/>
  <c r="F117" i="36" s="1"/>
  <c r="E116" i="36"/>
  <c r="F116" i="36" s="1"/>
  <c r="E115" i="36"/>
  <c r="F115" i="36" s="1"/>
  <c r="E114" i="36"/>
  <c r="F114" i="36" s="1"/>
  <c r="E113" i="36"/>
  <c r="F113" i="36" s="1"/>
  <c r="E112" i="36"/>
  <c r="F112" i="36" s="1"/>
  <c r="E111" i="36"/>
  <c r="F111" i="36" s="1"/>
  <c r="E107" i="36"/>
  <c r="F107" i="36" s="1"/>
  <c r="E106" i="36"/>
  <c r="F106" i="36" s="1"/>
  <c r="E105" i="36"/>
  <c r="F105" i="36" s="1"/>
  <c r="F104" i="36"/>
  <c r="E103" i="36"/>
  <c r="F103" i="36" s="1"/>
  <c r="E100" i="36"/>
  <c r="F100" i="36" s="1"/>
  <c r="E99" i="36"/>
  <c r="F99" i="36" s="1"/>
  <c r="E95" i="36"/>
  <c r="F95" i="36" s="1"/>
  <c r="E94" i="36"/>
  <c r="F94" i="36" s="1"/>
  <c r="E93" i="36"/>
  <c r="F93" i="36" s="1"/>
  <c r="E91" i="36"/>
  <c r="F91" i="36" s="1"/>
  <c r="E86" i="36"/>
  <c r="F86" i="36" s="1"/>
  <c r="E84" i="36"/>
  <c r="F84" i="36" s="1"/>
  <c r="E83" i="36"/>
  <c r="F83" i="36" s="1"/>
  <c r="E80" i="36"/>
  <c r="F80" i="36" s="1"/>
  <c r="E77" i="36"/>
  <c r="F77" i="36" s="1"/>
  <c r="E75" i="36"/>
  <c r="F75" i="36" s="1"/>
  <c r="E46" i="36"/>
  <c r="F46" i="36" s="1"/>
  <c r="B46" i="36"/>
  <c r="B36" i="36"/>
  <c r="B35" i="36"/>
  <c r="B30" i="36"/>
  <c r="B29" i="36"/>
  <c r="B19" i="36"/>
  <c r="B18" i="36"/>
  <c r="I901" i="35"/>
  <c r="E901" i="35"/>
  <c r="I900" i="35"/>
  <c r="E900" i="35"/>
  <c r="F900" i="35" s="1"/>
  <c r="I899" i="35"/>
  <c r="E899" i="35"/>
  <c r="F899" i="35" s="1"/>
  <c r="E898" i="35"/>
  <c r="F898" i="35" s="1"/>
  <c r="J897" i="35"/>
  <c r="E897" i="35"/>
  <c r="F897" i="35" s="1"/>
  <c r="E896" i="35"/>
  <c r="L896" i="35" s="1"/>
  <c r="N896" i="35" s="1"/>
  <c r="E895" i="35"/>
  <c r="F895" i="35" s="1"/>
  <c r="E894" i="35"/>
  <c r="F894" i="35" s="1"/>
  <c r="J893" i="35"/>
  <c r="E893" i="35"/>
  <c r="F893" i="35" s="1"/>
  <c r="E887" i="35"/>
  <c r="G887" i="35" s="1"/>
  <c r="H887" i="35" s="1"/>
  <c r="G878" i="35"/>
  <c r="D878" i="35"/>
  <c r="C878" i="35"/>
  <c r="G877" i="35"/>
  <c r="D877" i="35"/>
  <c r="C877" i="35"/>
  <c r="G876" i="35"/>
  <c r="D876" i="35"/>
  <c r="G875" i="35"/>
  <c r="D875" i="35"/>
  <c r="E874" i="35"/>
  <c r="E876" i="35" s="1"/>
  <c r="B874" i="35"/>
  <c r="G873" i="35"/>
  <c r="B873" i="35"/>
  <c r="E867" i="35"/>
  <c r="F840" i="35"/>
  <c r="F839" i="35"/>
  <c r="F834" i="35"/>
  <c r="F833" i="35"/>
  <c r="F832" i="35"/>
  <c r="F831" i="35"/>
  <c r="F830" i="35"/>
  <c r="F829" i="35"/>
  <c r="F828" i="35"/>
  <c r="F827" i="35"/>
  <c r="F826" i="35"/>
  <c r="F825" i="35"/>
  <c r="F824" i="35"/>
  <c r="F823" i="35"/>
  <c r="F822" i="35"/>
  <c r="F821" i="35"/>
  <c r="F820" i="35"/>
  <c r="F819" i="35"/>
  <c r="F818" i="35"/>
  <c r="F817" i="35"/>
  <c r="F816" i="35"/>
  <c r="F815" i="35"/>
  <c r="F814" i="35"/>
  <c r="F813" i="35"/>
  <c r="F812" i="35"/>
  <c r="F811" i="35"/>
  <c r="F810" i="35"/>
  <c r="F809" i="35"/>
  <c r="F808" i="35"/>
  <c r="F807" i="35"/>
  <c r="F806" i="35"/>
  <c r="F805" i="35"/>
  <c r="F804" i="35"/>
  <c r="F803" i="35"/>
  <c r="F802" i="35"/>
  <c r="F801" i="35"/>
  <c r="F800" i="35"/>
  <c r="F799" i="35"/>
  <c r="F798" i="35"/>
  <c r="F797" i="35"/>
  <c r="F796" i="35"/>
  <c r="F795" i="35"/>
  <c r="F794" i="35"/>
  <c r="F793" i="35"/>
  <c r="F792" i="35"/>
  <c r="F791" i="35"/>
  <c r="F790" i="35"/>
  <c r="F789" i="35"/>
  <c r="F788" i="35"/>
  <c r="F787" i="35"/>
  <c r="F786" i="35"/>
  <c r="F785" i="35"/>
  <c r="F784" i="35"/>
  <c r="F783" i="35"/>
  <c r="F782" i="35"/>
  <c r="F781" i="35"/>
  <c r="F780" i="35"/>
  <c r="F779" i="35"/>
  <c r="F778" i="35"/>
  <c r="F777" i="35"/>
  <c r="F776" i="35"/>
  <c r="F775" i="35"/>
  <c r="F774" i="35"/>
  <c r="E773" i="35"/>
  <c r="F773" i="35" s="1"/>
  <c r="F772" i="35"/>
  <c r="E771" i="35"/>
  <c r="F771" i="35" s="1"/>
  <c r="F770" i="35"/>
  <c r="F769" i="35"/>
  <c r="F768" i="35"/>
  <c r="F767" i="35"/>
  <c r="F766" i="35"/>
  <c r="F765" i="35"/>
  <c r="F764" i="35"/>
  <c r="F763" i="35"/>
  <c r="F762" i="35"/>
  <c r="F761" i="35"/>
  <c r="F760" i="35"/>
  <c r="F759" i="35"/>
  <c r="F758" i="35"/>
  <c r="F757" i="35"/>
  <c r="F756" i="35"/>
  <c r="F749" i="35"/>
  <c r="F748" i="35"/>
  <c r="F747" i="35"/>
  <c r="F746" i="35"/>
  <c r="F745" i="35"/>
  <c r="F744" i="35"/>
  <c r="F743" i="35"/>
  <c r="F742" i="35"/>
  <c r="F741" i="35"/>
  <c r="F740" i="35"/>
  <c r="F739" i="35"/>
  <c r="F738" i="35"/>
  <c r="F737" i="35"/>
  <c r="F736" i="35"/>
  <c r="F735" i="35"/>
  <c r="F734" i="35"/>
  <c r="F733" i="35"/>
  <c r="F732" i="35"/>
  <c r="F731" i="35"/>
  <c r="F730" i="35"/>
  <c r="F729" i="35"/>
  <c r="E728" i="35"/>
  <c r="F728" i="35" s="1"/>
  <c r="F727" i="35"/>
  <c r="F726" i="35"/>
  <c r="F725" i="35"/>
  <c r="F724" i="35"/>
  <c r="F723" i="35"/>
  <c r="F722" i="35"/>
  <c r="F721" i="35"/>
  <c r="F720" i="35"/>
  <c r="F719" i="35"/>
  <c r="F718" i="35"/>
  <c r="F717" i="35"/>
  <c r="F716" i="35"/>
  <c r="F715" i="35"/>
  <c r="F714" i="35"/>
  <c r="F713" i="35"/>
  <c r="F712" i="35"/>
  <c r="F711" i="35"/>
  <c r="F710" i="35"/>
  <c r="F709" i="35"/>
  <c r="F707" i="35"/>
  <c r="F706" i="35"/>
  <c r="F705" i="35"/>
  <c r="F704" i="35"/>
  <c r="F703" i="35"/>
  <c r="F702" i="35"/>
  <c r="F701" i="35"/>
  <c r="F699" i="35"/>
  <c r="F698" i="35"/>
  <c r="F697" i="35"/>
  <c r="F696" i="35"/>
  <c r="F695" i="35"/>
  <c r="F694" i="35"/>
  <c r="F693" i="35"/>
  <c r="F692" i="35"/>
  <c r="F691" i="35"/>
  <c r="F690" i="35"/>
  <c r="F689" i="35"/>
  <c r="F688" i="35"/>
  <c r="F627" i="35"/>
  <c r="F626" i="35"/>
  <c r="F625" i="35"/>
  <c r="F624" i="35"/>
  <c r="F623" i="35"/>
  <c r="F622" i="35"/>
  <c r="F621" i="35"/>
  <c r="F620" i="35"/>
  <c r="F619" i="35"/>
  <c r="F618" i="35"/>
  <c r="F617" i="35"/>
  <c r="F616" i="35"/>
  <c r="F615" i="35"/>
  <c r="F614" i="35"/>
  <c r="F613" i="35"/>
  <c r="F612" i="35"/>
  <c r="F611" i="35"/>
  <c r="F610" i="35"/>
  <c r="F609" i="35"/>
  <c r="F608" i="35"/>
  <c r="F607" i="35"/>
  <c r="F606" i="35"/>
  <c r="F605" i="35"/>
  <c r="F604" i="35"/>
  <c r="F603" i="35"/>
  <c r="F602" i="35"/>
  <c r="F601" i="35"/>
  <c r="F600" i="35"/>
  <c r="F599" i="35"/>
  <c r="F598" i="35"/>
  <c r="F597" i="35"/>
  <c r="F596" i="35"/>
  <c r="F595" i="35"/>
  <c r="F594" i="35"/>
  <c r="F593" i="35"/>
  <c r="F592" i="35"/>
  <c r="F591" i="35"/>
  <c r="F590" i="35"/>
  <c r="F589" i="35"/>
  <c r="F588" i="35"/>
  <c r="F587" i="35"/>
  <c r="F586" i="35"/>
  <c r="F585" i="35"/>
  <c r="F584" i="35"/>
  <c r="F583" i="35"/>
  <c r="F582" i="35"/>
  <c r="F581" i="35"/>
  <c r="F580" i="35"/>
  <c r="F579" i="35"/>
  <c r="F578" i="35"/>
  <c r="F577" i="35"/>
  <c r="F576" i="35"/>
  <c r="F575" i="35"/>
  <c r="F574" i="35"/>
  <c r="F573" i="35"/>
  <c r="F572" i="35"/>
  <c r="F571" i="35"/>
  <c r="F570" i="35"/>
  <c r="F569" i="35"/>
  <c r="F568" i="35"/>
  <c r="F567" i="35"/>
  <c r="F566" i="35"/>
  <c r="F565" i="35"/>
  <c r="F564" i="35"/>
  <c r="F563" i="35"/>
  <c r="F562" i="35"/>
  <c r="F561" i="35"/>
  <c r="F560" i="35"/>
  <c r="F559" i="35"/>
  <c r="F558" i="35"/>
  <c r="F557" i="35"/>
  <c r="F556" i="35"/>
  <c r="F555" i="35"/>
  <c r="F554" i="35"/>
  <c r="F553" i="35"/>
  <c r="F552" i="35"/>
  <c r="F551" i="35"/>
  <c r="F550" i="35"/>
  <c r="F549" i="35"/>
  <c r="F548" i="35"/>
  <c r="F547" i="35"/>
  <c r="F546" i="35"/>
  <c r="F545" i="35"/>
  <c r="F544" i="35"/>
  <c r="F543" i="35"/>
  <c r="F542" i="35"/>
  <c r="F541" i="35"/>
  <c r="F540" i="35"/>
  <c r="F539" i="35"/>
  <c r="F538" i="35"/>
  <c r="F537" i="35"/>
  <c r="F536" i="35"/>
  <c r="F535" i="35"/>
  <c r="F534" i="35"/>
  <c r="F533" i="35"/>
  <c r="F532" i="35"/>
  <c r="F531" i="35"/>
  <c r="F530" i="35"/>
  <c r="F529" i="35"/>
  <c r="F528" i="35"/>
  <c r="F527" i="35"/>
  <c r="F526" i="35"/>
  <c r="F525" i="35"/>
  <c r="F524" i="35"/>
  <c r="F523" i="35"/>
  <c r="F522" i="35"/>
  <c r="F521" i="35"/>
  <c r="F520" i="35"/>
  <c r="F519" i="35"/>
  <c r="F518" i="35"/>
  <c r="F517" i="35"/>
  <c r="F516" i="35"/>
  <c r="F515" i="35"/>
  <c r="F514" i="35"/>
  <c r="F513" i="35"/>
  <c r="F512" i="35"/>
  <c r="F511" i="35"/>
  <c r="F510" i="35"/>
  <c r="F509" i="35"/>
  <c r="F508" i="35"/>
  <c r="F507" i="35"/>
  <c r="F506" i="35"/>
  <c r="F505" i="35"/>
  <c r="F504" i="35"/>
  <c r="F503" i="35"/>
  <c r="F502" i="35"/>
  <c r="F501" i="35"/>
  <c r="F500" i="35"/>
  <c r="F499" i="35"/>
  <c r="F498" i="35"/>
  <c r="F497" i="35"/>
  <c r="F496" i="35"/>
  <c r="F495" i="35"/>
  <c r="F494" i="35"/>
  <c r="F493" i="35"/>
  <c r="F492" i="35"/>
  <c r="F491" i="35"/>
  <c r="F490" i="35"/>
  <c r="F489" i="35"/>
  <c r="F488" i="35"/>
  <c r="F487" i="35"/>
  <c r="F486" i="35"/>
  <c r="F485" i="35"/>
  <c r="F484" i="35"/>
  <c r="F483" i="35"/>
  <c r="F482" i="35"/>
  <c r="F481" i="35"/>
  <c r="F480" i="35"/>
  <c r="F479" i="35"/>
  <c r="F478" i="35"/>
  <c r="F477" i="35"/>
  <c r="F476" i="35"/>
  <c r="F475" i="35"/>
  <c r="F474" i="35"/>
  <c r="F473" i="35"/>
  <c r="F472" i="35"/>
  <c r="F471" i="35"/>
  <c r="F470" i="35"/>
  <c r="F469" i="35"/>
  <c r="F468" i="35"/>
  <c r="F467" i="35"/>
  <c r="F466" i="35"/>
  <c r="F465" i="35"/>
  <c r="F464" i="35"/>
  <c r="F463" i="35"/>
  <c r="F462" i="35"/>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F410" i="35"/>
  <c r="F409" i="35"/>
  <c r="F408" i="35"/>
  <c r="F407" i="35"/>
  <c r="F406" i="35"/>
  <c r="F405" i="35"/>
  <c r="F404" i="35"/>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E353" i="35"/>
  <c r="F353" i="35" s="1"/>
  <c r="F352" i="35"/>
  <c r="F351" i="35"/>
  <c r="F350" i="35"/>
  <c r="F349" i="35"/>
  <c r="F348" i="35"/>
  <c r="F347" i="35"/>
  <c r="C342" i="35"/>
  <c r="C341" i="35"/>
  <c r="E340" i="35"/>
  <c r="F340" i="35" s="1"/>
  <c r="C340" i="35"/>
  <c r="F339" i="35"/>
  <c r="E338" i="35"/>
  <c r="F338" i="35" s="1"/>
  <c r="C338" i="35"/>
  <c r="F337" i="35"/>
  <c r="C337" i="35"/>
  <c r="C333" i="35"/>
  <c r="C332" i="35"/>
  <c r="C331" i="35"/>
  <c r="C330" i="35"/>
  <c r="C329" i="35"/>
  <c r="C328" i="35"/>
  <c r="C327" i="35"/>
  <c r="C326" i="35"/>
  <c r="E325" i="35"/>
  <c r="F325" i="35" s="1"/>
  <c r="C325" i="35"/>
  <c r="C324" i="35"/>
  <c r="E323" i="35"/>
  <c r="F323" i="35" s="1"/>
  <c r="C323" i="35"/>
  <c r="C322" i="35"/>
  <c r="C321" i="35"/>
  <c r="C320" i="35"/>
  <c r="C319" i="35"/>
  <c r="C318" i="35"/>
  <c r="C317" i="35"/>
  <c r="C316" i="35"/>
  <c r="C315" i="35"/>
  <c r="C314" i="35"/>
  <c r="E313" i="35"/>
  <c r="F313" i="35" s="1"/>
  <c r="C313" i="35"/>
  <c r="C312" i="35"/>
  <c r="C311" i="35"/>
  <c r="C310" i="35"/>
  <c r="C309" i="35"/>
  <c r="C308" i="35"/>
  <c r="C307" i="35"/>
  <c r="C306" i="35"/>
  <c r="C305" i="35"/>
  <c r="E304" i="35"/>
  <c r="F304" i="35" s="1"/>
  <c r="C304" i="35"/>
  <c r="C303" i="35"/>
  <c r="C302" i="35"/>
  <c r="E301" i="35"/>
  <c r="F301" i="35" s="1"/>
  <c r="C301" i="35"/>
  <c r="C300" i="35"/>
  <c r="C299" i="35"/>
  <c r="C298" i="35"/>
  <c r="C297" i="35"/>
  <c r="C296" i="35"/>
  <c r="C295" i="35"/>
  <c r="E294" i="35"/>
  <c r="F294" i="35" s="1"/>
  <c r="C294" i="35"/>
  <c r="C293" i="35"/>
  <c r="C292" i="35"/>
  <c r="E291" i="35"/>
  <c r="F291" i="35" s="1"/>
  <c r="C291" i="35"/>
  <c r="C290" i="35"/>
  <c r="C289" i="35"/>
  <c r="C288" i="35"/>
  <c r="C287" i="35"/>
  <c r="C286" i="35"/>
  <c r="C285" i="35"/>
  <c r="C284" i="35"/>
  <c r="C283" i="35"/>
  <c r="C282" i="35"/>
  <c r="C281" i="35"/>
  <c r="C280" i="35"/>
  <c r="C279" i="35"/>
  <c r="E278" i="35"/>
  <c r="F278" i="35" s="1"/>
  <c r="C278" i="35"/>
  <c r="C277" i="35"/>
  <c r="C276" i="35"/>
  <c r="C275" i="35"/>
  <c r="C274" i="35"/>
  <c r="C273" i="35"/>
  <c r="F272" i="35"/>
  <c r="F271" i="35"/>
  <c r="C270" i="35"/>
  <c r="C269" i="35"/>
  <c r="C268" i="35"/>
  <c r="C267" i="35"/>
  <c r="E266" i="35"/>
  <c r="F266" i="35" s="1"/>
  <c r="C266" i="35"/>
  <c r="C265" i="35"/>
  <c r="C264" i="35"/>
  <c r="C263" i="35"/>
  <c r="C262" i="35"/>
  <c r="C261" i="35"/>
  <c r="C260" i="35"/>
  <c r="C259" i="35"/>
  <c r="C258" i="35"/>
  <c r="E257" i="35"/>
  <c r="F257" i="35" s="1"/>
  <c r="C257" i="35"/>
  <c r="C256" i="35"/>
  <c r="C255" i="35"/>
  <c r="C254" i="35"/>
  <c r="C253" i="35"/>
  <c r="C252" i="35"/>
  <c r="C251" i="35"/>
  <c r="E250" i="35"/>
  <c r="F250" i="35" s="1"/>
  <c r="C250" i="35"/>
  <c r="C249" i="35"/>
  <c r="C248" i="35"/>
  <c r="C247" i="35"/>
  <c r="C246" i="35"/>
  <c r="C245" i="35"/>
  <c r="C244" i="35"/>
  <c r="C243" i="35"/>
  <c r="C242" i="35"/>
  <c r="C241" i="35"/>
  <c r="C240" i="35"/>
  <c r="C239" i="35"/>
  <c r="C238" i="35"/>
  <c r="C237" i="35"/>
  <c r="C236" i="35"/>
  <c r="C235" i="35"/>
  <c r="C234" i="35"/>
  <c r="C233" i="35"/>
  <c r="C232" i="35"/>
  <c r="C231" i="35"/>
  <c r="C230" i="35"/>
  <c r="C229" i="35"/>
  <c r="C228" i="35"/>
  <c r="C227" i="35"/>
  <c r="C226" i="35"/>
  <c r="C225" i="35"/>
  <c r="C224" i="35"/>
  <c r="C223" i="35"/>
  <c r="E222" i="35"/>
  <c r="F222" i="35" s="1"/>
  <c r="C222" i="35"/>
  <c r="C221" i="35"/>
  <c r="C220" i="35"/>
  <c r="C219" i="35"/>
  <c r="C218" i="35"/>
  <c r="C217" i="35"/>
  <c r="C216" i="35"/>
  <c r="C215" i="35"/>
  <c r="C214" i="35"/>
  <c r="C213" i="35"/>
  <c r="C212" i="35"/>
  <c r="C211" i="35"/>
  <c r="C210" i="35"/>
  <c r="C209" i="35"/>
  <c r="C208" i="35"/>
  <c r="C207" i="35"/>
  <c r="C206" i="35"/>
  <c r="C205" i="35"/>
  <c r="C204" i="35"/>
  <c r="C203" i="35"/>
  <c r="C202" i="35"/>
  <c r="C201" i="35"/>
  <c r="C200" i="35"/>
  <c r="C199" i="35"/>
  <c r="E198" i="35"/>
  <c r="F198" i="35" s="1"/>
  <c r="C198" i="35"/>
  <c r="C197" i="35"/>
  <c r="C196" i="35"/>
  <c r="C195" i="35"/>
  <c r="C194" i="35"/>
  <c r="C193" i="35"/>
  <c r="C192" i="35"/>
  <c r="C191" i="35"/>
  <c r="C190" i="35"/>
  <c r="C189" i="35"/>
  <c r="C188" i="35"/>
  <c r="C187" i="35"/>
  <c r="C186" i="35"/>
  <c r="C185" i="35"/>
  <c r="C184" i="35"/>
  <c r="C183" i="35"/>
  <c r="C182" i="35"/>
  <c r="C181" i="35"/>
  <c r="C180" i="35"/>
  <c r="C179" i="35"/>
  <c r="C178" i="35"/>
  <c r="C177" i="35"/>
  <c r="C176" i="35"/>
  <c r="E175" i="35"/>
  <c r="C174" i="35"/>
  <c r="C173" i="35"/>
  <c r="C172" i="35"/>
  <c r="C171" i="35"/>
  <c r="F166" i="35"/>
  <c r="C164" i="35"/>
  <c r="B164" i="35"/>
  <c r="C163" i="35"/>
  <c r="B163" i="35"/>
  <c r="C162" i="35"/>
  <c r="B162" i="35"/>
  <c r="C160" i="35"/>
  <c r="B160" i="35"/>
  <c r="C159" i="35"/>
  <c r="B159" i="35"/>
  <c r="C158" i="35"/>
  <c r="B158" i="35"/>
  <c r="C157" i="35"/>
  <c r="B157" i="35"/>
  <c r="C156" i="35"/>
  <c r="B156" i="35"/>
  <c r="F149" i="35"/>
  <c r="F148" i="35"/>
  <c r="F147" i="35"/>
  <c r="E146" i="35"/>
  <c r="F146" i="35" s="1"/>
  <c r="F139" i="35"/>
  <c r="E133" i="35"/>
  <c r="F133" i="35" s="1"/>
  <c r="E132" i="35"/>
  <c r="F132" i="35" s="1"/>
  <c r="E122" i="35"/>
  <c r="F122" i="35" s="1"/>
  <c r="E121" i="35"/>
  <c r="F121" i="35" s="1"/>
  <c r="E120" i="35"/>
  <c r="F120" i="35" s="1"/>
  <c r="E119" i="35"/>
  <c r="F119" i="35" s="1"/>
  <c r="E118" i="35"/>
  <c r="F118" i="35" s="1"/>
  <c r="E117" i="35"/>
  <c r="F117" i="35" s="1"/>
  <c r="E116" i="35"/>
  <c r="F116" i="35" s="1"/>
  <c r="E115" i="35"/>
  <c r="F115" i="35" s="1"/>
  <c r="E114" i="35"/>
  <c r="F114" i="35" s="1"/>
  <c r="E113" i="35"/>
  <c r="F113" i="35" s="1"/>
  <c r="E112" i="35"/>
  <c r="F112" i="35" s="1"/>
  <c r="E111" i="35"/>
  <c r="F111" i="35" s="1"/>
  <c r="E107" i="35"/>
  <c r="F107" i="35" s="1"/>
  <c r="E106" i="35"/>
  <c r="F106" i="35" s="1"/>
  <c r="E105" i="35"/>
  <c r="F105" i="35" s="1"/>
  <c r="E104" i="35"/>
  <c r="F104" i="35" s="1"/>
  <c r="E103" i="35"/>
  <c r="F103" i="35" s="1"/>
  <c r="E100" i="35"/>
  <c r="F100" i="35" s="1"/>
  <c r="E99" i="35"/>
  <c r="F99" i="35" s="1"/>
  <c r="E95" i="35"/>
  <c r="F95" i="35" s="1"/>
  <c r="E94" i="35"/>
  <c r="F94" i="35" s="1"/>
  <c r="E93" i="35"/>
  <c r="F93" i="35" s="1"/>
  <c r="E91" i="35"/>
  <c r="F91" i="35" s="1"/>
  <c r="E86" i="35"/>
  <c r="F86" i="35" s="1"/>
  <c r="E84" i="35"/>
  <c r="F84" i="35" s="1"/>
  <c r="E83" i="35"/>
  <c r="F83" i="35" s="1"/>
  <c r="E80" i="35"/>
  <c r="F80" i="35" s="1"/>
  <c r="E77" i="35"/>
  <c r="F77" i="35" s="1"/>
  <c r="E75" i="35"/>
  <c r="F75" i="35" s="1"/>
  <c r="E46" i="35"/>
  <c r="F46" i="35" s="1"/>
  <c r="B46" i="35"/>
  <c r="B36" i="35"/>
  <c r="B35" i="35"/>
  <c r="B30" i="35"/>
  <c r="B29" i="35"/>
  <c r="B19" i="35"/>
  <c r="B18" i="35"/>
  <c r="I909" i="34"/>
  <c r="E909" i="34"/>
  <c r="I908" i="34"/>
  <c r="E908" i="34"/>
  <c r="F908" i="34" s="1"/>
  <c r="I907" i="34"/>
  <c r="E907" i="34"/>
  <c r="F907" i="34" s="1"/>
  <c r="E906" i="34"/>
  <c r="F906" i="34" s="1"/>
  <c r="J905" i="34"/>
  <c r="E905" i="34"/>
  <c r="F905" i="34" s="1"/>
  <c r="E904" i="34"/>
  <c r="L904" i="34" s="1"/>
  <c r="N904" i="34" s="1"/>
  <c r="E903" i="34"/>
  <c r="F903" i="34" s="1"/>
  <c r="E902" i="34"/>
  <c r="F902" i="34" s="1"/>
  <c r="J901" i="34"/>
  <c r="E901" i="34"/>
  <c r="F901" i="34" s="1"/>
  <c r="E895" i="34"/>
  <c r="G895" i="34" s="1"/>
  <c r="H895" i="34" s="1"/>
  <c r="G886" i="34"/>
  <c r="D886" i="34"/>
  <c r="C886" i="34"/>
  <c r="G885" i="34"/>
  <c r="D885" i="34"/>
  <c r="C885" i="34"/>
  <c r="G884" i="34"/>
  <c r="D884" i="34"/>
  <c r="G883" i="34"/>
  <c r="D883" i="34"/>
  <c r="E882" i="34"/>
  <c r="E884" i="34" s="1"/>
  <c r="B882" i="34"/>
  <c r="G881" i="34"/>
  <c r="B881" i="34"/>
  <c r="E875" i="34"/>
  <c r="F848" i="34"/>
  <c r="F847" i="34"/>
  <c r="F842" i="34"/>
  <c r="F841" i="34"/>
  <c r="F840" i="34"/>
  <c r="F839" i="34"/>
  <c r="F838" i="34"/>
  <c r="F837" i="34"/>
  <c r="F836" i="34"/>
  <c r="F835" i="34"/>
  <c r="F834" i="34"/>
  <c r="F833" i="34"/>
  <c r="F832" i="34"/>
  <c r="F831" i="34"/>
  <c r="F830" i="34"/>
  <c r="F829" i="34"/>
  <c r="F828" i="34"/>
  <c r="F827" i="34"/>
  <c r="F826" i="34"/>
  <c r="F825" i="34"/>
  <c r="F824" i="34"/>
  <c r="F823" i="34"/>
  <c r="F822" i="34"/>
  <c r="F821" i="34"/>
  <c r="F820" i="34"/>
  <c r="F819" i="34"/>
  <c r="F818" i="34"/>
  <c r="F817" i="34"/>
  <c r="F816" i="34"/>
  <c r="F815" i="34"/>
  <c r="F814" i="34"/>
  <c r="F813" i="34"/>
  <c r="F812" i="34"/>
  <c r="F811" i="34"/>
  <c r="F810" i="34"/>
  <c r="F809" i="34"/>
  <c r="F808" i="34"/>
  <c r="F807" i="34"/>
  <c r="F806" i="34"/>
  <c r="F805" i="34"/>
  <c r="F804" i="34"/>
  <c r="F803" i="34"/>
  <c r="F802" i="34"/>
  <c r="F801" i="34"/>
  <c r="F800" i="34"/>
  <c r="F799" i="34"/>
  <c r="F798" i="34"/>
  <c r="F797" i="34"/>
  <c r="F796" i="34"/>
  <c r="F795" i="34"/>
  <c r="F794" i="34"/>
  <c r="F793" i="34"/>
  <c r="F792" i="34"/>
  <c r="F791" i="34"/>
  <c r="F790" i="34"/>
  <c r="F789" i="34"/>
  <c r="F788" i="34"/>
  <c r="F787" i="34"/>
  <c r="F786" i="34"/>
  <c r="F785" i="34"/>
  <c r="F784" i="34"/>
  <c r="F783" i="34"/>
  <c r="F782" i="34"/>
  <c r="E781" i="34"/>
  <c r="F781" i="34" s="1"/>
  <c r="F780" i="34"/>
  <c r="E779" i="34"/>
  <c r="F779" i="34" s="1"/>
  <c r="F778" i="34"/>
  <c r="F777" i="34"/>
  <c r="F776" i="34"/>
  <c r="F775" i="34"/>
  <c r="F774" i="34"/>
  <c r="F773" i="34"/>
  <c r="F772" i="34"/>
  <c r="F771" i="34"/>
  <c r="F770" i="34"/>
  <c r="F769" i="34"/>
  <c r="F768" i="34"/>
  <c r="F767" i="34"/>
  <c r="F766" i="34"/>
  <c r="F765" i="34"/>
  <c r="F764" i="34"/>
  <c r="F754" i="34"/>
  <c r="F753" i="34"/>
  <c r="F752" i="34"/>
  <c r="F751" i="34"/>
  <c r="F750" i="34"/>
  <c r="F749" i="34"/>
  <c r="F748" i="34"/>
  <c r="F747" i="34"/>
  <c r="F746" i="34"/>
  <c r="F745" i="34"/>
  <c r="F744" i="34"/>
  <c r="F743" i="34"/>
  <c r="F742" i="34"/>
  <c r="F741" i="34"/>
  <c r="F740" i="34"/>
  <c r="F739" i="34"/>
  <c r="F738" i="34"/>
  <c r="F737" i="34"/>
  <c r="F736" i="34"/>
  <c r="F735" i="34"/>
  <c r="F734" i="34"/>
  <c r="E733" i="34"/>
  <c r="F733" i="34" s="1"/>
  <c r="F732" i="34"/>
  <c r="F731" i="34"/>
  <c r="F730" i="34"/>
  <c r="F729" i="34"/>
  <c r="F728" i="34"/>
  <c r="F727" i="34"/>
  <c r="F726" i="34"/>
  <c r="F725" i="34"/>
  <c r="F724" i="34"/>
  <c r="F723" i="34"/>
  <c r="F722" i="34"/>
  <c r="F721" i="34"/>
  <c r="F720" i="34"/>
  <c r="F719" i="34"/>
  <c r="F718" i="34"/>
  <c r="F717" i="34"/>
  <c r="F716" i="34"/>
  <c r="F715" i="34"/>
  <c r="F714" i="34"/>
  <c r="F712" i="34"/>
  <c r="F711" i="34"/>
  <c r="F710" i="34"/>
  <c r="F709" i="34"/>
  <c r="F708" i="34"/>
  <c r="F707" i="34"/>
  <c r="F706" i="34"/>
  <c r="F705" i="34"/>
  <c r="F704" i="34"/>
  <c r="F703" i="34"/>
  <c r="F702" i="34"/>
  <c r="F701" i="34"/>
  <c r="F700" i="34"/>
  <c r="F699" i="34"/>
  <c r="F698" i="34"/>
  <c r="F697" i="34"/>
  <c r="F696" i="34"/>
  <c r="F695" i="34"/>
  <c r="F694" i="34"/>
  <c r="F651" i="34"/>
  <c r="F650" i="34"/>
  <c r="F649" i="34"/>
  <c r="F648" i="34"/>
  <c r="F647" i="34"/>
  <c r="F646" i="34"/>
  <c r="F645" i="34"/>
  <c r="F644" i="34"/>
  <c r="F643" i="34"/>
  <c r="F642" i="34"/>
  <c r="F641" i="34"/>
  <c r="F640" i="34"/>
  <c r="F639" i="34"/>
  <c r="F638" i="34"/>
  <c r="F637" i="34"/>
  <c r="F636" i="34"/>
  <c r="F635" i="34"/>
  <c r="F634" i="34"/>
  <c r="F633" i="34"/>
  <c r="F632" i="34"/>
  <c r="F631" i="34"/>
  <c r="F630" i="34"/>
  <c r="F629" i="34"/>
  <c r="F628" i="34"/>
  <c r="F627" i="34"/>
  <c r="F626" i="34"/>
  <c r="F625" i="34"/>
  <c r="F624" i="34"/>
  <c r="F623" i="34"/>
  <c r="F622" i="34"/>
  <c r="F621" i="34"/>
  <c r="F620" i="34"/>
  <c r="F619" i="34"/>
  <c r="F618" i="34"/>
  <c r="F617" i="34"/>
  <c r="F616" i="34"/>
  <c r="F615" i="34"/>
  <c r="F614" i="34"/>
  <c r="F613" i="34"/>
  <c r="F612" i="34"/>
  <c r="F611" i="34"/>
  <c r="F610" i="34"/>
  <c r="F609" i="34"/>
  <c r="F608" i="34"/>
  <c r="F607" i="34"/>
  <c r="F606" i="34"/>
  <c r="F605" i="34"/>
  <c r="F604" i="34"/>
  <c r="F603" i="34"/>
  <c r="F602" i="34"/>
  <c r="F601" i="34"/>
  <c r="F600" i="34"/>
  <c r="F599" i="34"/>
  <c r="F598" i="34"/>
  <c r="F597" i="34"/>
  <c r="F596" i="34"/>
  <c r="F595" i="34"/>
  <c r="F594" i="34"/>
  <c r="F593" i="34"/>
  <c r="F592" i="34"/>
  <c r="F591" i="34"/>
  <c r="F590" i="34"/>
  <c r="F589" i="34"/>
  <c r="F588" i="34"/>
  <c r="F587" i="34"/>
  <c r="F586" i="34"/>
  <c r="F585" i="34"/>
  <c r="F584" i="34"/>
  <c r="F583" i="34"/>
  <c r="F582" i="34"/>
  <c r="F581" i="34"/>
  <c r="F580" i="34"/>
  <c r="F579" i="34"/>
  <c r="F578" i="34"/>
  <c r="F577" i="34"/>
  <c r="F576" i="34"/>
  <c r="F575" i="34"/>
  <c r="F574" i="34"/>
  <c r="F573" i="34"/>
  <c r="F572" i="34"/>
  <c r="F571" i="34"/>
  <c r="F570" i="34"/>
  <c r="F569" i="34"/>
  <c r="F568" i="34"/>
  <c r="F567" i="34"/>
  <c r="F566" i="34"/>
  <c r="F565" i="34"/>
  <c r="F564" i="34"/>
  <c r="F563" i="34"/>
  <c r="F562" i="34"/>
  <c r="F561" i="34"/>
  <c r="F560" i="34"/>
  <c r="F559" i="34"/>
  <c r="F558" i="34"/>
  <c r="F557" i="34"/>
  <c r="F556" i="34"/>
  <c r="F555" i="34"/>
  <c r="F554" i="34"/>
  <c r="F553" i="34"/>
  <c r="F552" i="34"/>
  <c r="F551" i="34"/>
  <c r="F550" i="34"/>
  <c r="F549" i="34"/>
  <c r="F548" i="34"/>
  <c r="F547" i="34"/>
  <c r="F546" i="34"/>
  <c r="F545" i="34"/>
  <c r="F544" i="34"/>
  <c r="F543" i="34"/>
  <c r="F542" i="34"/>
  <c r="F541" i="34"/>
  <c r="F540" i="34"/>
  <c r="F539" i="34"/>
  <c r="F538" i="34"/>
  <c r="F537" i="34"/>
  <c r="F536" i="34"/>
  <c r="F535" i="34"/>
  <c r="F534" i="34"/>
  <c r="F533" i="34"/>
  <c r="F532" i="34"/>
  <c r="F531" i="34"/>
  <c r="F530" i="34"/>
  <c r="F529" i="34"/>
  <c r="F528" i="34"/>
  <c r="F527" i="34"/>
  <c r="F526" i="34"/>
  <c r="F525" i="34"/>
  <c r="F524" i="34"/>
  <c r="F523" i="34"/>
  <c r="F522" i="34"/>
  <c r="F521" i="34"/>
  <c r="F520" i="34"/>
  <c r="F519" i="34"/>
  <c r="F518" i="34"/>
  <c r="F517" i="34"/>
  <c r="F516" i="34"/>
  <c r="F515" i="34"/>
  <c r="F514" i="34"/>
  <c r="F513" i="34"/>
  <c r="F512" i="34"/>
  <c r="F511" i="34"/>
  <c r="F510" i="34"/>
  <c r="F509" i="34"/>
  <c r="F508" i="34"/>
  <c r="F507" i="34"/>
  <c r="F506" i="34"/>
  <c r="F505" i="34"/>
  <c r="F504" i="34"/>
  <c r="F503" i="34"/>
  <c r="F502" i="34"/>
  <c r="F501" i="34"/>
  <c r="F500" i="34"/>
  <c r="F499" i="34"/>
  <c r="F498" i="34"/>
  <c r="F497" i="34"/>
  <c r="F496" i="34"/>
  <c r="F495" i="34"/>
  <c r="F494" i="34"/>
  <c r="F493" i="34"/>
  <c r="F492" i="34"/>
  <c r="F491" i="34"/>
  <c r="F490" i="34"/>
  <c r="F489" i="34"/>
  <c r="F488" i="34"/>
  <c r="F487" i="34"/>
  <c r="F486" i="34"/>
  <c r="F485" i="34"/>
  <c r="F484" i="34"/>
  <c r="F483" i="34"/>
  <c r="F482" i="34"/>
  <c r="F481" i="34"/>
  <c r="F480" i="34"/>
  <c r="F479" i="34"/>
  <c r="F478" i="34"/>
  <c r="F477" i="34"/>
  <c r="F476" i="34"/>
  <c r="F475" i="34"/>
  <c r="F474" i="34"/>
  <c r="F473" i="34"/>
  <c r="F472" i="34"/>
  <c r="F471" i="34"/>
  <c r="F470" i="34"/>
  <c r="F469" i="34"/>
  <c r="F468" i="34"/>
  <c r="F467" i="34"/>
  <c r="F466" i="34"/>
  <c r="F465" i="34"/>
  <c r="F464" i="34"/>
  <c r="F463" i="34"/>
  <c r="F462" i="34"/>
  <c r="F461" i="34"/>
  <c r="F460" i="34"/>
  <c r="F459" i="34"/>
  <c r="F458" i="34"/>
  <c r="F457" i="34"/>
  <c r="F456" i="34"/>
  <c r="F455" i="34"/>
  <c r="F454" i="34"/>
  <c r="F453" i="34"/>
  <c r="F452" i="34"/>
  <c r="F451" i="34"/>
  <c r="F450" i="34"/>
  <c r="F449" i="34"/>
  <c r="F448" i="34"/>
  <c r="F447" i="34"/>
  <c r="F446" i="34"/>
  <c r="F445" i="34"/>
  <c r="F444" i="34"/>
  <c r="F443" i="34"/>
  <c r="F442" i="34"/>
  <c r="F441" i="34"/>
  <c r="F440" i="34"/>
  <c r="F439" i="34"/>
  <c r="F438" i="34"/>
  <c r="F437" i="34"/>
  <c r="F436" i="34"/>
  <c r="F435" i="34"/>
  <c r="F434" i="34"/>
  <c r="F433" i="34"/>
  <c r="F432" i="34"/>
  <c r="F431" i="34"/>
  <c r="F430" i="34"/>
  <c r="F429" i="34"/>
  <c r="F428" i="34"/>
  <c r="F427" i="34"/>
  <c r="F426" i="34"/>
  <c r="F425" i="34"/>
  <c r="F424" i="34"/>
  <c r="F401" i="34"/>
  <c r="F400" i="34"/>
  <c r="F399" i="34"/>
  <c r="F398" i="34"/>
  <c r="F397" i="34"/>
  <c r="F396" i="34"/>
  <c r="F395" i="34"/>
  <c r="F394" i="34"/>
  <c r="F393" i="34"/>
  <c r="F392" i="34"/>
  <c r="F391" i="34"/>
  <c r="F390" i="34"/>
  <c r="F389" i="34"/>
  <c r="F388" i="34"/>
  <c r="F387" i="34"/>
  <c r="F386" i="34"/>
  <c r="F385" i="34"/>
  <c r="F384" i="34"/>
  <c r="F383" i="34"/>
  <c r="F382" i="34"/>
  <c r="F381" i="34"/>
  <c r="F380" i="34"/>
  <c r="F379" i="34"/>
  <c r="F378" i="34"/>
  <c r="F377" i="34"/>
  <c r="F376" i="34"/>
  <c r="F375" i="34"/>
  <c r="F374" i="34"/>
  <c r="F373" i="34"/>
  <c r="F372" i="34"/>
  <c r="F371" i="34"/>
  <c r="F370" i="34"/>
  <c r="F369" i="34"/>
  <c r="F368" i="34"/>
  <c r="F367" i="34"/>
  <c r="F366" i="34"/>
  <c r="F365" i="34"/>
  <c r="F364" i="34"/>
  <c r="F363" i="34"/>
  <c r="F362" i="34"/>
  <c r="F361" i="34"/>
  <c r="F360" i="34"/>
  <c r="F359" i="34"/>
  <c r="F358" i="34"/>
  <c r="F357" i="34"/>
  <c r="F356" i="34"/>
  <c r="F355" i="34"/>
  <c r="F354" i="34"/>
  <c r="E353" i="34"/>
  <c r="F353" i="34" s="1"/>
  <c r="F352" i="34"/>
  <c r="F351" i="34"/>
  <c r="F350" i="34"/>
  <c r="F349" i="34"/>
  <c r="F348" i="34"/>
  <c r="F347" i="34"/>
  <c r="C342" i="34"/>
  <c r="C341" i="34"/>
  <c r="E340" i="34"/>
  <c r="F340" i="34" s="1"/>
  <c r="C340" i="34"/>
  <c r="F339" i="34"/>
  <c r="E338" i="34"/>
  <c r="F338" i="34" s="1"/>
  <c r="C338" i="34"/>
  <c r="F337" i="34"/>
  <c r="C337" i="34"/>
  <c r="C333" i="34"/>
  <c r="C332" i="34"/>
  <c r="C331" i="34"/>
  <c r="C330" i="34"/>
  <c r="C329" i="34"/>
  <c r="C328" i="34"/>
  <c r="C327" i="34"/>
  <c r="C326" i="34"/>
  <c r="E325" i="34"/>
  <c r="F325" i="34" s="1"/>
  <c r="C325" i="34"/>
  <c r="C324" i="34"/>
  <c r="E323" i="34"/>
  <c r="F323" i="34" s="1"/>
  <c r="C323" i="34"/>
  <c r="C322" i="34"/>
  <c r="C321" i="34"/>
  <c r="C320" i="34"/>
  <c r="C319" i="34"/>
  <c r="C318" i="34"/>
  <c r="C317" i="34"/>
  <c r="C316" i="34"/>
  <c r="C315" i="34"/>
  <c r="C314" i="34"/>
  <c r="E313" i="34"/>
  <c r="F313" i="34" s="1"/>
  <c r="C313" i="34"/>
  <c r="C312" i="34"/>
  <c r="C311" i="34"/>
  <c r="C310" i="34"/>
  <c r="C309" i="34"/>
  <c r="C308" i="34"/>
  <c r="C307" i="34"/>
  <c r="C306" i="34"/>
  <c r="C305" i="34"/>
  <c r="E304" i="34"/>
  <c r="F304" i="34" s="1"/>
  <c r="C304" i="34"/>
  <c r="C303" i="34"/>
  <c r="C302" i="34"/>
  <c r="E301" i="34"/>
  <c r="F301" i="34" s="1"/>
  <c r="C301" i="34"/>
  <c r="C300" i="34"/>
  <c r="C299" i="34"/>
  <c r="C298" i="34"/>
  <c r="C297" i="34"/>
  <c r="C296" i="34"/>
  <c r="C295" i="34"/>
  <c r="E294" i="34"/>
  <c r="F294" i="34" s="1"/>
  <c r="C294" i="34"/>
  <c r="C293" i="34"/>
  <c r="C292" i="34"/>
  <c r="E291" i="34"/>
  <c r="F291" i="34" s="1"/>
  <c r="C291" i="34"/>
  <c r="C290" i="34"/>
  <c r="C289" i="34"/>
  <c r="C288" i="34"/>
  <c r="C287" i="34"/>
  <c r="C286" i="34"/>
  <c r="C285" i="34"/>
  <c r="C284" i="34"/>
  <c r="C283" i="34"/>
  <c r="C282" i="34"/>
  <c r="C281" i="34"/>
  <c r="C280" i="34"/>
  <c r="C279" i="34"/>
  <c r="E278" i="34"/>
  <c r="F278" i="34" s="1"/>
  <c r="C278" i="34"/>
  <c r="C277" i="34"/>
  <c r="C276" i="34"/>
  <c r="C275" i="34"/>
  <c r="C274" i="34"/>
  <c r="C273" i="34"/>
  <c r="F272" i="34"/>
  <c r="F271" i="34"/>
  <c r="C270" i="34"/>
  <c r="C269" i="34"/>
  <c r="C268" i="34"/>
  <c r="C267" i="34"/>
  <c r="E266" i="34"/>
  <c r="F266" i="34" s="1"/>
  <c r="C266" i="34"/>
  <c r="C265" i="34"/>
  <c r="C264" i="34"/>
  <c r="C263" i="34"/>
  <c r="C262" i="34"/>
  <c r="C261" i="34"/>
  <c r="C260" i="34"/>
  <c r="C259" i="34"/>
  <c r="C258" i="34"/>
  <c r="E257" i="34"/>
  <c r="F257" i="34" s="1"/>
  <c r="C257" i="34"/>
  <c r="C256" i="34"/>
  <c r="C255" i="34"/>
  <c r="C254" i="34"/>
  <c r="C253" i="34"/>
  <c r="C252" i="34"/>
  <c r="C251" i="34"/>
  <c r="E250" i="34"/>
  <c r="F250" i="34" s="1"/>
  <c r="C250" i="34"/>
  <c r="C249" i="34"/>
  <c r="C248" i="34"/>
  <c r="C247" i="34"/>
  <c r="C246" i="34"/>
  <c r="C245" i="34"/>
  <c r="C244" i="34"/>
  <c r="C243" i="34"/>
  <c r="C242" i="34"/>
  <c r="C241" i="34"/>
  <c r="C240" i="34"/>
  <c r="C239" i="34"/>
  <c r="C238" i="34"/>
  <c r="C237" i="34"/>
  <c r="C236" i="34"/>
  <c r="C235" i="34"/>
  <c r="C234" i="34"/>
  <c r="C233" i="34"/>
  <c r="C232" i="34"/>
  <c r="C231" i="34"/>
  <c r="C230" i="34"/>
  <c r="C229" i="34"/>
  <c r="C228" i="34"/>
  <c r="C227" i="34"/>
  <c r="C226" i="34"/>
  <c r="C225" i="34"/>
  <c r="C224" i="34"/>
  <c r="C223" i="34"/>
  <c r="E222" i="34"/>
  <c r="F222" i="34" s="1"/>
  <c r="C222" i="34"/>
  <c r="C221" i="34"/>
  <c r="C220" i="34"/>
  <c r="C219" i="34"/>
  <c r="C218" i="34"/>
  <c r="C217" i="34"/>
  <c r="C216" i="34"/>
  <c r="C215" i="34"/>
  <c r="C214" i="34"/>
  <c r="C213" i="34"/>
  <c r="C212" i="34"/>
  <c r="C211" i="34"/>
  <c r="C210" i="34"/>
  <c r="C209" i="34"/>
  <c r="C208" i="34"/>
  <c r="C207" i="34"/>
  <c r="C206" i="34"/>
  <c r="C205" i="34"/>
  <c r="C204" i="34"/>
  <c r="C203" i="34"/>
  <c r="C202" i="34"/>
  <c r="C201" i="34"/>
  <c r="C200" i="34"/>
  <c r="C199" i="34"/>
  <c r="E198" i="34"/>
  <c r="F198" i="34" s="1"/>
  <c r="C198" i="34"/>
  <c r="C197" i="34"/>
  <c r="C196" i="34"/>
  <c r="C195" i="34"/>
  <c r="C194" i="34"/>
  <c r="C193" i="34"/>
  <c r="C192" i="34"/>
  <c r="C191" i="34"/>
  <c r="C190" i="34"/>
  <c r="C189" i="34"/>
  <c r="C188" i="34"/>
  <c r="C187" i="34"/>
  <c r="C186" i="34"/>
  <c r="C185" i="34"/>
  <c r="C184" i="34"/>
  <c r="C183" i="34"/>
  <c r="C182" i="34"/>
  <c r="C181" i="34"/>
  <c r="C180" i="34"/>
  <c r="C179" i="34"/>
  <c r="C178" i="34"/>
  <c r="C177" i="34"/>
  <c r="C176" i="34"/>
  <c r="E175" i="34"/>
  <c r="C174" i="34"/>
  <c r="C173" i="34"/>
  <c r="C172" i="34"/>
  <c r="C171" i="34"/>
  <c r="F166" i="34"/>
  <c r="C164" i="34"/>
  <c r="B164" i="34"/>
  <c r="C163" i="34"/>
  <c r="B163" i="34"/>
  <c r="C162" i="34"/>
  <c r="B162" i="34"/>
  <c r="C160" i="34"/>
  <c r="B160" i="34"/>
  <c r="C159" i="34"/>
  <c r="B159" i="34"/>
  <c r="C158" i="34"/>
  <c r="B158" i="34"/>
  <c r="C157" i="34"/>
  <c r="B157" i="34"/>
  <c r="C156" i="34"/>
  <c r="B156" i="34"/>
  <c r="F149" i="34"/>
  <c r="F148" i="34"/>
  <c r="F147" i="34"/>
  <c r="E146" i="34"/>
  <c r="F146" i="34" s="1"/>
  <c r="F139" i="34"/>
  <c r="E133" i="34"/>
  <c r="F133" i="34" s="1"/>
  <c r="E132" i="34"/>
  <c r="F132" i="34" s="1"/>
  <c r="E122" i="34"/>
  <c r="F122" i="34" s="1"/>
  <c r="E121" i="34"/>
  <c r="F121" i="34" s="1"/>
  <c r="E120" i="34"/>
  <c r="F120" i="34" s="1"/>
  <c r="E119" i="34"/>
  <c r="F119" i="34" s="1"/>
  <c r="E118" i="34"/>
  <c r="F118" i="34" s="1"/>
  <c r="E117" i="34"/>
  <c r="F117" i="34" s="1"/>
  <c r="E116" i="34"/>
  <c r="F116" i="34" s="1"/>
  <c r="E115" i="34"/>
  <c r="F115" i="34" s="1"/>
  <c r="E114" i="34"/>
  <c r="F114" i="34" s="1"/>
  <c r="E113" i="34"/>
  <c r="F113" i="34" s="1"/>
  <c r="E112" i="34"/>
  <c r="F112" i="34" s="1"/>
  <c r="E111" i="34"/>
  <c r="F111" i="34" s="1"/>
  <c r="E107" i="34"/>
  <c r="F107" i="34" s="1"/>
  <c r="E106" i="34"/>
  <c r="F106" i="34" s="1"/>
  <c r="E105" i="34"/>
  <c r="F105" i="34" s="1"/>
  <c r="F104" i="34"/>
  <c r="E103" i="34"/>
  <c r="F103" i="34" s="1"/>
  <c r="E100" i="34"/>
  <c r="F100" i="34" s="1"/>
  <c r="E99" i="34"/>
  <c r="F99" i="34" s="1"/>
  <c r="E95" i="34"/>
  <c r="F95" i="34" s="1"/>
  <c r="E94" i="34"/>
  <c r="F94" i="34" s="1"/>
  <c r="E93" i="34"/>
  <c r="F93" i="34" s="1"/>
  <c r="E91" i="34"/>
  <c r="F91" i="34" s="1"/>
  <c r="E86" i="34"/>
  <c r="F86" i="34" s="1"/>
  <c r="E84" i="34"/>
  <c r="F84" i="34" s="1"/>
  <c r="E83" i="34"/>
  <c r="F83" i="34" s="1"/>
  <c r="E80" i="34"/>
  <c r="F80" i="34" s="1"/>
  <c r="E77" i="34"/>
  <c r="F77" i="34" s="1"/>
  <c r="E75" i="34"/>
  <c r="F75" i="34" s="1"/>
  <c r="E46" i="34"/>
  <c r="F46" i="34" s="1"/>
  <c r="B46" i="34"/>
  <c r="B36" i="34"/>
  <c r="B35" i="34"/>
  <c r="B30" i="34"/>
  <c r="B29" i="34"/>
  <c r="B19" i="34"/>
  <c r="B18" i="34"/>
  <c r="I903" i="33"/>
  <c r="E903" i="33"/>
  <c r="I902" i="33"/>
  <c r="E902" i="33"/>
  <c r="F902" i="33" s="1"/>
  <c r="I901" i="33"/>
  <c r="E901" i="33"/>
  <c r="F901" i="33" s="1"/>
  <c r="E900" i="33"/>
  <c r="F900" i="33" s="1"/>
  <c r="J899" i="33"/>
  <c r="E899" i="33"/>
  <c r="F899" i="33" s="1"/>
  <c r="E898" i="33"/>
  <c r="L898" i="33" s="1"/>
  <c r="N898" i="33" s="1"/>
  <c r="E897" i="33"/>
  <c r="L897" i="33" s="1"/>
  <c r="N897" i="33" s="1"/>
  <c r="E896" i="33"/>
  <c r="F896" i="33" s="1"/>
  <c r="J895" i="33"/>
  <c r="E895" i="33"/>
  <c r="F895" i="33" s="1"/>
  <c r="E889" i="33"/>
  <c r="G889" i="33" s="1"/>
  <c r="H889" i="33" s="1"/>
  <c r="G880" i="33"/>
  <c r="D880" i="33"/>
  <c r="C880" i="33"/>
  <c r="G879" i="33"/>
  <c r="D879" i="33"/>
  <c r="C879" i="33"/>
  <c r="G878" i="33"/>
  <c r="D878" i="33"/>
  <c r="G877" i="33"/>
  <c r="D877" i="33"/>
  <c r="E876" i="33"/>
  <c r="E880" i="33" s="1"/>
  <c r="B876" i="33"/>
  <c r="G875" i="33"/>
  <c r="B875" i="33"/>
  <c r="I899" i="33"/>
  <c r="F842" i="33"/>
  <c r="F841" i="33"/>
  <c r="F836" i="33"/>
  <c r="F835" i="33"/>
  <c r="F834" i="33"/>
  <c r="F833" i="33"/>
  <c r="F832" i="33"/>
  <c r="F831" i="33"/>
  <c r="F830" i="33"/>
  <c r="F829" i="33"/>
  <c r="F828" i="33"/>
  <c r="F827" i="33"/>
  <c r="F826" i="33"/>
  <c r="F825" i="33"/>
  <c r="F824" i="33"/>
  <c r="F823" i="33"/>
  <c r="F822" i="33"/>
  <c r="F821" i="33"/>
  <c r="F820" i="33"/>
  <c r="F819" i="33"/>
  <c r="F818" i="33"/>
  <c r="F817" i="33"/>
  <c r="F816" i="33"/>
  <c r="F815" i="33"/>
  <c r="F814" i="33"/>
  <c r="F813" i="33"/>
  <c r="F812" i="33"/>
  <c r="F811" i="33"/>
  <c r="F810" i="33"/>
  <c r="F809" i="33"/>
  <c r="F808" i="33"/>
  <c r="F807" i="33"/>
  <c r="F806" i="33"/>
  <c r="F805" i="33"/>
  <c r="F804" i="33"/>
  <c r="F803" i="33"/>
  <c r="F802" i="33"/>
  <c r="F801" i="33"/>
  <c r="F800" i="33"/>
  <c r="F799" i="33"/>
  <c r="F798" i="33"/>
  <c r="F797" i="33"/>
  <c r="F796" i="33"/>
  <c r="F795" i="33"/>
  <c r="F794" i="33"/>
  <c r="F793" i="33"/>
  <c r="F792" i="33"/>
  <c r="F791" i="33"/>
  <c r="F790" i="33"/>
  <c r="F789" i="33"/>
  <c r="F788" i="33"/>
  <c r="F787" i="33"/>
  <c r="F786" i="33"/>
  <c r="F785" i="33"/>
  <c r="F784" i="33"/>
  <c r="F783" i="33"/>
  <c r="F782" i="33"/>
  <c r="F781" i="33"/>
  <c r="F780" i="33"/>
  <c r="F779" i="33"/>
  <c r="F778" i="33"/>
  <c r="F777" i="33"/>
  <c r="F776" i="33"/>
  <c r="E775" i="33"/>
  <c r="F775" i="33" s="1"/>
  <c r="F774" i="33"/>
  <c r="E773" i="33"/>
  <c r="F773" i="33" s="1"/>
  <c r="F772" i="33"/>
  <c r="F771" i="33"/>
  <c r="F770" i="33"/>
  <c r="F769" i="33"/>
  <c r="F768" i="33"/>
  <c r="F767" i="33"/>
  <c r="F766" i="33"/>
  <c r="F765" i="33"/>
  <c r="F764" i="33"/>
  <c r="F763" i="33"/>
  <c r="F762" i="33"/>
  <c r="F761" i="33"/>
  <c r="F760" i="33"/>
  <c r="F759" i="33"/>
  <c r="F758" i="33"/>
  <c r="F751" i="33"/>
  <c r="F750" i="33"/>
  <c r="F749" i="33"/>
  <c r="F748" i="33"/>
  <c r="F747" i="33"/>
  <c r="F746" i="33"/>
  <c r="F745" i="33"/>
  <c r="F744" i="33"/>
  <c r="F743" i="33"/>
  <c r="F742" i="33"/>
  <c r="F741" i="33"/>
  <c r="F740" i="33"/>
  <c r="F739" i="33"/>
  <c r="F738" i="33"/>
  <c r="F737" i="33"/>
  <c r="F736" i="33"/>
  <c r="F735" i="33"/>
  <c r="F734" i="33"/>
  <c r="F733" i="33"/>
  <c r="F732" i="33"/>
  <c r="F731" i="33"/>
  <c r="E730" i="33"/>
  <c r="F730" i="33" s="1"/>
  <c r="F729" i="33"/>
  <c r="F728" i="33"/>
  <c r="F727" i="33"/>
  <c r="F726" i="33"/>
  <c r="F725" i="33"/>
  <c r="F724" i="33"/>
  <c r="F723" i="33"/>
  <c r="F722" i="33"/>
  <c r="F721" i="33"/>
  <c r="F720" i="33"/>
  <c r="F719" i="33"/>
  <c r="F718" i="33"/>
  <c r="F717" i="33"/>
  <c r="F716" i="33"/>
  <c r="F715" i="33"/>
  <c r="F714" i="33"/>
  <c r="F713" i="33"/>
  <c r="F712" i="33"/>
  <c r="F711" i="33"/>
  <c r="F710" i="33"/>
  <c r="F709" i="33"/>
  <c r="F708" i="33"/>
  <c r="F707" i="33"/>
  <c r="F706" i="33"/>
  <c r="F705" i="33"/>
  <c r="F704" i="33"/>
  <c r="F703" i="33"/>
  <c r="F702" i="33"/>
  <c r="F701" i="33"/>
  <c r="F700" i="33"/>
  <c r="F699" i="33"/>
  <c r="F698" i="33"/>
  <c r="F697" i="33"/>
  <c r="F696" i="33"/>
  <c r="F695" i="33"/>
  <c r="F694" i="33"/>
  <c r="F693" i="33"/>
  <c r="F692" i="33"/>
  <c r="F685" i="33"/>
  <c r="F684" i="33"/>
  <c r="F683" i="33"/>
  <c r="F682" i="33"/>
  <c r="F681" i="33"/>
  <c r="F680" i="33"/>
  <c r="F679" i="33"/>
  <c r="F678" i="33"/>
  <c r="F677" i="33"/>
  <c r="F676" i="33"/>
  <c r="F674" i="33"/>
  <c r="F673" i="33"/>
  <c r="F672" i="33"/>
  <c r="F671" i="33"/>
  <c r="F668" i="33"/>
  <c r="F667" i="33"/>
  <c r="F666" i="33"/>
  <c r="F665" i="33"/>
  <c r="F664" i="33"/>
  <c r="F663" i="33"/>
  <c r="F662" i="33"/>
  <c r="F661" i="33"/>
  <c r="F660" i="33"/>
  <c r="F659" i="33"/>
  <c r="F658" i="33"/>
  <c r="F657" i="33"/>
  <c r="F656" i="33"/>
  <c r="F655" i="33"/>
  <c r="F654" i="33"/>
  <c r="F653" i="33"/>
  <c r="F652" i="33"/>
  <c r="F651" i="33"/>
  <c r="F650" i="33"/>
  <c r="F649" i="33"/>
  <c r="F648" i="33"/>
  <c r="F647" i="33"/>
  <c r="F646" i="33"/>
  <c r="F645" i="33"/>
  <c r="F644" i="33"/>
  <c r="F643" i="33"/>
  <c r="F642" i="33"/>
  <c r="F641" i="33"/>
  <c r="F640" i="33"/>
  <c r="F639" i="33"/>
  <c r="F638" i="33"/>
  <c r="F637" i="33"/>
  <c r="F636" i="33"/>
  <c r="F635" i="33"/>
  <c r="F634" i="33"/>
  <c r="F633" i="33"/>
  <c r="F632" i="33"/>
  <c r="F631" i="33"/>
  <c r="F630" i="33"/>
  <c r="F629" i="33"/>
  <c r="F628" i="33"/>
  <c r="F627" i="33"/>
  <c r="F626" i="33"/>
  <c r="F625" i="33"/>
  <c r="F624" i="33"/>
  <c r="F623" i="33"/>
  <c r="F622" i="33"/>
  <c r="F621" i="33"/>
  <c r="F620" i="33"/>
  <c r="F619" i="33"/>
  <c r="F618" i="33"/>
  <c r="F617" i="33"/>
  <c r="F616" i="33"/>
  <c r="F615" i="33"/>
  <c r="F614" i="33"/>
  <c r="F613" i="33"/>
  <c r="F612" i="33"/>
  <c r="F611" i="33"/>
  <c r="F610" i="33"/>
  <c r="F609" i="33"/>
  <c r="F608" i="33"/>
  <c r="F607" i="33"/>
  <c r="F606" i="33"/>
  <c r="F605" i="33"/>
  <c r="F604" i="33"/>
  <c r="F603" i="33"/>
  <c r="F602" i="33"/>
  <c r="F601" i="33"/>
  <c r="F600" i="33"/>
  <c r="F599" i="33"/>
  <c r="F598" i="33"/>
  <c r="F597" i="33"/>
  <c r="F596" i="33"/>
  <c r="F595" i="33"/>
  <c r="F594" i="33"/>
  <c r="F593" i="33"/>
  <c r="F592" i="33"/>
  <c r="F591" i="33"/>
  <c r="F590" i="33"/>
  <c r="F589" i="33"/>
  <c r="F588" i="33"/>
  <c r="F587" i="33"/>
  <c r="F586" i="33"/>
  <c r="F585" i="33"/>
  <c r="F584" i="33"/>
  <c r="F583" i="33"/>
  <c r="F582" i="33"/>
  <c r="F581" i="33"/>
  <c r="F580" i="33"/>
  <c r="F579" i="33"/>
  <c r="F578" i="33"/>
  <c r="F577" i="33"/>
  <c r="F576" i="33"/>
  <c r="F575" i="33"/>
  <c r="F574" i="33"/>
  <c r="F573" i="33"/>
  <c r="F572" i="33"/>
  <c r="F571" i="33"/>
  <c r="F570" i="33"/>
  <c r="F569" i="33"/>
  <c r="F568" i="33"/>
  <c r="F567" i="33"/>
  <c r="F566" i="33"/>
  <c r="F565" i="33"/>
  <c r="F564" i="33"/>
  <c r="F563" i="33"/>
  <c r="F562" i="33"/>
  <c r="F561" i="33"/>
  <c r="F560" i="33"/>
  <c r="F559" i="33"/>
  <c r="F558" i="33"/>
  <c r="F557" i="33"/>
  <c r="F556" i="33"/>
  <c r="F555" i="33"/>
  <c r="F554" i="33"/>
  <c r="F553" i="33"/>
  <c r="F552" i="33"/>
  <c r="F551" i="33"/>
  <c r="F550" i="33"/>
  <c r="F549" i="33"/>
  <c r="F548" i="33"/>
  <c r="F547" i="33"/>
  <c r="F546" i="33"/>
  <c r="F545" i="33"/>
  <c r="F544" i="33"/>
  <c r="F543" i="33"/>
  <c r="F542" i="33"/>
  <c r="F541" i="33"/>
  <c r="F540" i="33"/>
  <c r="F539" i="33"/>
  <c r="F538" i="33"/>
  <c r="F537" i="33"/>
  <c r="F536" i="33"/>
  <c r="F535" i="33"/>
  <c r="F534" i="33"/>
  <c r="F533" i="33"/>
  <c r="F532" i="33"/>
  <c r="F531" i="33"/>
  <c r="F530" i="33"/>
  <c r="F529" i="33"/>
  <c r="F528" i="33"/>
  <c r="F527" i="33"/>
  <c r="F526" i="33"/>
  <c r="F525" i="33"/>
  <c r="F524" i="33"/>
  <c r="F523" i="33"/>
  <c r="F522" i="33"/>
  <c r="F521" i="33"/>
  <c r="F520" i="33"/>
  <c r="F519" i="33"/>
  <c r="F518" i="33"/>
  <c r="F517" i="33"/>
  <c r="F516" i="33"/>
  <c r="F515" i="33"/>
  <c r="F514" i="33"/>
  <c r="F513" i="33"/>
  <c r="F512" i="33"/>
  <c r="F511" i="33"/>
  <c r="F510" i="33"/>
  <c r="F509" i="33"/>
  <c r="F508" i="33"/>
  <c r="F507" i="33"/>
  <c r="F506" i="33"/>
  <c r="F505" i="33"/>
  <c r="F504" i="33"/>
  <c r="F503" i="33"/>
  <c r="F502" i="33"/>
  <c r="F501" i="33"/>
  <c r="F500" i="33"/>
  <c r="F499" i="33"/>
  <c r="F498" i="33"/>
  <c r="F497" i="33"/>
  <c r="F496" i="33"/>
  <c r="F495" i="33"/>
  <c r="F494" i="33"/>
  <c r="F493" i="33"/>
  <c r="F492" i="33"/>
  <c r="F491" i="33"/>
  <c r="F490" i="33"/>
  <c r="F489" i="33"/>
  <c r="F488" i="33"/>
  <c r="F487" i="33"/>
  <c r="F486" i="33"/>
  <c r="F485" i="33"/>
  <c r="F484" i="33"/>
  <c r="F483" i="33"/>
  <c r="F482" i="33"/>
  <c r="F481" i="33"/>
  <c r="F480" i="33"/>
  <c r="F479" i="33"/>
  <c r="F478" i="33"/>
  <c r="F477" i="33"/>
  <c r="F476" i="33"/>
  <c r="F475" i="33"/>
  <c r="F474" i="33"/>
  <c r="F473" i="33"/>
  <c r="F472" i="33"/>
  <c r="F471" i="33"/>
  <c r="F470" i="33"/>
  <c r="F469" i="33"/>
  <c r="F468" i="33"/>
  <c r="F467" i="33"/>
  <c r="F466" i="33"/>
  <c r="F465" i="33"/>
  <c r="F464" i="33"/>
  <c r="F463" i="33"/>
  <c r="F462" i="33"/>
  <c r="F461" i="33"/>
  <c r="F460" i="33"/>
  <c r="F459" i="33"/>
  <c r="F458" i="33"/>
  <c r="F457" i="33"/>
  <c r="F456" i="33"/>
  <c r="F455" i="33"/>
  <c r="F454" i="33"/>
  <c r="F453" i="33"/>
  <c r="F452" i="33"/>
  <c r="F451" i="33"/>
  <c r="F450" i="33"/>
  <c r="F449" i="33"/>
  <c r="F448" i="33"/>
  <c r="F447" i="33"/>
  <c r="F446" i="33"/>
  <c r="F445" i="33"/>
  <c r="F444" i="33"/>
  <c r="F443" i="33"/>
  <c r="F442" i="33"/>
  <c r="F441" i="33"/>
  <c r="F440" i="33"/>
  <c r="F439" i="33"/>
  <c r="F438" i="33"/>
  <c r="F437" i="33"/>
  <c r="F436" i="33"/>
  <c r="F435" i="33"/>
  <c r="F434" i="33"/>
  <c r="F433" i="33"/>
  <c r="F432" i="33"/>
  <c r="F431" i="33"/>
  <c r="F430" i="33"/>
  <c r="F429" i="33"/>
  <c r="F428" i="33"/>
  <c r="F427" i="33"/>
  <c r="F426" i="33"/>
  <c r="F425" i="33"/>
  <c r="F424" i="33"/>
  <c r="F423" i="33"/>
  <c r="F419" i="33"/>
  <c r="F403" i="33"/>
  <c r="F399" i="33"/>
  <c r="F398" i="33"/>
  <c r="F397" i="33"/>
  <c r="F396" i="33"/>
  <c r="F395" i="33"/>
  <c r="F394" i="33"/>
  <c r="F393" i="33"/>
  <c r="F392" i="33"/>
  <c r="F391" i="33"/>
  <c r="F390" i="33"/>
  <c r="F389" i="33"/>
  <c r="F388" i="33"/>
  <c r="F387" i="33"/>
  <c r="F386" i="33"/>
  <c r="F385" i="33"/>
  <c r="F384" i="33"/>
  <c r="F383" i="33"/>
  <c r="F382" i="33"/>
  <c r="F381" i="33"/>
  <c r="F380" i="33"/>
  <c r="F379" i="33"/>
  <c r="F378" i="33"/>
  <c r="F377" i="33"/>
  <c r="F376" i="33"/>
  <c r="F375" i="33"/>
  <c r="F374" i="33"/>
  <c r="F373" i="33"/>
  <c r="F372" i="33"/>
  <c r="F371" i="33"/>
  <c r="F370" i="33"/>
  <c r="F369" i="33"/>
  <c r="F368" i="33"/>
  <c r="F367" i="33"/>
  <c r="F366" i="33"/>
  <c r="F365" i="33"/>
  <c r="F364" i="33"/>
  <c r="F363" i="33"/>
  <c r="F362" i="33"/>
  <c r="F361" i="33"/>
  <c r="F360" i="33"/>
  <c r="F359" i="33"/>
  <c r="F358" i="33"/>
  <c r="F357" i="33"/>
  <c r="F356" i="33"/>
  <c r="F355" i="33"/>
  <c r="E354" i="33"/>
  <c r="F354" i="33" s="1"/>
  <c r="F353" i="33"/>
  <c r="F352" i="33"/>
  <c r="F351" i="33"/>
  <c r="F350" i="33"/>
  <c r="F349" i="33"/>
  <c r="F348" i="33"/>
  <c r="C343" i="33"/>
  <c r="C342" i="33"/>
  <c r="E341" i="33"/>
  <c r="F341" i="33" s="1"/>
  <c r="C341" i="33"/>
  <c r="F340" i="33"/>
  <c r="E339" i="33"/>
  <c r="F339" i="33" s="1"/>
  <c r="C339" i="33"/>
  <c r="F338" i="33"/>
  <c r="C338" i="33"/>
  <c r="C334" i="33"/>
  <c r="C333" i="33"/>
  <c r="C332" i="33"/>
  <c r="C331" i="33"/>
  <c r="C330" i="33"/>
  <c r="C329" i="33"/>
  <c r="C328" i="33"/>
  <c r="C327" i="33"/>
  <c r="E326" i="33"/>
  <c r="F326" i="33" s="1"/>
  <c r="C326" i="33"/>
  <c r="C325" i="33"/>
  <c r="E324" i="33"/>
  <c r="F324" i="33" s="1"/>
  <c r="C324" i="33"/>
  <c r="C323" i="33"/>
  <c r="C322" i="33"/>
  <c r="C321" i="33"/>
  <c r="C320" i="33"/>
  <c r="C319" i="33"/>
  <c r="C318" i="33"/>
  <c r="C317" i="33"/>
  <c r="C316" i="33"/>
  <c r="C315" i="33"/>
  <c r="E314" i="33"/>
  <c r="F314" i="33" s="1"/>
  <c r="C314" i="33"/>
  <c r="C313" i="33"/>
  <c r="C312" i="33"/>
  <c r="C311" i="33"/>
  <c r="C310" i="33"/>
  <c r="C309" i="33"/>
  <c r="F308" i="33"/>
  <c r="C308" i="33"/>
  <c r="C307" i="33"/>
  <c r="C305" i="33"/>
  <c r="E304" i="33"/>
  <c r="F304" i="33" s="1"/>
  <c r="C304" i="33"/>
  <c r="C303" i="33"/>
  <c r="C302" i="33"/>
  <c r="E301" i="33"/>
  <c r="F301" i="33" s="1"/>
  <c r="C301" i="33"/>
  <c r="C300" i="33"/>
  <c r="C299" i="33"/>
  <c r="C298" i="33"/>
  <c r="C297" i="33"/>
  <c r="C296" i="33"/>
  <c r="C295" i="33"/>
  <c r="E294" i="33"/>
  <c r="F294" i="33" s="1"/>
  <c r="C294" i="33"/>
  <c r="C293" i="33"/>
  <c r="C292" i="33"/>
  <c r="E291" i="33"/>
  <c r="F291" i="33" s="1"/>
  <c r="C291" i="33"/>
  <c r="C290" i="33"/>
  <c r="C289" i="33"/>
  <c r="C288" i="33"/>
  <c r="C287" i="33"/>
  <c r="C286" i="33"/>
  <c r="C285" i="33"/>
  <c r="C284" i="33"/>
  <c r="C283" i="33"/>
  <c r="C282" i="33"/>
  <c r="C281" i="33"/>
  <c r="C280" i="33"/>
  <c r="C279" i="33"/>
  <c r="E278" i="33"/>
  <c r="F278" i="33" s="1"/>
  <c r="C278" i="33"/>
  <c r="C277" i="33"/>
  <c r="C276" i="33"/>
  <c r="C275" i="33"/>
  <c r="C274" i="33"/>
  <c r="C273" i="33"/>
  <c r="F272" i="33"/>
  <c r="F271" i="33"/>
  <c r="C270" i="33"/>
  <c r="C269" i="33"/>
  <c r="C268" i="33"/>
  <c r="C267" i="33"/>
  <c r="E266" i="33"/>
  <c r="F266" i="33" s="1"/>
  <c r="C266" i="33"/>
  <c r="C265" i="33"/>
  <c r="C264" i="33"/>
  <c r="C263" i="33"/>
  <c r="C262" i="33"/>
  <c r="C261" i="33"/>
  <c r="C260" i="33"/>
  <c r="C259" i="33"/>
  <c r="C258" i="33"/>
  <c r="E257" i="33"/>
  <c r="F257" i="33" s="1"/>
  <c r="C257" i="33"/>
  <c r="C256" i="33"/>
  <c r="C255" i="33"/>
  <c r="C254" i="33"/>
  <c r="C253" i="33"/>
  <c r="C252" i="33"/>
  <c r="C251" i="33"/>
  <c r="E250" i="33"/>
  <c r="F250" i="33" s="1"/>
  <c r="C250" i="33"/>
  <c r="C249" i="33"/>
  <c r="C248" i="33"/>
  <c r="C247" i="33"/>
  <c r="C246" i="33"/>
  <c r="C245" i="33"/>
  <c r="C244" i="33"/>
  <c r="C243" i="33"/>
  <c r="C242" i="33"/>
  <c r="C241" i="33"/>
  <c r="C240" i="33"/>
  <c r="C239" i="33"/>
  <c r="C238" i="33"/>
  <c r="C237" i="33"/>
  <c r="C236" i="33"/>
  <c r="C235" i="33"/>
  <c r="C234" i="33"/>
  <c r="C233" i="33"/>
  <c r="C232" i="33"/>
  <c r="C231" i="33"/>
  <c r="C230" i="33"/>
  <c r="C229" i="33"/>
  <c r="C228" i="33"/>
  <c r="C227" i="33"/>
  <c r="C226" i="33"/>
  <c r="C225" i="33"/>
  <c r="C224" i="33"/>
  <c r="C223" i="33"/>
  <c r="E222" i="33"/>
  <c r="F222" i="33" s="1"/>
  <c r="C222" i="33"/>
  <c r="C221" i="33"/>
  <c r="C220" i="33"/>
  <c r="C219" i="33"/>
  <c r="C218" i="33"/>
  <c r="C217" i="33"/>
  <c r="C216" i="33"/>
  <c r="C215" i="33"/>
  <c r="C214" i="33"/>
  <c r="C213" i="33"/>
  <c r="C212" i="33"/>
  <c r="C211" i="33"/>
  <c r="C210" i="33"/>
  <c r="C209" i="33"/>
  <c r="C208" i="33"/>
  <c r="C207" i="33"/>
  <c r="C206" i="33"/>
  <c r="C205" i="33"/>
  <c r="C204" i="33"/>
  <c r="C203" i="33"/>
  <c r="C202" i="33"/>
  <c r="C201" i="33"/>
  <c r="C200" i="33"/>
  <c r="C199" i="33"/>
  <c r="E198" i="33"/>
  <c r="F198" i="33" s="1"/>
  <c r="C198" i="33"/>
  <c r="C197" i="33"/>
  <c r="C196" i="33"/>
  <c r="C195" i="33"/>
  <c r="C194" i="33"/>
  <c r="C193" i="33"/>
  <c r="C192" i="33"/>
  <c r="C191" i="33"/>
  <c r="C190" i="33"/>
  <c r="C189" i="33"/>
  <c r="C188" i="33"/>
  <c r="C187" i="33"/>
  <c r="C186" i="33"/>
  <c r="C185" i="33"/>
  <c r="C184" i="33"/>
  <c r="C183" i="33"/>
  <c r="C182" i="33"/>
  <c r="C181" i="33"/>
  <c r="C180" i="33"/>
  <c r="C179" i="33"/>
  <c r="C178" i="33"/>
  <c r="C177" i="33"/>
  <c r="C176" i="33"/>
  <c r="E175" i="33"/>
  <c r="C174" i="33"/>
  <c r="C173" i="33"/>
  <c r="C172" i="33"/>
  <c r="C171" i="33"/>
  <c r="F166" i="33"/>
  <c r="C164" i="33"/>
  <c r="B164" i="33"/>
  <c r="C163" i="33"/>
  <c r="B163" i="33"/>
  <c r="C162" i="33"/>
  <c r="B162" i="33"/>
  <c r="C160" i="33"/>
  <c r="B160" i="33"/>
  <c r="C159" i="33"/>
  <c r="B159" i="33"/>
  <c r="C158" i="33"/>
  <c r="B158" i="33"/>
  <c r="C157" i="33"/>
  <c r="B157" i="33"/>
  <c r="C156" i="33"/>
  <c r="B156" i="33"/>
  <c r="F149" i="33"/>
  <c r="F148" i="33"/>
  <c r="F147" i="33"/>
  <c r="E146" i="33"/>
  <c r="F146" i="33" s="1"/>
  <c r="F139" i="33"/>
  <c r="E133" i="33"/>
  <c r="F133" i="33" s="1"/>
  <c r="E132" i="33"/>
  <c r="F132" i="33" s="1"/>
  <c r="E122" i="33"/>
  <c r="F122" i="33" s="1"/>
  <c r="E121" i="33"/>
  <c r="F121" i="33" s="1"/>
  <c r="E120" i="33"/>
  <c r="F120" i="33" s="1"/>
  <c r="E119" i="33"/>
  <c r="F119" i="33" s="1"/>
  <c r="E118" i="33"/>
  <c r="F118" i="33" s="1"/>
  <c r="E117" i="33"/>
  <c r="F117" i="33" s="1"/>
  <c r="E116" i="33"/>
  <c r="F116" i="33" s="1"/>
  <c r="E115" i="33"/>
  <c r="F115" i="33" s="1"/>
  <c r="E114" i="33"/>
  <c r="F114" i="33" s="1"/>
  <c r="E113" i="33"/>
  <c r="F113" i="33" s="1"/>
  <c r="E112" i="33"/>
  <c r="F112" i="33" s="1"/>
  <c r="E111" i="33"/>
  <c r="F111" i="33" s="1"/>
  <c r="E107" i="33"/>
  <c r="F107" i="33" s="1"/>
  <c r="E106" i="33"/>
  <c r="F106" i="33" s="1"/>
  <c r="E105" i="33"/>
  <c r="F105" i="33" s="1"/>
  <c r="F104" i="33"/>
  <c r="E103" i="33"/>
  <c r="F103" i="33" s="1"/>
  <c r="E100" i="33"/>
  <c r="F100" i="33" s="1"/>
  <c r="E99" i="33"/>
  <c r="F99" i="33" s="1"/>
  <c r="E95" i="33"/>
  <c r="F95" i="33" s="1"/>
  <c r="E94" i="33"/>
  <c r="F94" i="33" s="1"/>
  <c r="E93" i="33"/>
  <c r="F93" i="33" s="1"/>
  <c r="E91" i="33"/>
  <c r="F91" i="33" s="1"/>
  <c r="E86" i="33"/>
  <c r="F86" i="33" s="1"/>
  <c r="E84" i="33"/>
  <c r="F84" i="33" s="1"/>
  <c r="E83" i="33"/>
  <c r="F83" i="33" s="1"/>
  <c r="E80" i="33"/>
  <c r="F80" i="33" s="1"/>
  <c r="E77" i="33"/>
  <c r="F77" i="33" s="1"/>
  <c r="E75" i="33"/>
  <c r="F75" i="33" s="1"/>
  <c r="E46" i="33"/>
  <c r="F46" i="33" s="1"/>
  <c r="B46" i="33"/>
  <c r="B36" i="33"/>
  <c r="B35" i="33"/>
  <c r="B30" i="33"/>
  <c r="B29" i="33"/>
  <c r="B19" i="33"/>
  <c r="B18" i="33"/>
  <c r="I902" i="32"/>
  <c r="E902" i="32"/>
  <c r="F902" i="32" s="1"/>
  <c r="I901" i="32"/>
  <c r="E901" i="32"/>
  <c r="F901" i="32" s="1"/>
  <c r="I900" i="32"/>
  <c r="E900" i="32"/>
  <c r="E899" i="32"/>
  <c r="F899" i="32" s="1"/>
  <c r="J898" i="32"/>
  <c r="E898" i="32"/>
  <c r="F898" i="32" s="1"/>
  <c r="E897" i="32"/>
  <c r="F897" i="32" s="1"/>
  <c r="E896" i="32"/>
  <c r="L896" i="32" s="1"/>
  <c r="N896" i="32" s="1"/>
  <c r="E895" i="32"/>
  <c r="F895" i="32" s="1"/>
  <c r="J894" i="32"/>
  <c r="E894" i="32"/>
  <c r="F894" i="32" s="1"/>
  <c r="E888" i="32"/>
  <c r="G888" i="32" s="1"/>
  <c r="H888" i="32" s="1"/>
  <c r="G879" i="32"/>
  <c r="D879" i="32"/>
  <c r="C879" i="32"/>
  <c r="G878" i="32"/>
  <c r="D878" i="32"/>
  <c r="C878" i="32"/>
  <c r="G877" i="32"/>
  <c r="D877" i="32"/>
  <c r="G876" i="32"/>
  <c r="D876" i="32"/>
  <c r="E875" i="32"/>
  <c r="E879" i="32" s="1"/>
  <c r="B875" i="32"/>
  <c r="G874" i="32"/>
  <c r="B874" i="32"/>
  <c r="I898" i="32"/>
  <c r="F841" i="32"/>
  <c r="F840" i="32"/>
  <c r="F835" i="32"/>
  <c r="F834" i="32"/>
  <c r="F833" i="32"/>
  <c r="F832" i="32"/>
  <c r="F831" i="32"/>
  <c r="F830" i="32"/>
  <c r="F829" i="32"/>
  <c r="F828" i="32"/>
  <c r="F827" i="32"/>
  <c r="F826" i="32"/>
  <c r="F825" i="32"/>
  <c r="F824" i="32"/>
  <c r="F823" i="32"/>
  <c r="F822" i="32"/>
  <c r="F821" i="32"/>
  <c r="F820" i="32"/>
  <c r="F819" i="32"/>
  <c r="F818" i="32"/>
  <c r="F817" i="32"/>
  <c r="F816" i="32"/>
  <c r="F815" i="32"/>
  <c r="F814" i="32"/>
  <c r="F813" i="32"/>
  <c r="F812" i="32"/>
  <c r="F811" i="32"/>
  <c r="F810" i="32"/>
  <c r="F809" i="32"/>
  <c r="F808" i="32"/>
  <c r="F807" i="32"/>
  <c r="F806" i="32"/>
  <c r="F805" i="32"/>
  <c r="F804" i="32"/>
  <c r="F803" i="32"/>
  <c r="F802" i="32"/>
  <c r="F801" i="32"/>
  <c r="F800" i="32"/>
  <c r="F799" i="32"/>
  <c r="F798" i="32"/>
  <c r="F797" i="32"/>
  <c r="F796" i="32"/>
  <c r="F795" i="32"/>
  <c r="F794" i="32"/>
  <c r="F793" i="32"/>
  <c r="F792" i="32"/>
  <c r="F791" i="32"/>
  <c r="F790" i="32"/>
  <c r="F789" i="32"/>
  <c r="F788" i="32"/>
  <c r="F787" i="32"/>
  <c r="F786" i="32"/>
  <c r="F785" i="32"/>
  <c r="F784" i="32"/>
  <c r="F783" i="32"/>
  <c r="F782" i="32"/>
  <c r="F781" i="32"/>
  <c r="F780" i="32"/>
  <c r="F779" i="32"/>
  <c r="F778" i="32"/>
  <c r="F777" i="32"/>
  <c r="F776" i="32"/>
  <c r="F775" i="32"/>
  <c r="E774" i="32"/>
  <c r="F774" i="32" s="1"/>
  <c r="F773" i="32"/>
  <c r="E772" i="32"/>
  <c r="F772" i="32" s="1"/>
  <c r="F771" i="32"/>
  <c r="F770" i="32"/>
  <c r="F769" i="32"/>
  <c r="F768" i="32"/>
  <c r="F767" i="32"/>
  <c r="F766" i="32"/>
  <c r="F765" i="32"/>
  <c r="F764" i="32"/>
  <c r="F763" i="32"/>
  <c r="F762" i="32"/>
  <c r="F761" i="32"/>
  <c r="F760" i="32"/>
  <c r="F759" i="32"/>
  <c r="F758" i="32"/>
  <c r="F757" i="32"/>
  <c r="F750" i="32"/>
  <c r="F749" i="32"/>
  <c r="F748" i="32"/>
  <c r="F747" i="32"/>
  <c r="F746" i="32"/>
  <c r="F745" i="32"/>
  <c r="F744" i="32"/>
  <c r="F743" i="32"/>
  <c r="F742" i="32"/>
  <c r="F741" i="32"/>
  <c r="F740" i="32"/>
  <c r="F739" i="32"/>
  <c r="F738" i="32"/>
  <c r="F737" i="32"/>
  <c r="F736" i="32"/>
  <c r="F735" i="32"/>
  <c r="F734" i="32"/>
  <c r="F733" i="32"/>
  <c r="F732" i="32"/>
  <c r="F731" i="32"/>
  <c r="F730" i="32"/>
  <c r="E729" i="32"/>
  <c r="F729" i="32" s="1"/>
  <c r="F728" i="32"/>
  <c r="F727" i="32"/>
  <c r="F726" i="32"/>
  <c r="F725" i="32"/>
  <c r="F724" i="32"/>
  <c r="F723" i="32"/>
  <c r="F722" i="32"/>
  <c r="F721" i="32"/>
  <c r="F720" i="32"/>
  <c r="F719" i="32"/>
  <c r="F718" i="32"/>
  <c r="F717" i="32"/>
  <c r="F716" i="32"/>
  <c r="F715" i="32"/>
  <c r="F714" i="32"/>
  <c r="F713" i="32"/>
  <c r="F712" i="32"/>
  <c r="F711" i="32"/>
  <c r="F710" i="32"/>
  <c r="F709" i="32"/>
  <c r="F708" i="32"/>
  <c r="F707" i="32"/>
  <c r="F706" i="32"/>
  <c r="F705" i="32"/>
  <c r="F704" i="32"/>
  <c r="F703" i="32"/>
  <c r="F702" i="32"/>
  <c r="F701" i="32"/>
  <c r="F700" i="32"/>
  <c r="F699" i="32"/>
  <c r="F698" i="32"/>
  <c r="F697" i="32"/>
  <c r="F696" i="32"/>
  <c r="F695" i="32"/>
  <c r="F694" i="32"/>
  <c r="F693" i="32"/>
  <c r="F692" i="32"/>
  <c r="F691" i="32"/>
  <c r="F685" i="32"/>
  <c r="F684" i="32"/>
  <c r="F683" i="32"/>
  <c r="F682" i="32"/>
  <c r="F680" i="32"/>
  <c r="F679" i="32"/>
  <c r="F678" i="32"/>
  <c r="F677" i="32"/>
  <c r="F676" i="32"/>
  <c r="F675" i="32"/>
  <c r="F673" i="32"/>
  <c r="F672" i="32"/>
  <c r="F671" i="32"/>
  <c r="F670" i="32"/>
  <c r="F669" i="32"/>
  <c r="F668" i="32"/>
  <c r="F667" i="32"/>
  <c r="F666" i="32"/>
  <c r="F665" i="32"/>
  <c r="F664" i="32"/>
  <c r="F663" i="32"/>
  <c r="F662" i="32"/>
  <c r="F661" i="32"/>
  <c r="F660" i="32"/>
  <c r="F659" i="32"/>
  <c r="F658" i="32"/>
  <c r="F657" i="32"/>
  <c r="F656" i="32"/>
  <c r="F655" i="32"/>
  <c r="F654" i="32"/>
  <c r="F653" i="32"/>
  <c r="F652" i="32"/>
  <c r="F651" i="32"/>
  <c r="F650" i="32"/>
  <c r="F649" i="32"/>
  <c r="F648" i="32"/>
  <c r="F647" i="32"/>
  <c r="F646" i="32"/>
  <c r="F645" i="32"/>
  <c r="F644" i="32"/>
  <c r="F643" i="32"/>
  <c r="F642" i="32"/>
  <c r="F641" i="32"/>
  <c r="F640" i="32"/>
  <c r="F639" i="32"/>
  <c r="F638" i="32"/>
  <c r="F637" i="32"/>
  <c r="F636" i="32"/>
  <c r="F635" i="32"/>
  <c r="F634" i="32"/>
  <c r="F633" i="32"/>
  <c r="F632" i="32"/>
  <c r="F631" i="32"/>
  <c r="F630" i="32"/>
  <c r="F629" i="32"/>
  <c r="F628" i="32"/>
  <c r="F627" i="32"/>
  <c r="F626" i="32"/>
  <c r="F625" i="32"/>
  <c r="F624" i="32"/>
  <c r="F623" i="32"/>
  <c r="F622" i="32"/>
  <c r="F621" i="32"/>
  <c r="F620" i="32"/>
  <c r="F619" i="32"/>
  <c r="F618" i="32"/>
  <c r="F617" i="32"/>
  <c r="F616" i="32"/>
  <c r="F615" i="32"/>
  <c r="F614" i="32"/>
  <c r="F613" i="32"/>
  <c r="F612" i="32"/>
  <c r="F611" i="32"/>
  <c r="F610" i="32"/>
  <c r="F609" i="32"/>
  <c r="F608" i="32"/>
  <c r="F607" i="32"/>
  <c r="F606" i="32"/>
  <c r="F605" i="32"/>
  <c r="F604" i="32"/>
  <c r="F603" i="32"/>
  <c r="F602" i="32"/>
  <c r="F601" i="32"/>
  <c r="F600" i="32"/>
  <c r="F599" i="32"/>
  <c r="F598" i="32"/>
  <c r="F597" i="32"/>
  <c r="F596" i="32"/>
  <c r="F595" i="32"/>
  <c r="F594" i="32"/>
  <c r="F593" i="32"/>
  <c r="F592" i="32"/>
  <c r="F591" i="32"/>
  <c r="F590" i="32"/>
  <c r="F589" i="32"/>
  <c r="F588" i="32"/>
  <c r="F587" i="32"/>
  <c r="F586" i="32"/>
  <c r="F585" i="32"/>
  <c r="F584" i="32"/>
  <c r="F583" i="32"/>
  <c r="F582" i="32"/>
  <c r="F581" i="32"/>
  <c r="F580" i="32"/>
  <c r="F579" i="32"/>
  <c r="F578" i="32"/>
  <c r="F577" i="32"/>
  <c r="F576" i="32"/>
  <c r="F575" i="32"/>
  <c r="F574" i="32"/>
  <c r="F573" i="32"/>
  <c r="F572" i="32"/>
  <c r="F571" i="32"/>
  <c r="F570" i="32"/>
  <c r="F569" i="32"/>
  <c r="F568" i="32"/>
  <c r="F567" i="32"/>
  <c r="F566" i="32"/>
  <c r="F565" i="32"/>
  <c r="F564" i="32"/>
  <c r="F563" i="32"/>
  <c r="F562" i="32"/>
  <c r="F561" i="32"/>
  <c r="F560" i="32"/>
  <c r="F559" i="32"/>
  <c r="F558" i="32"/>
  <c r="F557" i="32"/>
  <c r="F556" i="32"/>
  <c r="F555" i="32"/>
  <c r="F554" i="32"/>
  <c r="F553" i="32"/>
  <c r="F552" i="32"/>
  <c r="F551" i="32"/>
  <c r="F550" i="32"/>
  <c r="F549" i="32"/>
  <c r="F548" i="32"/>
  <c r="F547" i="32"/>
  <c r="F546" i="32"/>
  <c r="F545" i="32"/>
  <c r="F544" i="32"/>
  <c r="F543" i="32"/>
  <c r="F542" i="32"/>
  <c r="F541" i="32"/>
  <c r="F540" i="32"/>
  <c r="F539" i="32"/>
  <c r="F538" i="32"/>
  <c r="F537" i="32"/>
  <c r="F536" i="32"/>
  <c r="F535" i="32"/>
  <c r="F534" i="32"/>
  <c r="F533" i="32"/>
  <c r="F532" i="32"/>
  <c r="F531" i="32"/>
  <c r="F530" i="32"/>
  <c r="F529" i="32"/>
  <c r="F528" i="32"/>
  <c r="F527" i="32"/>
  <c r="F526" i="32"/>
  <c r="F525" i="32"/>
  <c r="F524" i="32"/>
  <c r="F523" i="32"/>
  <c r="F522" i="32"/>
  <c r="F521" i="32"/>
  <c r="F520" i="32"/>
  <c r="F519" i="32"/>
  <c r="F518" i="32"/>
  <c r="F517" i="32"/>
  <c r="F516" i="32"/>
  <c r="F515" i="32"/>
  <c r="F514" i="32"/>
  <c r="F513" i="32"/>
  <c r="F512" i="32"/>
  <c r="F511" i="32"/>
  <c r="F510" i="32"/>
  <c r="F509" i="32"/>
  <c r="F508" i="32"/>
  <c r="F507" i="32"/>
  <c r="F506" i="32"/>
  <c r="F505" i="32"/>
  <c r="F504" i="32"/>
  <c r="F503" i="32"/>
  <c r="F502" i="32"/>
  <c r="F501" i="32"/>
  <c r="F500" i="32"/>
  <c r="F499" i="32"/>
  <c r="F498" i="32"/>
  <c r="F497" i="32"/>
  <c r="F496" i="32"/>
  <c r="F495" i="32"/>
  <c r="F494" i="32"/>
  <c r="F493" i="32"/>
  <c r="F492" i="32"/>
  <c r="F491" i="32"/>
  <c r="F490" i="32"/>
  <c r="F489" i="32"/>
  <c r="F488" i="32"/>
  <c r="F487" i="32"/>
  <c r="F486" i="32"/>
  <c r="F485" i="32"/>
  <c r="F484" i="32"/>
  <c r="F483" i="32"/>
  <c r="F482" i="32"/>
  <c r="F481" i="32"/>
  <c r="F480" i="32"/>
  <c r="F479" i="32"/>
  <c r="F478" i="32"/>
  <c r="F477" i="32"/>
  <c r="F476" i="32"/>
  <c r="F475" i="32"/>
  <c r="F474" i="32"/>
  <c r="F473" i="32"/>
  <c r="F472" i="32"/>
  <c r="F471" i="32"/>
  <c r="F470" i="32"/>
  <c r="F469" i="32"/>
  <c r="F468" i="32"/>
  <c r="F467" i="32"/>
  <c r="F466" i="32"/>
  <c r="F465" i="32"/>
  <c r="F464" i="32"/>
  <c r="F463" i="32"/>
  <c r="F462" i="32"/>
  <c r="F461" i="32"/>
  <c r="F460" i="32"/>
  <c r="F459" i="32"/>
  <c r="F458" i="32"/>
  <c r="F457" i="32"/>
  <c r="F456" i="32"/>
  <c r="F455" i="32"/>
  <c r="F454" i="32"/>
  <c r="F453" i="32"/>
  <c r="F452" i="32"/>
  <c r="F451" i="32"/>
  <c r="F450" i="32"/>
  <c r="F449" i="32"/>
  <c r="F448" i="32"/>
  <c r="F447" i="32"/>
  <c r="F446" i="32"/>
  <c r="F445" i="32"/>
  <c r="F444" i="32"/>
  <c r="F443" i="32"/>
  <c r="F442" i="32"/>
  <c r="F441" i="32"/>
  <c r="F440" i="32"/>
  <c r="F439" i="32"/>
  <c r="F438" i="32"/>
  <c r="F437" i="32"/>
  <c r="F436" i="32"/>
  <c r="F435" i="32"/>
  <c r="F434" i="32"/>
  <c r="F433" i="32"/>
  <c r="F432" i="32"/>
  <c r="F431" i="32"/>
  <c r="F430" i="32"/>
  <c r="F429" i="32"/>
  <c r="F428" i="32"/>
  <c r="F427" i="32"/>
  <c r="F426" i="32"/>
  <c r="F425" i="32"/>
  <c r="F424" i="32"/>
  <c r="F423" i="32"/>
  <c r="F422" i="32"/>
  <c r="F421" i="32"/>
  <c r="F420" i="32"/>
  <c r="F419" i="32"/>
  <c r="F418" i="32"/>
  <c r="F417" i="32"/>
  <c r="F416" i="32"/>
  <c r="F415" i="32"/>
  <c r="F414" i="32"/>
  <c r="E413" i="32"/>
  <c r="F413" i="32" s="1"/>
  <c r="F412" i="32"/>
  <c r="F411" i="32"/>
  <c r="F410" i="32"/>
  <c r="F409" i="32"/>
  <c r="F408" i="32"/>
  <c r="E407" i="32"/>
  <c r="F407" i="32" s="1"/>
  <c r="F406" i="32"/>
  <c r="F405" i="32"/>
  <c r="F404" i="32"/>
  <c r="F403" i="32"/>
  <c r="F402" i="32"/>
  <c r="F401" i="32"/>
  <c r="F400" i="32"/>
  <c r="F399" i="32"/>
  <c r="F398" i="32"/>
  <c r="F397" i="32"/>
  <c r="F396" i="32"/>
  <c r="F395" i="32"/>
  <c r="F394" i="32"/>
  <c r="F393" i="32"/>
  <c r="F391" i="32"/>
  <c r="F390" i="32"/>
  <c r="F389" i="32"/>
  <c r="F388" i="32"/>
  <c r="F387" i="32"/>
  <c r="F386" i="32"/>
  <c r="F385" i="32"/>
  <c r="F384" i="32"/>
  <c r="F383" i="32"/>
  <c r="F382" i="32"/>
  <c r="F381" i="32"/>
  <c r="F380" i="32"/>
  <c r="F378" i="32"/>
  <c r="F377" i="32"/>
  <c r="F376" i="32"/>
  <c r="F375" i="32"/>
  <c r="F374" i="32"/>
  <c r="F373" i="32"/>
  <c r="F372" i="32"/>
  <c r="F371" i="32"/>
  <c r="F369" i="32"/>
  <c r="F368" i="32"/>
  <c r="F367" i="32"/>
  <c r="F366" i="32"/>
  <c r="F365" i="32"/>
  <c r="F364" i="32"/>
  <c r="F363" i="32"/>
  <c r="F362" i="32"/>
  <c r="F361" i="32"/>
  <c r="F360" i="32"/>
  <c r="F359" i="32"/>
  <c r="F358" i="32"/>
  <c r="F357" i="32"/>
  <c r="F356" i="32"/>
  <c r="F355" i="32"/>
  <c r="F354" i="32"/>
  <c r="E353" i="32"/>
  <c r="F353" i="32" s="1"/>
  <c r="F352" i="32"/>
  <c r="F351" i="32"/>
  <c r="F350" i="32"/>
  <c r="F349" i="32"/>
  <c r="F348" i="32"/>
  <c r="F347" i="32"/>
  <c r="C342" i="32"/>
  <c r="C341" i="32"/>
  <c r="E340" i="32"/>
  <c r="F340" i="32" s="1"/>
  <c r="C340" i="32"/>
  <c r="F339" i="32"/>
  <c r="E338" i="32"/>
  <c r="F338" i="32" s="1"/>
  <c r="C338" i="32"/>
  <c r="F337" i="32"/>
  <c r="C337" i="32"/>
  <c r="C333" i="32"/>
  <c r="C332" i="32"/>
  <c r="C331" i="32"/>
  <c r="C330" i="32"/>
  <c r="C329" i="32"/>
  <c r="C328" i="32"/>
  <c r="C327" i="32"/>
  <c r="C326" i="32"/>
  <c r="E325" i="32"/>
  <c r="F325" i="32" s="1"/>
  <c r="C325" i="32"/>
  <c r="C324" i="32"/>
  <c r="E323" i="32"/>
  <c r="F323" i="32" s="1"/>
  <c r="C323" i="32"/>
  <c r="C322" i="32"/>
  <c r="C321" i="32"/>
  <c r="C320" i="32"/>
  <c r="C319" i="32"/>
  <c r="C318" i="32"/>
  <c r="C317" i="32"/>
  <c r="C316" i="32"/>
  <c r="C315" i="32"/>
  <c r="C314" i="32"/>
  <c r="E313" i="32"/>
  <c r="F313" i="32" s="1"/>
  <c r="C313" i="32"/>
  <c r="C312" i="32"/>
  <c r="C311" i="32"/>
  <c r="C310" i="32"/>
  <c r="C309" i="32"/>
  <c r="C308" i="32"/>
  <c r="C307" i="32"/>
  <c r="C306" i="32"/>
  <c r="C305" i="32"/>
  <c r="E304" i="32"/>
  <c r="F304" i="32" s="1"/>
  <c r="C304" i="32"/>
  <c r="C303" i="32"/>
  <c r="C302" i="32"/>
  <c r="E301" i="32"/>
  <c r="F301" i="32" s="1"/>
  <c r="C301" i="32"/>
  <c r="C300" i="32"/>
  <c r="C299" i="32"/>
  <c r="C298" i="32"/>
  <c r="C297" i="32"/>
  <c r="C296" i="32"/>
  <c r="C295" i="32"/>
  <c r="E294" i="32"/>
  <c r="F294" i="32" s="1"/>
  <c r="C294" i="32"/>
  <c r="C293" i="32"/>
  <c r="C292" i="32"/>
  <c r="E291" i="32"/>
  <c r="F291" i="32" s="1"/>
  <c r="C291" i="32"/>
  <c r="C290" i="32"/>
  <c r="C289" i="32"/>
  <c r="C288" i="32"/>
  <c r="C287" i="32"/>
  <c r="C286" i="32"/>
  <c r="C285" i="32"/>
  <c r="C284" i="32"/>
  <c r="C283" i="32"/>
  <c r="C282" i="32"/>
  <c r="C281" i="32"/>
  <c r="C280" i="32"/>
  <c r="C279" i="32"/>
  <c r="E278" i="32"/>
  <c r="F278" i="32" s="1"/>
  <c r="C278" i="32"/>
  <c r="C277" i="32"/>
  <c r="C276" i="32"/>
  <c r="C275" i="32"/>
  <c r="C274" i="32"/>
  <c r="C273" i="32"/>
  <c r="F272" i="32"/>
  <c r="F271" i="32"/>
  <c r="C270" i="32"/>
  <c r="C269" i="32"/>
  <c r="C268" i="32"/>
  <c r="C267" i="32"/>
  <c r="E266" i="32"/>
  <c r="F266" i="32" s="1"/>
  <c r="C266" i="32"/>
  <c r="C265" i="32"/>
  <c r="C264" i="32"/>
  <c r="C263" i="32"/>
  <c r="C262" i="32"/>
  <c r="C261" i="32"/>
  <c r="C260" i="32"/>
  <c r="C259" i="32"/>
  <c r="C258" i="32"/>
  <c r="E257" i="32"/>
  <c r="F257" i="32" s="1"/>
  <c r="C257" i="32"/>
  <c r="C256" i="32"/>
  <c r="C255" i="32"/>
  <c r="C254" i="32"/>
  <c r="C253" i="32"/>
  <c r="C252" i="32"/>
  <c r="C251" i="32"/>
  <c r="E250" i="32"/>
  <c r="F250" i="32" s="1"/>
  <c r="C250" i="32"/>
  <c r="C249" i="32"/>
  <c r="C248" i="32"/>
  <c r="C247" i="32"/>
  <c r="C246" i="32"/>
  <c r="C245" i="32"/>
  <c r="C244" i="32"/>
  <c r="C243" i="32"/>
  <c r="C242" i="32"/>
  <c r="C241" i="32"/>
  <c r="C240" i="32"/>
  <c r="C239" i="32"/>
  <c r="C238" i="32"/>
  <c r="C237" i="32"/>
  <c r="C236" i="32"/>
  <c r="C235" i="32"/>
  <c r="C234" i="32"/>
  <c r="C233" i="32"/>
  <c r="C232" i="32"/>
  <c r="C231" i="32"/>
  <c r="C230" i="32"/>
  <c r="C229" i="32"/>
  <c r="C228" i="32"/>
  <c r="C227" i="32"/>
  <c r="C226" i="32"/>
  <c r="C225" i="32"/>
  <c r="C224" i="32"/>
  <c r="C223" i="32"/>
  <c r="E222" i="32"/>
  <c r="F222" i="32" s="1"/>
  <c r="C222" i="32"/>
  <c r="C221" i="32"/>
  <c r="C220" i="32"/>
  <c r="C219" i="32"/>
  <c r="C218" i="32"/>
  <c r="C217" i="32"/>
  <c r="C216" i="32"/>
  <c r="C215" i="32"/>
  <c r="C214" i="32"/>
  <c r="C213" i="32"/>
  <c r="C212" i="32"/>
  <c r="C211" i="32"/>
  <c r="C210" i="32"/>
  <c r="C209" i="32"/>
  <c r="C208" i="32"/>
  <c r="C207" i="32"/>
  <c r="C206" i="32"/>
  <c r="C205" i="32"/>
  <c r="C204" i="32"/>
  <c r="C203" i="32"/>
  <c r="C202" i="32"/>
  <c r="C201" i="32"/>
  <c r="C200" i="32"/>
  <c r="C199" i="32"/>
  <c r="E198" i="32"/>
  <c r="F198" i="32" s="1"/>
  <c r="C198" i="32"/>
  <c r="C197" i="32"/>
  <c r="C196" i="32"/>
  <c r="C195" i="32"/>
  <c r="C194" i="32"/>
  <c r="C193" i="32"/>
  <c r="C192" i="32"/>
  <c r="C191" i="32"/>
  <c r="C190" i="32"/>
  <c r="C189" i="32"/>
  <c r="C188" i="32"/>
  <c r="C187" i="32"/>
  <c r="C186" i="32"/>
  <c r="C185" i="32"/>
  <c r="C184" i="32"/>
  <c r="C183" i="32"/>
  <c r="C182" i="32"/>
  <c r="C181" i="32"/>
  <c r="C180" i="32"/>
  <c r="C179" i="32"/>
  <c r="C178" i="32"/>
  <c r="C177" i="32"/>
  <c r="C176" i="32"/>
  <c r="E175" i="32"/>
  <c r="C174" i="32"/>
  <c r="C173" i="32"/>
  <c r="C172" i="32"/>
  <c r="C171" i="32"/>
  <c r="F166" i="32"/>
  <c r="C164" i="32"/>
  <c r="B164" i="32"/>
  <c r="C163" i="32"/>
  <c r="B163" i="32"/>
  <c r="C162" i="32"/>
  <c r="B162" i="32"/>
  <c r="C160" i="32"/>
  <c r="B160" i="32"/>
  <c r="C159" i="32"/>
  <c r="B159" i="32"/>
  <c r="C158" i="32"/>
  <c r="B158" i="32"/>
  <c r="C157" i="32"/>
  <c r="B157" i="32"/>
  <c r="C156" i="32"/>
  <c r="B156" i="32"/>
  <c r="F149" i="32"/>
  <c r="F148" i="32"/>
  <c r="F147" i="32"/>
  <c r="E146" i="32"/>
  <c r="F146" i="32" s="1"/>
  <c r="F139" i="32"/>
  <c r="E133" i="32"/>
  <c r="F133" i="32" s="1"/>
  <c r="E132" i="32"/>
  <c r="F132" i="32" s="1"/>
  <c r="E122" i="32"/>
  <c r="F122" i="32" s="1"/>
  <c r="E121" i="32"/>
  <c r="F121" i="32" s="1"/>
  <c r="E120" i="32"/>
  <c r="F120" i="32" s="1"/>
  <c r="E119" i="32"/>
  <c r="F119" i="32" s="1"/>
  <c r="E118" i="32"/>
  <c r="F118" i="32" s="1"/>
  <c r="E117" i="32"/>
  <c r="F117" i="32" s="1"/>
  <c r="E116" i="32"/>
  <c r="F116" i="32" s="1"/>
  <c r="E115" i="32"/>
  <c r="F115" i="32" s="1"/>
  <c r="E114" i="32"/>
  <c r="F114" i="32" s="1"/>
  <c r="E113" i="32"/>
  <c r="F113" i="32" s="1"/>
  <c r="E112" i="32"/>
  <c r="F112" i="32" s="1"/>
  <c r="E111" i="32"/>
  <c r="F111" i="32" s="1"/>
  <c r="E107" i="32"/>
  <c r="F107" i="32" s="1"/>
  <c r="E106" i="32"/>
  <c r="F106" i="32" s="1"/>
  <c r="E105" i="32"/>
  <c r="F105" i="32" s="1"/>
  <c r="E104" i="32"/>
  <c r="F104" i="32" s="1"/>
  <c r="E103" i="32"/>
  <c r="F103" i="32" s="1"/>
  <c r="E100" i="32"/>
  <c r="F100" i="32" s="1"/>
  <c r="E99" i="32"/>
  <c r="F99" i="32" s="1"/>
  <c r="E95" i="32"/>
  <c r="F95" i="32" s="1"/>
  <c r="E94" i="32"/>
  <c r="F94" i="32" s="1"/>
  <c r="E93" i="32"/>
  <c r="F93" i="32" s="1"/>
  <c r="E91" i="32"/>
  <c r="F91" i="32" s="1"/>
  <c r="E86" i="32"/>
  <c r="F86" i="32" s="1"/>
  <c r="E84" i="32"/>
  <c r="F84" i="32" s="1"/>
  <c r="E83" i="32"/>
  <c r="F83" i="32" s="1"/>
  <c r="E80" i="32"/>
  <c r="F80" i="32" s="1"/>
  <c r="E77" i="32"/>
  <c r="F77" i="32" s="1"/>
  <c r="E75" i="32"/>
  <c r="F75" i="32" s="1"/>
  <c r="E46" i="32"/>
  <c r="F46" i="32" s="1"/>
  <c r="B46" i="32"/>
  <c r="B36" i="32"/>
  <c r="B35" i="32"/>
  <c r="B30" i="32"/>
  <c r="B29" i="32"/>
  <c r="B19" i="32"/>
  <c r="B18" i="32"/>
  <c r="E825" i="18"/>
  <c r="F825" i="18" s="1"/>
  <c r="E823" i="18"/>
  <c r="F823" i="18" s="1"/>
  <c r="E367" i="18"/>
  <c r="E180" i="18"/>
  <c r="E204" i="18"/>
  <c r="E923" i="18"/>
  <c r="I957" i="18"/>
  <c r="E957" i="18"/>
  <c r="I956" i="18"/>
  <c r="E956" i="18"/>
  <c r="F956" i="18" s="1"/>
  <c r="I955" i="18"/>
  <c r="E955" i="18"/>
  <c r="F955" i="18" s="1"/>
  <c r="E954" i="18"/>
  <c r="F954" i="18" s="1"/>
  <c r="J953" i="18"/>
  <c r="E953" i="18"/>
  <c r="F953" i="18" s="1"/>
  <c r="E952" i="18"/>
  <c r="F952" i="18" s="1"/>
  <c r="E951" i="18"/>
  <c r="F951" i="18" s="1"/>
  <c r="E950" i="18"/>
  <c r="F950" i="18" s="1"/>
  <c r="J949" i="18"/>
  <c r="E949" i="18"/>
  <c r="F949" i="18" s="1"/>
  <c r="E943" i="18"/>
  <c r="G943" i="18" s="1"/>
  <c r="H943" i="18" s="1"/>
  <c r="G934" i="18"/>
  <c r="D934" i="18"/>
  <c r="C934" i="18"/>
  <c r="G933" i="18"/>
  <c r="D933" i="18"/>
  <c r="C933" i="18"/>
  <c r="G932" i="18"/>
  <c r="D932" i="18"/>
  <c r="G931" i="18"/>
  <c r="D931" i="18"/>
  <c r="E930" i="18"/>
  <c r="E934" i="18" s="1"/>
  <c r="B930" i="18"/>
  <c r="G929" i="18"/>
  <c r="B929" i="18"/>
  <c r="F895" i="18"/>
  <c r="F809" i="18"/>
  <c r="F810" i="18"/>
  <c r="F811" i="18"/>
  <c r="F812" i="18"/>
  <c r="F813" i="18"/>
  <c r="F814" i="18"/>
  <c r="F815" i="18"/>
  <c r="F816" i="18"/>
  <c r="F817" i="18"/>
  <c r="F818" i="18"/>
  <c r="F819" i="18"/>
  <c r="F820" i="18"/>
  <c r="F821" i="18"/>
  <c r="F822" i="18"/>
  <c r="F824"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8" i="18"/>
  <c r="F889" i="18"/>
  <c r="F890" i="18"/>
  <c r="F808" i="18"/>
  <c r="F715" i="18"/>
  <c r="F716" i="18"/>
  <c r="F717" i="18"/>
  <c r="F718" i="18"/>
  <c r="F719" i="18"/>
  <c r="F720" i="18"/>
  <c r="F721" i="18"/>
  <c r="F722" i="18"/>
  <c r="F723" i="18"/>
  <c r="F724" i="18"/>
  <c r="F725" i="18"/>
  <c r="F726" i="18"/>
  <c r="F727" i="18"/>
  <c r="F728" i="18"/>
  <c r="F729" i="18"/>
  <c r="F730" i="18"/>
  <c r="F731" i="18"/>
  <c r="F734" i="18"/>
  <c r="F736" i="18"/>
  <c r="F737" i="18"/>
  <c r="F738" i="18"/>
  <c r="F739" i="18"/>
  <c r="F740" i="18"/>
  <c r="F741" i="18"/>
  <c r="F742" i="18"/>
  <c r="F743" i="18"/>
  <c r="F744" i="18"/>
  <c r="F745" i="18"/>
  <c r="F746" i="18"/>
  <c r="F747" i="18"/>
  <c r="F748" i="18"/>
  <c r="F749" i="18"/>
  <c r="F750" i="18"/>
  <c r="F751" i="18"/>
  <c r="F752" i="18"/>
  <c r="F753" i="18"/>
  <c r="F754" i="18"/>
  <c r="F756" i="18"/>
  <c r="F757" i="18"/>
  <c r="F758" i="18"/>
  <c r="F759" i="18"/>
  <c r="F760" i="18"/>
  <c r="F761" i="18"/>
  <c r="F762" i="18"/>
  <c r="F763" i="18"/>
  <c r="F764" i="18"/>
  <c r="F765" i="18"/>
  <c r="F766" i="18"/>
  <c r="F767" i="18"/>
  <c r="F768" i="18"/>
  <c r="F769" i="18"/>
  <c r="F770" i="18"/>
  <c r="F771" i="18"/>
  <c r="F772" i="18"/>
  <c r="F773" i="18"/>
  <c r="F774" i="18"/>
  <c r="F775" i="18"/>
  <c r="F776" i="18"/>
  <c r="F714" i="18"/>
  <c r="E755" i="18"/>
  <c r="F755" i="18" s="1"/>
  <c r="K898" i="32" l="1"/>
  <c r="L898" i="32" s="1"/>
  <c r="N898" i="32" s="1"/>
  <c r="L909" i="34"/>
  <c r="N909" i="34" s="1"/>
  <c r="L985" i="36"/>
  <c r="N985" i="36" s="1"/>
  <c r="L901" i="35"/>
  <c r="N901" i="35" s="1"/>
  <c r="L930" i="37"/>
  <c r="N930" i="37" s="1"/>
  <c r="L931" i="37"/>
  <c r="N931" i="37" s="1"/>
  <c r="L932" i="37"/>
  <c r="N932" i="37" s="1"/>
  <c r="F926" i="37"/>
  <c r="E898" i="37"/>
  <c r="I924" i="37"/>
  <c r="K924" i="37" s="1"/>
  <c r="L924" i="37" s="1"/>
  <c r="M924" i="37" s="1"/>
  <c r="L981" i="36"/>
  <c r="N981" i="36" s="1"/>
  <c r="L987" i="36"/>
  <c r="N987" i="36" s="1"/>
  <c r="E955" i="36"/>
  <c r="E953" i="36"/>
  <c r="E954" i="36"/>
  <c r="I983" i="36"/>
  <c r="K983" i="36" s="1"/>
  <c r="L983" i="36" s="1"/>
  <c r="I876" i="35"/>
  <c r="E878" i="35"/>
  <c r="H874" i="35"/>
  <c r="L900" i="35"/>
  <c r="N900" i="35" s="1"/>
  <c r="L907" i="34"/>
  <c r="N907" i="34" s="1"/>
  <c r="H882" i="34"/>
  <c r="E886" i="34"/>
  <c r="L908" i="34"/>
  <c r="N908" i="34" s="1"/>
  <c r="L903" i="34"/>
  <c r="N903" i="34" s="1"/>
  <c r="E876" i="34"/>
  <c r="L901" i="33"/>
  <c r="N901" i="33" s="1"/>
  <c r="L902" i="33"/>
  <c r="N902" i="33" s="1"/>
  <c r="E871" i="33"/>
  <c r="K899" i="33"/>
  <c r="L899" i="33" s="1"/>
  <c r="N899" i="33" s="1"/>
  <c r="L901" i="32"/>
  <c r="N901" i="32" s="1"/>
  <c r="F896" i="32"/>
  <c r="L902" i="32"/>
  <c r="N902" i="32" s="1"/>
  <c r="E868" i="32"/>
  <c r="C891" i="37"/>
  <c r="H905" i="37"/>
  <c r="F931" i="37"/>
  <c r="I928" i="37"/>
  <c r="K928" i="37" s="1"/>
  <c r="L928" i="37" s="1"/>
  <c r="N928" i="37" s="1"/>
  <c r="E909" i="37"/>
  <c r="E899" i="37"/>
  <c r="I907" i="37"/>
  <c r="F987" i="36"/>
  <c r="C946" i="36"/>
  <c r="I979" i="36"/>
  <c r="K979" i="36" s="1"/>
  <c r="L979" i="36" s="1"/>
  <c r="M979" i="36" s="1"/>
  <c r="H960" i="36"/>
  <c r="L986" i="36"/>
  <c r="N986" i="36" s="1"/>
  <c r="E868" i="35"/>
  <c r="L895" i="35"/>
  <c r="N895" i="35" s="1"/>
  <c r="L899" i="35"/>
  <c r="N899" i="35" s="1"/>
  <c r="I897" i="35"/>
  <c r="K897" i="35" s="1"/>
  <c r="L897" i="35" s="1"/>
  <c r="M897" i="35" s="1"/>
  <c r="I905" i="34"/>
  <c r="K905" i="34" s="1"/>
  <c r="L905" i="34" s="1"/>
  <c r="N905" i="34" s="1"/>
  <c r="I884" i="34"/>
  <c r="I901" i="34"/>
  <c r="K901" i="34" s="1"/>
  <c r="L901" i="34" s="1"/>
  <c r="M901" i="34" s="1"/>
  <c r="C868" i="34"/>
  <c r="E875" i="33"/>
  <c r="E879" i="33" s="1"/>
  <c r="L903" i="33"/>
  <c r="N903" i="33" s="1"/>
  <c r="L897" i="32"/>
  <c r="N897" i="32" s="1"/>
  <c r="E870" i="32"/>
  <c r="L900" i="32"/>
  <c r="N900" i="32" s="1"/>
  <c r="L951" i="18"/>
  <c r="N951" i="18" s="1"/>
  <c r="L957" i="18"/>
  <c r="N957" i="18" s="1"/>
  <c r="H930" i="18"/>
  <c r="E932" i="18"/>
  <c r="I932" i="18" s="1"/>
  <c r="J934" i="18" s="1"/>
  <c r="L952" i="18"/>
  <c r="N952" i="18" s="1"/>
  <c r="L955" i="18"/>
  <c r="N955" i="18" s="1"/>
  <c r="L956" i="18"/>
  <c r="N956" i="18" s="1"/>
  <c r="H904" i="37"/>
  <c r="E906" i="37"/>
  <c r="I906" i="37" s="1"/>
  <c r="E908" i="37"/>
  <c r="E900" i="37"/>
  <c r="F927" i="37"/>
  <c r="F930" i="37"/>
  <c r="H959" i="36"/>
  <c r="E963" i="36"/>
  <c r="E961" i="36"/>
  <c r="I961" i="36" s="1"/>
  <c r="F982" i="36"/>
  <c r="F985" i="36"/>
  <c r="E962" i="36"/>
  <c r="I962" i="36" s="1"/>
  <c r="J964" i="36" s="1"/>
  <c r="E869" i="35"/>
  <c r="E873" i="35"/>
  <c r="F896" i="35"/>
  <c r="C860" i="35"/>
  <c r="I893" i="35"/>
  <c r="K893" i="35" s="1"/>
  <c r="L893" i="35" s="1"/>
  <c r="F901" i="35"/>
  <c r="E877" i="34"/>
  <c r="E881" i="34"/>
  <c r="F904" i="34"/>
  <c r="F909" i="34"/>
  <c r="F898" i="33"/>
  <c r="C862" i="33"/>
  <c r="I895" i="33"/>
  <c r="K895" i="33" s="1"/>
  <c r="L895" i="33" s="1"/>
  <c r="F903" i="33"/>
  <c r="E878" i="33"/>
  <c r="I878" i="33" s="1"/>
  <c r="E869" i="33"/>
  <c r="F897" i="33"/>
  <c r="E870" i="33"/>
  <c r="H876" i="33"/>
  <c r="E874" i="32"/>
  <c r="F900" i="32"/>
  <c r="C861" i="32"/>
  <c r="I894" i="32"/>
  <c r="K894" i="32" s="1"/>
  <c r="L894" i="32" s="1"/>
  <c r="E877" i="32"/>
  <c r="I877" i="32" s="1"/>
  <c r="J879" i="32" s="1"/>
  <c r="E869" i="32"/>
  <c r="H875" i="32"/>
  <c r="K949" i="18"/>
  <c r="L949" i="18" s="1"/>
  <c r="N949" i="18" s="1"/>
  <c r="C916" i="18"/>
  <c r="E924" i="18"/>
  <c r="I953" i="18"/>
  <c r="K953" i="18" s="1"/>
  <c r="L953" i="18" s="1"/>
  <c r="E925" i="18"/>
  <c r="E929" i="18"/>
  <c r="F957" i="18"/>
  <c r="F362" i="18"/>
  <c r="F363" i="18"/>
  <c r="F364" i="18"/>
  <c r="F365" i="18"/>
  <c r="F366"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2" i="18"/>
  <c r="F413" i="18"/>
  <c r="F414" i="18"/>
  <c r="F415" i="18"/>
  <c r="F416" i="18"/>
  <c r="F419" i="18"/>
  <c r="F420" i="18"/>
  <c r="F422" i="18"/>
  <c r="F423" i="18"/>
  <c r="F424" i="18"/>
  <c r="F425" i="18"/>
  <c r="F427" i="18"/>
  <c r="F428" i="18"/>
  <c r="F429" i="18"/>
  <c r="F430" i="18"/>
  <c r="F431" i="18"/>
  <c r="F432" i="18"/>
  <c r="F434"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4" i="18"/>
  <c r="F695" i="18"/>
  <c r="F696" i="18"/>
  <c r="F697" i="18"/>
  <c r="F698" i="18"/>
  <c r="F699" i="18"/>
  <c r="F700" i="18"/>
  <c r="F703" i="18"/>
  <c r="F705" i="18"/>
  <c r="F706" i="18"/>
  <c r="F707" i="18"/>
  <c r="F708" i="18"/>
  <c r="F709" i="18"/>
  <c r="F360" i="18"/>
  <c r="E702" i="18"/>
  <c r="F702" i="18" s="1"/>
  <c r="E701" i="18"/>
  <c r="F701" i="18" s="1"/>
  <c r="E426" i="18"/>
  <c r="F426" i="18" s="1"/>
  <c r="E421" i="18"/>
  <c r="F421" i="18" s="1"/>
  <c r="F367" i="18"/>
  <c r="M898" i="32" l="1"/>
  <c r="J878" i="35"/>
  <c r="J886" i="34"/>
  <c r="J908" i="37"/>
  <c r="N924" i="37"/>
  <c r="O924" i="37" s="1"/>
  <c r="H911" i="37"/>
  <c r="J909" i="37"/>
  <c r="M928" i="37"/>
  <c r="H966" i="36"/>
  <c r="I966" i="36"/>
  <c r="M983" i="36"/>
  <c r="N983" i="36"/>
  <c r="Q983" i="36" s="1"/>
  <c r="N901" i="34"/>
  <c r="O901" i="34" s="1"/>
  <c r="M899" i="33"/>
  <c r="I911" i="37"/>
  <c r="N979" i="36"/>
  <c r="O979" i="36" s="1"/>
  <c r="N897" i="35"/>
  <c r="Q897" i="35" s="1"/>
  <c r="M905" i="34"/>
  <c r="H875" i="33"/>
  <c r="H882" i="33" s="1"/>
  <c r="E877" i="33"/>
  <c r="I877" i="33" s="1"/>
  <c r="J879" i="33" s="1"/>
  <c r="Q928" i="37"/>
  <c r="P928" i="37"/>
  <c r="J963" i="36"/>
  <c r="J966" i="36" s="1"/>
  <c r="N893" i="35"/>
  <c r="O893" i="35" s="1"/>
  <c r="M893" i="35"/>
  <c r="H873" i="35"/>
  <c r="H880" i="35" s="1"/>
  <c r="E877" i="35"/>
  <c r="E875" i="35"/>
  <c r="I875" i="35" s="1"/>
  <c r="I880" i="35" s="1"/>
  <c r="H881" i="34"/>
  <c r="H888" i="34" s="1"/>
  <c r="E885" i="34"/>
  <c r="E883" i="34"/>
  <c r="I883" i="34" s="1"/>
  <c r="I888" i="34" s="1"/>
  <c r="Q905" i="34"/>
  <c r="P905" i="34"/>
  <c r="J880" i="33"/>
  <c r="N895" i="33"/>
  <c r="O895" i="33" s="1"/>
  <c r="M895" i="33"/>
  <c r="Q899" i="33"/>
  <c r="P899" i="33"/>
  <c r="H874" i="32"/>
  <c r="H881" i="32" s="1"/>
  <c r="E878" i="32"/>
  <c r="E876" i="32"/>
  <c r="I876" i="32" s="1"/>
  <c r="I881" i="32" s="1"/>
  <c r="N894" i="32"/>
  <c r="O894" i="32" s="1"/>
  <c r="M894" i="32"/>
  <c r="Q898" i="32"/>
  <c r="P898" i="32"/>
  <c r="O949" i="18"/>
  <c r="M949" i="18"/>
  <c r="E933" i="18"/>
  <c r="E931" i="18"/>
  <c r="I931" i="18" s="1"/>
  <c r="I936" i="18" s="1"/>
  <c r="H929" i="18"/>
  <c r="H936" i="18" s="1"/>
  <c r="N953" i="18"/>
  <c r="M953" i="18"/>
  <c r="J882" i="33" l="1"/>
  <c r="K882" i="33" s="1"/>
  <c r="M882" i="33" s="1"/>
  <c r="J911" i="37"/>
  <c r="K911" i="37" s="1"/>
  <c r="M911" i="37" s="1"/>
  <c r="K966" i="36"/>
  <c r="M966" i="36" s="1"/>
  <c r="P983" i="36"/>
  <c r="P897" i="35"/>
  <c r="I882" i="33"/>
  <c r="J885" i="34"/>
  <c r="J888" i="34" s="1"/>
  <c r="K888" i="34" s="1"/>
  <c r="M888" i="34" s="1"/>
  <c r="J877" i="35"/>
  <c r="J880" i="35" s="1"/>
  <c r="K880" i="35" s="1"/>
  <c r="M880" i="35" s="1"/>
  <c r="J878" i="32"/>
  <c r="J881" i="32" s="1"/>
  <c r="K881" i="32" s="1"/>
  <c r="M881" i="32" s="1"/>
  <c r="Q953" i="18"/>
  <c r="P953" i="18"/>
  <c r="J933" i="18"/>
  <c r="J936" i="18" s="1"/>
  <c r="K936" i="18" s="1"/>
  <c r="M936" i="18" s="1"/>
  <c r="D139" i="6" l="1"/>
  <c r="E313" i="38" l="1"/>
  <c r="F313" i="38" s="1"/>
  <c r="E305" i="37"/>
  <c r="F305" i="37" s="1"/>
  <c r="E305" i="36"/>
  <c r="F305" i="36" s="1"/>
  <c r="E305" i="35"/>
  <c r="F305" i="35" s="1"/>
  <c r="E305" i="34"/>
  <c r="F305" i="34" s="1"/>
  <c r="E305" i="32"/>
  <c r="F305" i="32" s="1"/>
  <c r="E305" i="33"/>
  <c r="F305" i="33" s="1"/>
  <c r="D78" i="25"/>
  <c r="F308" i="4"/>
  <c r="B60" i="25"/>
  <c r="F65" i="25"/>
  <c r="D45" i="25"/>
  <c r="F45" i="25" s="1"/>
  <c r="F46" i="25"/>
  <c r="F74" i="25"/>
  <c r="F80" i="25" l="1"/>
  <c r="B80" i="25"/>
  <c r="B79" i="25"/>
  <c r="B78" i="25"/>
  <c r="B77" i="25"/>
  <c r="G60" i="25"/>
  <c r="D72" i="25" l="1"/>
  <c r="F72" i="25" s="1"/>
  <c r="G59" i="25"/>
  <c r="F141" i="18" l="1"/>
  <c r="B18" i="25"/>
  <c r="B17" i="25"/>
  <c r="C11" i="25"/>
  <c r="C12" i="25"/>
  <c r="C10" i="25"/>
  <c r="D81" i="25"/>
  <c r="C9" i="25"/>
  <c r="D79" i="25" l="1"/>
  <c r="D70" i="25" l="1"/>
  <c r="G57" i="25"/>
  <c r="E148" i="18" l="1"/>
  <c r="F149" i="18"/>
  <c r="F150" i="18"/>
  <c r="F151" i="18"/>
  <c r="F168" i="18" l="1"/>
  <c r="F148" i="18"/>
  <c r="E77" i="18" l="1"/>
  <c r="E79" i="18"/>
  <c r="E82" i="18"/>
  <c r="E85" i="18"/>
  <c r="E86" i="18"/>
  <c r="E88" i="18"/>
  <c r="E93" i="18"/>
  <c r="E95" i="18"/>
  <c r="E96" i="18"/>
  <c r="E97" i="18"/>
  <c r="E101" i="18"/>
  <c r="E102" i="18"/>
  <c r="E106" i="18"/>
  <c r="E107" i="18"/>
  <c r="E108" i="18"/>
  <c r="E109" i="18"/>
  <c r="E113" i="18"/>
  <c r="E114" i="18"/>
  <c r="E115" i="18"/>
  <c r="E116" i="18"/>
  <c r="E117" i="18"/>
  <c r="E118" i="18"/>
  <c r="E119" i="18"/>
  <c r="E120" i="18"/>
  <c r="E121" i="18"/>
  <c r="E122" i="18"/>
  <c r="E123" i="18"/>
  <c r="E124" i="18"/>
  <c r="E134" i="18"/>
  <c r="E135" i="18"/>
  <c r="E240" i="6"/>
  <c r="E237" i="6"/>
  <c r="E235" i="6"/>
  <c r="E234" i="6"/>
  <c r="E231" i="6"/>
  <c r="C174" i="18"/>
  <c r="C175" i="18"/>
  <c r="C177" i="18"/>
  <c r="C181" i="18"/>
  <c r="C182" i="18"/>
  <c r="C183" i="18"/>
  <c r="C184" i="18"/>
  <c r="C185" i="18"/>
  <c r="C186" i="18"/>
  <c r="C187" i="18"/>
  <c r="C188" i="18"/>
  <c r="C189" i="18"/>
  <c r="C190" i="18"/>
  <c r="C191" i="18"/>
  <c r="C192" i="18"/>
  <c r="C193" i="18"/>
  <c r="C194" i="18"/>
  <c r="C195" i="18"/>
  <c r="C196" i="18"/>
  <c r="C197" i="18"/>
  <c r="C199" i="18"/>
  <c r="C200" i="18"/>
  <c r="C201" i="18"/>
  <c r="C202" i="18"/>
  <c r="C203" i="18"/>
  <c r="C204" i="18"/>
  <c r="C205" i="18"/>
  <c r="C206" i="18"/>
  <c r="C207" i="18"/>
  <c r="C208" i="18"/>
  <c r="C209" i="18"/>
  <c r="C210" i="18"/>
  <c r="C211" i="18"/>
  <c r="C212" i="18"/>
  <c r="C213" i="18"/>
  <c r="C214" i="18"/>
  <c r="C215" i="18"/>
  <c r="C216" i="18"/>
  <c r="C217" i="18"/>
  <c r="C218" i="18"/>
  <c r="C219" i="18"/>
  <c r="C220"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6" i="18"/>
  <c r="C327" i="18"/>
  <c r="C328" i="18"/>
  <c r="C329" i="18"/>
  <c r="C330" i="18"/>
  <c r="C332" i="18"/>
  <c r="C333" i="18"/>
  <c r="C334" i="18"/>
  <c r="C335" i="18"/>
  <c r="C336" i="18"/>
  <c r="C337" i="18"/>
  <c r="C338" i="18"/>
  <c r="C339" i="18"/>
  <c r="C340" i="18"/>
  <c r="C341" i="18"/>
  <c r="C342" i="18"/>
  <c r="C343" i="18"/>
  <c r="C344" i="18"/>
  <c r="C345" i="18"/>
  <c r="C346" i="18"/>
  <c r="C350" i="18"/>
  <c r="C351" i="18"/>
  <c r="C353" i="18"/>
  <c r="C354" i="18"/>
  <c r="C355" i="18"/>
  <c r="C173" i="18"/>
  <c r="E312" i="18"/>
  <c r="E230" i="18"/>
  <c r="E258" i="18"/>
  <c r="E265" i="18"/>
  <c r="E274" i="18"/>
  <c r="F279" i="18"/>
  <c r="F280" i="18"/>
  <c r="E286" i="18"/>
  <c r="E299" i="18"/>
  <c r="E302" i="18"/>
  <c r="E309" i="18"/>
  <c r="E321" i="18"/>
  <c r="E338" i="18"/>
  <c r="F350" i="18"/>
  <c r="E351" i="18"/>
  <c r="F351" i="18" s="1"/>
  <c r="F352" i="18"/>
  <c r="E353" i="18"/>
  <c r="F353" i="18" s="1"/>
  <c r="F77" i="18" l="1"/>
  <c r="F338" i="18"/>
  <c r="F274" i="18"/>
  <c r="F119" i="18"/>
  <c r="F108" i="18"/>
  <c r="F95" i="18"/>
  <c r="F321" i="18"/>
  <c r="F265" i="18"/>
  <c r="F135" i="18"/>
  <c r="F118" i="18"/>
  <c r="F107" i="18"/>
  <c r="F93" i="18"/>
  <c r="F109" i="18"/>
  <c r="F120" i="18"/>
  <c r="F96" i="18"/>
  <c r="F309" i="18"/>
  <c r="F117" i="18"/>
  <c r="F124" i="18"/>
  <c r="F105" i="18"/>
  <c r="F299" i="18"/>
  <c r="F204" i="18"/>
  <c r="F123" i="18"/>
  <c r="F115" i="18"/>
  <c r="F102" i="18"/>
  <c r="F85" i="18"/>
  <c r="F258" i="18"/>
  <c r="F134" i="18"/>
  <c r="F106" i="18"/>
  <c r="F230" i="18"/>
  <c r="F116" i="18"/>
  <c r="F86" i="18"/>
  <c r="F286" i="18"/>
  <c r="F312" i="18"/>
  <c r="F122" i="18"/>
  <c r="F114" i="18"/>
  <c r="F101" i="18"/>
  <c r="F82" i="18"/>
  <c r="F88" i="18"/>
  <c r="F302" i="18"/>
  <c r="F121" i="18"/>
  <c r="F113" i="18"/>
  <c r="F97" i="18"/>
  <c r="F79" i="18"/>
  <c r="D176" i="6"/>
  <c r="D175" i="6"/>
  <c r="D161" i="6"/>
  <c r="D162" i="6"/>
  <c r="D163" i="6"/>
  <c r="D164" i="6"/>
  <c r="D165" i="6"/>
  <c r="D166" i="6"/>
  <c r="D160" i="6"/>
  <c r="D137" i="6"/>
  <c r="D140" i="6"/>
  <c r="D141" i="6"/>
  <c r="D142" i="6"/>
  <c r="D143" i="6"/>
  <c r="D144" i="6"/>
  <c r="D145" i="6"/>
  <c r="D146" i="6"/>
  <c r="D148" i="6"/>
  <c r="D149" i="6"/>
  <c r="D150" i="6"/>
  <c r="D151" i="6"/>
  <c r="D152" i="6"/>
  <c r="D153" i="6"/>
  <c r="D154" i="6"/>
  <c r="D155" i="6"/>
  <c r="D156" i="6"/>
  <c r="D158" i="6"/>
  <c r="D136" i="6"/>
  <c r="D114" i="6"/>
  <c r="D115" i="6"/>
  <c r="D116" i="6"/>
  <c r="D117" i="6"/>
  <c r="D118" i="6"/>
  <c r="D119" i="6"/>
  <c r="D120" i="6"/>
  <c r="D121" i="6"/>
  <c r="D122" i="6"/>
  <c r="D123" i="6"/>
  <c r="D124" i="6"/>
  <c r="D126" i="6"/>
  <c r="D127" i="6"/>
  <c r="D129" i="6"/>
  <c r="D130" i="6"/>
  <c r="D131" i="6"/>
  <c r="D132" i="6"/>
  <c r="D133" i="6"/>
  <c r="D134" i="6"/>
  <c r="D113" i="6"/>
  <c r="D111" i="6"/>
  <c r="D110" i="6"/>
  <c r="D109" i="6"/>
  <c r="D108" i="6"/>
  <c r="E316" i="38" l="1"/>
  <c r="F316" i="38" s="1"/>
  <c r="E308" i="36"/>
  <c r="F308" i="36" s="1"/>
  <c r="E308" i="35"/>
  <c r="F308" i="35" s="1"/>
  <c r="E308" i="37"/>
  <c r="F308" i="37" s="1"/>
  <c r="E308" i="32"/>
  <c r="F308" i="32" s="1"/>
  <c r="E309" i="33"/>
  <c r="F309" i="33" s="1"/>
  <c r="E308" i="34"/>
  <c r="F308" i="34" s="1"/>
  <c r="E305" i="38"/>
  <c r="F305" i="38" s="1"/>
  <c r="E297" i="37"/>
  <c r="F297" i="37" s="1"/>
  <c r="E297" i="36"/>
  <c r="F297" i="36" s="1"/>
  <c r="E297" i="34"/>
  <c r="F297" i="34" s="1"/>
  <c r="E297" i="35"/>
  <c r="F297" i="35" s="1"/>
  <c r="E297" i="33"/>
  <c r="F297" i="33" s="1"/>
  <c r="E297" i="32"/>
  <c r="F297" i="32" s="1"/>
  <c r="E315" i="38"/>
  <c r="F315" i="38" s="1"/>
  <c r="E307" i="36"/>
  <c r="F307" i="36" s="1"/>
  <c r="E307" i="37"/>
  <c r="F307" i="37" s="1"/>
  <c r="E307" i="34"/>
  <c r="F307" i="34" s="1"/>
  <c r="E307" i="35"/>
  <c r="F307" i="35" s="1"/>
  <c r="E307" i="32"/>
  <c r="F307" i="32" s="1"/>
  <c r="E341" i="38"/>
  <c r="F341" i="38" s="1"/>
  <c r="E330" i="36"/>
  <c r="F330" i="36" s="1"/>
  <c r="E328" i="35"/>
  <c r="F328" i="35" s="1"/>
  <c r="E329" i="37"/>
  <c r="F329" i="37" s="1"/>
  <c r="E328" i="34"/>
  <c r="F328" i="34" s="1"/>
  <c r="E329" i="33"/>
  <c r="F329" i="33" s="1"/>
  <c r="E328" i="32"/>
  <c r="F328" i="32" s="1"/>
  <c r="E283" i="38"/>
  <c r="F283" i="38" s="1"/>
  <c r="E275" i="36"/>
  <c r="F275" i="36" s="1"/>
  <c r="E275" i="33"/>
  <c r="F275" i="33" s="1"/>
  <c r="E275" i="35"/>
  <c r="F275" i="35" s="1"/>
  <c r="E275" i="37"/>
  <c r="F275" i="37" s="1"/>
  <c r="E275" i="34"/>
  <c r="F275" i="34" s="1"/>
  <c r="E275" i="32"/>
  <c r="F275" i="32" s="1"/>
  <c r="E304" i="38"/>
  <c r="F304" i="38" s="1"/>
  <c r="E296" i="36"/>
  <c r="F296" i="36" s="1"/>
  <c r="E296" i="35"/>
  <c r="F296" i="35" s="1"/>
  <c r="E296" i="37"/>
  <c r="F296" i="37" s="1"/>
  <c r="E296" i="32"/>
  <c r="F296" i="32" s="1"/>
  <c r="E296" i="33"/>
  <c r="F296" i="33" s="1"/>
  <c r="E296" i="34"/>
  <c r="F296" i="34" s="1"/>
  <c r="E294" i="38"/>
  <c r="F294" i="38" s="1"/>
  <c r="E286" i="35"/>
  <c r="F286" i="35" s="1"/>
  <c r="E286" i="37"/>
  <c r="F286" i="37" s="1"/>
  <c r="E286" i="34"/>
  <c r="F286" i="34" s="1"/>
  <c r="E286" i="32"/>
  <c r="F286" i="32" s="1"/>
  <c r="E286" i="33"/>
  <c r="F286" i="33" s="1"/>
  <c r="E286" i="36"/>
  <c r="F286" i="36" s="1"/>
  <c r="E337" i="38"/>
  <c r="F337" i="38" s="1"/>
  <c r="E326" i="36"/>
  <c r="F326" i="36" s="1"/>
  <c r="E324" i="35"/>
  <c r="F324" i="35" s="1"/>
  <c r="E325" i="37"/>
  <c r="F325" i="37" s="1"/>
  <c r="E324" i="34"/>
  <c r="F324" i="34" s="1"/>
  <c r="E324" i="32"/>
  <c r="F324" i="32" s="1"/>
  <c r="E325" i="33"/>
  <c r="F325" i="33" s="1"/>
  <c r="E327" i="38"/>
  <c r="F327" i="38" s="1"/>
  <c r="E315" i="36"/>
  <c r="F315" i="36" s="1"/>
  <c r="E316" i="33"/>
  <c r="F316" i="33" s="1"/>
  <c r="E315" i="34"/>
  <c r="F315" i="34" s="1"/>
  <c r="E315" i="32"/>
  <c r="F315" i="32" s="1"/>
  <c r="E316" i="37"/>
  <c r="F316" i="37" s="1"/>
  <c r="E315" i="35"/>
  <c r="F315" i="35" s="1"/>
  <c r="E314" i="38"/>
  <c r="F314" i="38" s="1"/>
  <c r="E306" i="35"/>
  <c r="F306" i="35" s="1"/>
  <c r="E306" i="37"/>
  <c r="F306" i="37" s="1"/>
  <c r="E306" i="34"/>
  <c r="F306" i="34" s="1"/>
  <c r="E306" i="32"/>
  <c r="F306" i="32" s="1"/>
  <c r="E307" i="33"/>
  <c r="F307" i="33" s="1"/>
  <c r="E306" i="36"/>
  <c r="F306" i="36" s="1"/>
  <c r="E340" i="38"/>
  <c r="F340" i="38" s="1"/>
  <c r="E329" i="36"/>
  <c r="F329" i="36" s="1"/>
  <c r="E328" i="33"/>
  <c r="F328" i="33" s="1"/>
  <c r="E327" i="35"/>
  <c r="F327" i="35" s="1"/>
  <c r="E328" i="37"/>
  <c r="F328" i="37" s="1"/>
  <c r="E327" i="32"/>
  <c r="F327" i="32" s="1"/>
  <c r="E327" i="34"/>
  <c r="F327" i="34" s="1"/>
  <c r="E329" i="38"/>
  <c r="F329" i="38" s="1"/>
  <c r="E317" i="36"/>
  <c r="F317" i="36" s="1"/>
  <c r="E317" i="35"/>
  <c r="F317" i="35" s="1"/>
  <c r="E317" i="34"/>
  <c r="F317" i="34" s="1"/>
  <c r="E318" i="33"/>
  <c r="F318" i="33" s="1"/>
  <c r="E317" i="32"/>
  <c r="F317" i="32" s="1"/>
  <c r="E282" i="38"/>
  <c r="F282" i="38" s="1"/>
  <c r="E274" i="35"/>
  <c r="F274" i="35" s="1"/>
  <c r="E274" i="37"/>
  <c r="F274" i="37" s="1"/>
  <c r="E274" i="34"/>
  <c r="F274" i="34" s="1"/>
  <c r="E274" i="32"/>
  <c r="F274" i="32" s="1"/>
  <c r="E274" i="36"/>
  <c r="F274" i="36" s="1"/>
  <c r="E274" i="33"/>
  <c r="F274" i="33" s="1"/>
  <c r="E328" i="38"/>
  <c r="F328" i="38" s="1"/>
  <c r="E316" i="36"/>
  <c r="F316" i="36" s="1"/>
  <c r="E316" i="35"/>
  <c r="F316" i="35" s="1"/>
  <c r="E317" i="37"/>
  <c r="F317" i="37" s="1"/>
  <c r="E316" i="34"/>
  <c r="F316" i="34" s="1"/>
  <c r="E316" i="32"/>
  <c r="F316" i="32" s="1"/>
  <c r="E317" i="33"/>
  <c r="F317" i="33" s="1"/>
  <c r="E303" i="38"/>
  <c r="F303" i="38" s="1"/>
  <c r="E295" i="36"/>
  <c r="F295" i="36" s="1"/>
  <c r="E295" i="33"/>
  <c r="F295" i="33" s="1"/>
  <c r="E295" i="35"/>
  <c r="F295" i="35" s="1"/>
  <c r="E295" i="34"/>
  <c r="F295" i="34" s="1"/>
  <c r="E295" i="32"/>
  <c r="F295" i="32" s="1"/>
  <c r="E295" i="37"/>
  <c r="F295" i="37" s="1"/>
  <c r="E355" i="38"/>
  <c r="F355" i="38" s="1"/>
  <c r="E341" i="34"/>
  <c r="F341" i="34" s="1"/>
  <c r="E343" i="36"/>
  <c r="F343" i="36" s="1"/>
  <c r="E341" i="35"/>
  <c r="F341" i="35" s="1"/>
  <c r="E341" i="32"/>
  <c r="F341" i="32" s="1"/>
  <c r="E344" i="37"/>
  <c r="F344" i="37" s="1"/>
  <c r="E342" i="33"/>
  <c r="F342" i="33" s="1"/>
  <c r="E292" i="38"/>
  <c r="F292" i="38" s="1"/>
  <c r="E284" i="36"/>
  <c r="F284" i="36" s="1"/>
  <c r="E284" i="35"/>
  <c r="F284" i="35" s="1"/>
  <c r="E284" i="37"/>
  <c r="F284" i="37" s="1"/>
  <c r="E284" i="32"/>
  <c r="F284" i="32" s="1"/>
  <c r="E284" i="33"/>
  <c r="F284" i="33" s="1"/>
  <c r="E284" i="34"/>
  <c r="F284" i="34" s="1"/>
  <c r="E334" i="38"/>
  <c r="F334" i="38" s="1"/>
  <c r="E322" i="37"/>
  <c r="F322" i="37" s="1"/>
  <c r="E322" i="36"/>
  <c r="F322" i="36" s="1"/>
  <c r="E321" i="35"/>
  <c r="F321" i="35" s="1"/>
  <c r="E321" i="34"/>
  <c r="F321" i="34" s="1"/>
  <c r="E322" i="33"/>
  <c r="F322" i="33" s="1"/>
  <c r="E321" i="32"/>
  <c r="F321" i="32" s="1"/>
  <c r="E320" i="38"/>
  <c r="F320" i="38" s="1"/>
  <c r="E312" i="36"/>
  <c r="F312" i="36" s="1"/>
  <c r="E312" i="35"/>
  <c r="F312" i="35" s="1"/>
  <c r="E312" i="37"/>
  <c r="F312" i="37" s="1"/>
  <c r="E312" i="32"/>
  <c r="F312" i="32" s="1"/>
  <c r="E313" i="33"/>
  <c r="F313" i="33" s="1"/>
  <c r="E312" i="34"/>
  <c r="F312" i="34" s="1"/>
  <c r="E339" i="38"/>
  <c r="F339" i="38" s="1"/>
  <c r="E326" i="34"/>
  <c r="F326" i="34" s="1"/>
  <c r="E326" i="35"/>
  <c r="F326" i="35" s="1"/>
  <c r="E327" i="37"/>
  <c r="F327" i="37" s="1"/>
  <c r="E327" i="33"/>
  <c r="F327" i="33" s="1"/>
  <c r="E328" i="36"/>
  <c r="F328" i="36" s="1"/>
  <c r="E326" i="32"/>
  <c r="F326" i="32" s="1"/>
  <c r="E356" i="38"/>
  <c r="F356" i="38" s="1"/>
  <c r="E342" i="34"/>
  <c r="F342" i="34" s="1"/>
  <c r="E345" i="37"/>
  <c r="F345" i="37" s="1"/>
  <c r="E344" i="36"/>
  <c r="F344" i="36" s="1"/>
  <c r="E343" i="33"/>
  <c r="F343" i="33" s="1"/>
  <c r="E342" i="35"/>
  <c r="F342" i="35" s="1"/>
  <c r="E342" i="32"/>
  <c r="F342" i="32" s="1"/>
  <c r="E306" i="38"/>
  <c r="F306" i="38" s="1"/>
  <c r="E298" i="35"/>
  <c r="F298" i="35" s="1"/>
  <c r="E298" i="37"/>
  <c r="F298" i="37" s="1"/>
  <c r="E298" i="34"/>
  <c r="F298" i="34" s="1"/>
  <c r="E298" i="32"/>
  <c r="F298" i="32" s="1"/>
  <c r="E298" i="33"/>
  <c r="F298" i="33" s="1"/>
  <c r="E298" i="36"/>
  <c r="F298" i="36" s="1"/>
  <c r="E296" i="38"/>
  <c r="F296" i="38" s="1"/>
  <c r="E288" i="36"/>
  <c r="F288" i="36" s="1"/>
  <c r="E288" i="35"/>
  <c r="F288" i="35" s="1"/>
  <c r="E288" i="37"/>
  <c r="F288" i="37" s="1"/>
  <c r="E288" i="32"/>
  <c r="F288" i="32" s="1"/>
  <c r="E288" i="33"/>
  <c r="F288" i="33" s="1"/>
  <c r="E288" i="34"/>
  <c r="F288" i="34" s="1"/>
  <c r="E288" i="38"/>
  <c r="F288" i="38" s="1"/>
  <c r="E280" i="36"/>
  <c r="F280" i="36" s="1"/>
  <c r="E280" i="35"/>
  <c r="F280" i="35" s="1"/>
  <c r="E280" i="37"/>
  <c r="F280" i="37" s="1"/>
  <c r="E280" i="32"/>
  <c r="F280" i="32" s="1"/>
  <c r="E280" i="33"/>
  <c r="F280" i="33" s="1"/>
  <c r="E280" i="34"/>
  <c r="F280" i="34" s="1"/>
  <c r="E342" i="38"/>
  <c r="F342" i="38" s="1"/>
  <c r="E330" i="37"/>
  <c r="F330" i="37" s="1"/>
  <c r="E331" i="36"/>
  <c r="F331" i="36" s="1"/>
  <c r="E329" i="34"/>
  <c r="F329" i="34" s="1"/>
  <c r="E329" i="32"/>
  <c r="F329" i="32" s="1"/>
  <c r="E329" i="35"/>
  <c r="F329" i="35" s="1"/>
  <c r="E330" i="33"/>
  <c r="F330" i="33" s="1"/>
  <c r="E295" i="38"/>
  <c r="F295" i="38" s="1"/>
  <c r="E287" i="36"/>
  <c r="F287" i="36" s="1"/>
  <c r="E287" i="33"/>
  <c r="F287" i="33" s="1"/>
  <c r="E287" i="37"/>
  <c r="F287" i="37" s="1"/>
  <c r="E287" i="34"/>
  <c r="F287" i="34" s="1"/>
  <c r="E287" i="32"/>
  <c r="F287" i="32" s="1"/>
  <c r="E287" i="35"/>
  <c r="F287" i="35" s="1"/>
  <c r="E287" i="38"/>
  <c r="F287" i="38" s="1"/>
  <c r="E279" i="36"/>
  <c r="F279" i="36" s="1"/>
  <c r="E279" i="37"/>
  <c r="F279" i="37" s="1"/>
  <c r="E279" i="33"/>
  <c r="F279" i="33" s="1"/>
  <c r="E279" i="34"/>
  <c r="F279" i="34" s="1"/>
  <c r="E279" i="32"/>
  <c r="F279" i="32" s="1"/>
  <c r="E279" i="35"/>
  <c r="F279" i="35" s="1"/>
  <c r="E300" i="38"/>
  <c r="F300" i="38" s="1"/>
  <c r="E292" i="36"/>
  <c r="F292" i="36" s="1"/>
  <c r="E292" i="35"/>
  <c r="F292" i="35" s="1"/>
  <c r="E292" i="37"/>
  <c r="F292" i="37" s="1"/>
  <c r="E292" i="32"/>
  <c r="F292" i="32" s="1"/>
  <c r="E292" i="33"/>
  <c r="F292" i="33" s="1"/>
  <c r="E292" i="34"/>
  <c r="F292" i="34" s="1"/>
  <c r="E291" i="38"/>
  <c r="F291" i="38" s="1"/>
  <c r="E283" i="36"/>
  <c r="F283" i="36" s="1"/>
  <c r="E283" i="33"/>
  <c r="F283" i="33" s="1"/>
  <c r="E283" i="35"/>
  <c r="F283" i="35" s="1"/>
  <c r="E283" i="34"/>
  <c r="F283" i="34" s="1"/>
  <c r="E283" i="32"/>
  <c r="F283" i="32" s="1"/>
  <c r="E283" i="37"/>
  <c r="F283" i="37" s="1"/>
  <c r="E333" i="38"/>
  <c r="F333" i="38" s="1"/>
  <c r="E321" i="36"/>
  <c r="F321" i="36" s="1"/>
  <c r="E320" i="35"/>
  <c r="F320" i="35" s="1"/>
  <c r="E321" i="37"/>
  <c r="F321" i="37" s="1"/>
  <c r="E320" i="34"/>
  <c r="F320" i="34" s="1"/>
  <c r="E320" i="32"/>
  <c r="F320" i="32" s="1"/>
  <c r="E321" i="33"/>
  <c r="F321" i="33" s="1"/>
  <c r="E319" i="38"/>
  <c r="F319" i="38" s="1"/>
  <c r="E311" i="36"/>
  <c r="F311" i="36" s="1"/>
  <c r="E312" i="33"/>
  <c r="F312" i="33" s="1"/>
  <c r="E311" i="35"/>
  <c r="F311" i="35" s="1"/>
  <c r="E311" i="37"/>
  <c r="F311" i="37" s="1"/>
  <c r="E311" i="34"/>
  <c r="F311" i="34" s="1"/>
  <c r="E311" i="32"/>
  <c r="F311" i="32" s="1"/>
  <c r="E345" i="38"/>
  <c r="F345" i="38" s="1"/>
  <c r="E334" i="36"/>
  <c r="F334" i="36" s="1"/>
  <c r="E332" i="35"/>
  <c r="F332" i="35" s="1"/>
  <c r="E333" i="37"/>
  <c r="F333" i="37" s="1"/>
  <c r="E332" i="34"/>
  <c r="F332" i="34" s="1"/>
  <c r="E333" i="33"/>
  <c r="F333" i="33" s="1"/>
  <c r="E332" i="32"/>
  <c r="F332" i="32" s="1"/>
  <c r="E301" i="38"/>
  <c r="F301" i="38" s="1"/>
  <c r="E293" i="37"/>
  <c r="F293" i="37" s="1"/>
  <c r="E293" i="36"/>
  <c r="F293" i="36" s="1"/>
  <c r="E293" i="34"/>
  <c r="F293" i="34" s="1"/>
  <c r="E293" i="35"/>
  <c r="F293" i="35" s="1"/>
  <c r="E293" i="32"/>
  <c r="F293" i="32" s="1"/>
  <c r="E293" i="33"/>
  <c r="F293" i="33" s="1"/>
  <c r="E308" i="38"/>
  <c r="F308" i="38" s="1"/>
  <c r="E300" i="36"/>
  <c r="F300" i="36" s="1"/>
  <c r="E300" i="35"/>
  <c r="F300" i="35" s="1"/>
  <c r="E300" i="37"/>
  <c r="F300" i="37" s="1"/>
  <c r="E300" i="32"/>
  <c r="F300" i="32" s="1"/>
  <c r="E300" i="33"/>
  <c r="F300" i="33" s="1"/>
  <c r="E300" i="34"/>
  <c r="F300" i="34" s="1"/>
  <c r="E298" i="38"/>
  <c r="F298" i="38" s="1"/>
  <c r="E290" i="35"/>
  <c r="F290" i="35" s="1"/>
  <c r="E290" i="37"/>
  <c r="F290" i="37" s="1"/>
  <c r="E290" i="34"/>
  <c r="F290" i="34" s="1"/>
  <c r="E290" i="32"/>
  <c r="F290" i="32" s="1"/>
  <c r="E290" i="33"/>
  <c r="F290" i="33" s="1"/>
  <c r="E290" i="36"/>
  <c r="F290" i="36" s="1"/>
  <c r="E290" i="38"/>
  <c r="F290" i="38" s="1"/>
  <c r="E282" i="35"/>
  <c r="F282" i="35" s="1"/>
  <c r="E282" i="37"/>
  <c r="F282" i="37" s="1"/>
  <c r="E282" i="36"/>
  <c r="F282" i="36" s="1"/>
  <c r="E282" i="34"/>
  <c r="F282" i="34" s="1"/>
  <c r="E282" i="32"/>
  <c r="F282" i="32" s="1"/>
  <c r="E282" i="33"/>
  <c r="F282" i="33" s="1"/>
  <c r="E332" i="38"/>
  <c r="F332" i="38" s="1"/>
  <c r="E319" i="36"/>
  <c r="F319" i="36" s="1"/>
  <c r="E319" i="34"/>
  <c r="F319" i="34" s="1"/>
  <c r="E320" i="33"/>
  <c r="F320" i="33" s="1"/>
  <c r="E320" i="37"/>
  <c r="F320" i="37" s="1"/>
  <c r="E319" i="35"/>
  <c r="F319" i="35" s="1"/>
  <c r="E319" i="32"/>
  <c r="F319" i="32" s="1"/>
  <c r="E318" i="38"/>
  <c r="F318" i="38" s="1"/>
  <c r="E310" i="35"/>
  <c r="F310" i="35" s="1"/>
  <c r="E310" i="37"/>
  <c r="F310" i="37" s="1"/>
  <c r="E310" i="34"/>
  <c r="F310" i="34" s="1"/>
  <c r="E310" i="32"/>
  <c r="F310" i="32" s="1"/>
  <c r="E310" i="36"/>
  <c r="F310" i="36" s="1"/>
  <c r="E311" i="33"/>
  <c r="F311" i="33" s="1"/>
  <c r="E344" i="38"/>
  <c r="F344" i="38" s="1"/>
  <c r="E333" i="36"/>
  <c r="F333" i="36" s="1"/>
  <c r="E332" i="33"/>
  <c r="F332" i="33" s="1"/>
  <c r="E332" i="37"/>
  <c r="F332" i="37" s="1"/>
  <c r="E331" i="34"/>
  <c r="F331" i="34" s="1"/>
  <c r="E331" i="32"/>
  <c r="F331" i="32" s="1"/>
  <c r="E331" i="35"/>
  <c r="F331" i="35" s="1"/>
  <c r="E310" i="38"/>
  <c r="F310" i="38" s="1"/>
  <c r="E302" i="35"/>
  <c r="F302" i="35" s="1"/>
  <c r="E302" i="37"/>
  <c r="F302" i="37" s="1"/>
  <c r="E302" i="34"/>
  <c r="F302" i="34" s="1"/>
  <c r="E302" i="32"/>
  <c r="F302" i="32" s="1"/>
  <c r="E302" i="33"/>
  <c r="F302" i="33" s="1"/>
  <c r="E302" i="36"/>
  <c r="F302" i="36" s="1"/>
  <c r="E284" i="38"/>
  <c r="F284" i="38" s="1"/>
  <c r="E276" i="36"/>
  <c r="F276" i="36" s="1"/>
  <c r="E276" i="35"/>
  <c r="F276" i="35" s="1"/>
  <c r="E276" i="37"/>
  <c r="F276" i="37" s="1"/>
  <c r="E276" i="32"/>
  <c r="F276" i="32" s="1"/>
  <c r="E276" i="33"/>
  <c r="F276" i="33" s="1"/>
  <c r="E276" i="34"/>
  <c r="F276" i="34" s="1"/>
  <c r="E293" i="38"/>
  <c r="F293" i="38" s="1"/>
  <c r="E285" i="37"/>
  <c r="F285" i="37" s="1"/>
  <c r="E285" i="36"/>
  <c r="F285" i="36" s="1"/>
  <c r="E285" i="35"/>
  <c r="F285" i="35" s="1"/>
  <c r="E285" i="34"/>
  <c r="F285" i="34" s="1"/>
  <c r="E285" i="32"/>
  <c r="F285" i="32" s="1"/>
  <c r="E285" i="33"/>
  <c r="F285" i="33" s="1"/>
  <c r="E335" i="38"/>
  <c r="F335" i="38" s="1"/>
  <c r="E322" i="34"/>
  <c r="F322" i="34" s="1"/>
  <c r="E322" i="35"/>
  <c r="F322" i="35" s="1"/>
  <c r="E323" i="37"/>
  <c r="F323" i="37" s="1"/>
  <c r="E322" i="32"/>
  <c r="F322" i="32" s="1"/>
  <c r="E323" i="36"/>
  <c r="F323" i="36" s="1"/>
  <c r="E323" i="33"/>
  <c r="F323" i="33" s="1"/>
  <c r="E326" i="38"/>
  <c r="F326" i="38" s="1"/>
  <c r="E314" i="35"/>
  <c r="F314" i="35" s="1"/>
  <c r="E315" i="37"/>
  <c r="F315" i="37" s="1"/>
  <c r="E314" i="34"/>
  <c r="F314" i="34" s="1"/>
  <c r="E314" i="32"/>
  <c r="F314" i="32" s="1"/>
  <c r="E315" i="33"/>
  <c r="F315" i="33" s="1"/>
  <c r="E314" i="36"/>
  <c r="F314" i="36" s="1"/>
  <c r="E311" i="38"/>
  <c r="F311" i="38" s="1"/>
  <c r="E303" i="36"/>
  <c r="F303" i="36" s="1"/>
  <c r="E303" i="37"/>
  <c r="F303" i="37" s="1"/>
  <c r="E303" i="33"/>
  <c r="F303" i="33" s="1"/>
  <c r="E303" i="35"/>
  <c r="F303" i="35" s="1"/>
  <c r="E303" i="34"/>
  <c r="F303" i="34" s="1"/>
  <c r="E303" i="32"/>
  <c r="F303" i="32" s="1"/>
  <c r="E285" i="38"/>
  <c r="F285" i="38" s="1"/>
  <c r="E277" i="37"/>
  <c r="F277" i="37" s="1"/>
  <c r="E277" i="36"/>
  <c r="F277" i="36" s="1"/>
  <c r="E277" i="34"/>
  <c r="F277" i="34" s="1"/>
  <c r="E277" i="35"/>
  <c r="F277" i="35" s="1"/>
  <c r="E277" i="33"/>
  <c r="F277" i="33" s="1"/>
  <c r="E277" i="32"/>
  <c r="F277" i="32" s="1"/>
  <c r="E307" i="38"/>
  <c r="F307" i="38" s="1"/>
  <c r="E299" i="36"/>
  <c r="F299" i="36" s="1"/>
  <c r="E299" i="33"/>
  <c r="F299" i="33" s="1"/>
  <c r="E299" i="37"/>
  <c r="F299" i="37" s="1"/>
  <c r="E299" i="34"/>
  <c r="F299" i="34" s="1"/>
  <c r="E299" i="32"/>
  <c r="F299" i="32" s="1"/>
  <c r="E299" i="35"/>
  <c r="F299" i="35" s="1"/>
  <c r="E297" i="38"/>
  <c r="F297" i="38" s="1"/>
  <c r="E289" i="37"/>
  <c r="F289" i="37" s="1"/>
  <c r="E289" i="36"/>
  <c r="F289" i="36" s="1"/>
  <c r="E289" i="34"/>
  <c r="F289" i="34" s="1"/>
  <c r="E289" i="35"/>
  <c r="F289" i="35" s="1"/>
  <c r="E289" i="33"/>
  <c r="F289" i="33" s="1"/>
  <c r="E289" i="32"/>
  <c r="F289" i="32" s="1"/>
  <c r="E289" i="38"/>
  <c r="F289" i="38" s="1"/>
  <c r="E281" i="37"/>
  <c r="F281" i="37" s="1"/>
  <c r="E281" i="36"/>
  <c r="F281" i="36" s="1"/>
  <c r="E281" i="35"/>
  <c r="F281" i="35" s="1"/>
  <c r="E281" i="34"/>
  <c r="F281" i="34" s="1"/>
  <c r="E281" i="33"/>
  <c r="F281" i="33" s="1"/>
  <c r="E281" i="32"/>
  <c r="F281" i="32" s="1"/>
  <c r="E330" i="38"/>
  <c r="F330" i="38" s="1"/>
  <c r="E318" i="34"/>
  <c r="F318" i="34" s="1"/>
  <c r="E318" i="35"/>
  <c r="F318" i="35" s="1"/>
  <c r="E319" i="37"/>
  <c r="F319" i="37" s="1"/>
  <c r="E318" i="32"/>
  <c r="F318" i="32" s="1"/>
  <c r="E319" i="33"/>
  <c r="F319" i="33" s="1"/>
  <c r="E318" i="36"/>
  <c r="F318" i="36" s="1"/>
  <c r="E317" i="38"/>
  <c r="F317" i="38" s="1"/>
  <c r="E309" i="37"/>
  <c r="F309" i="37" s="1"/>
  <c r="E309" i="36"/>
  <c r="F309" i="36" s="1"/>
  <c r="E309" i="34"/>
  <c r="F309" i="34" s="1"/>
  <c r="E309" i="32"/>
  <c r="F309" i="32" s="1"/>
  <c r="E309" i="35"/>
  <c r="F309" i="35" s="1"/>
  <c r="E310" i="33"/>
  <c r="F310" i="33" s="1"/>
  <c r="E343" i="38"/>
  <c r="F343" i="38" s="1"/>
  <c r="E330" i="34"/>
  <c r="F330" i="34" s="1"/>
  <c r="E330" i="35"/>
  <c r="F330" i="35" s="1"/>
  <c r="E331" i="37"/>
  <c r="F331" i="37" s="1"/>
  <c r="E331" i="33"/>
  <c r="F331" i="33" s="1"/>
  <c r="E332" i="36"/>
  <c r="F332" i="36" s="1"/>
  <c r="E330" i="32"/>
  <c r="F330" i="32" s="1"/>
  <c r="E285" i="18"/>
  <c r="E301" i="18"/>
  <c r="E308" i="18"/>
  <c r="E300" i="18"/>
  <c r="F300" i="18" s="1"/>
  <c r="E320" i="18"/>
  <c r="E290" i="18"/>
  <c r="F290" i="18" s="1"/>
  <c r="E355" i="18"/>
  <c r="F355" i="18" s="1"/>
  <c r="E297" i="18"/>
  <c r="F297" i="18" s="1"/>
  <c r="E306" i="18"/>
  <c r="E296" i="18"/>
  <c r="E344" i="18"/>
  <c r="E282" i="18"/>
  <c r="F282" i="18" s="1"/>
  <c r="E305" i="18"/>
  <c r="E295" i="18"/>
  <c r="E310" i="18"/>
  <c r="E316" i="18"/>
  <c r="F316" i="18" s="1"/>
  <c r="E343" i="18"/>
  <c r="F343" i="18" s="1"/>
  <c r="E292" i="18"/>
  <c r="F292" i="18" s="1"/>
  <c r="E340" i="18"/>
  <c r="E287" i="18"/>
  <c r="E291" i="18"/>
  <c r="E354" i="18"/>
  <c r="F354" i="18" s="1"/>
  <c r="E298" i="18"/>
  <c r="E339" i="18"/>
  <c r="F339" i="18" s="1"/>
  <c r="E283" i="18"/>
  <c r="E294" i="18"/>
  <c r="E342" i="18"/>
  <c r="E307" i="18"/>
  <c r="E289" i="18"/>
  <c r="F289" i="18" s="1"/>
  <c r="E345" i="18"/>
  <c r="E288" i="18"/>
  <c r="E304" i="18"/>
  <c r="F304" i="18" s="1"/>
  <c r="E284" i="18"/>
  <c r="F284" i="18" s="1"/>
  <c r="E303" i="18"/>
  <c r="E293" i="18"/>
  <c r="F293" i="18" s="1"/>
  <c r="E341" i="18"/>
  <c r="F142" i="6"/>
  <c r="F157" i="6"/>
  <c r="E336" i="18"/>
  <c r="F149" i="6"/>
  <c r="E327" i="18"/>
  <c r="F155" i="6"/>
  <c r="E334" i="18"/>
  <c r="F146" i="6"/>
  <c r="F140" i="6"/>
  <c r="E314" i="18"/>
  <c r="F139" i="6"/>
  <c r="E313" i="18"/>
  <c r="F145" i="6"/>
  <c r="E319" i="18"/>
  <c r="F152" i="6"/>
  <c r="E330" i="18"/>
  <c r="F144" i="6"/>
  <c r="E318" i="18"/>
  <c r="F148" i="6"/>
  <c r="E326" i="18"/>
  <c r="F141" i="6"/>
  <c r="E315" i="18"/>
  <c r="F154" i="6"/>
  <c r="E333" i="18"/>
  <c r="F151" i="6"/>
  <c r="E329" i="18"/>
  <c r="F143" i="6"/>
  <c r="E317" i="18"/>
  <c r="F156" i="6"/>
  <c r="E335" i="18"/>
  <c r="F153" i="6"/>
  <c r="E332" i="18"/>
  <c r="F137" i="6"/>
  <c r="E311" i="18"/>
  <c r="F158" i="6"/>
  <c r="E337" i="18"/>
  <c r="F150" i="6"/>
  <c r="E328" i="18"/>
  <c r="D34" i="6"/>
  <c r="D35" i="6"/>
  <c r="D36" i="6"/>
  <c r="D37" i="6"/>
  <c r="D38" i="6"/>
  <c r="D39" i="6"/>
  <c r="D40" i="6"/>
  <c r="D41" i="6"/>
  <c r="D42" i="6"/>
  <c r="D43" i="6"/>
  <c r="D44" i="6"/>
  <c r="D45" i="6"/>
  <c r="D46" i="6"/>
  <c r="D47" i="6"/>
  <c r="D48" i="6"/>
  <c r="D49" i="6"/>
  <c r="D50" i="6"/>
  <c r="D51" i="6"/>
  <c r="D52" i="6"/>
  <c r="D53" i="6"/>
  <c r="D54" i="6"/>
  <c r="D55" i="6"/>
  <c r="D57" i="6"/>
  <c r="D58" i="6"/>
  <c r="D59" i="6"/>
  <c r="D60" i="6"/>
  <c r="D61" i="6"/>
  <c r="D62" i="6"/>
  <c r="D63" i="6"/>
  <c r="D64" i="6"/>
  <c r="D65" i="6"/>
  <c r="D66" i="6"/>
  <c r="D67" i="6"/>
  <c r="D68" i="6"/>
  <c r="D69" i="6"/>
  <c r="D70" i="6"/>
  <c r="D71" i="6"/>
  <c r="D72" i="6"/>
  <c r="D73" i="6"/>
  <c r="D74" i="6"/>
  <c r="D75" i="6"/>
  <c r="D76" i="6"/>
  <c r="D77" i="6"/>
  <c r="D78" i="6"/>
  <c r="D79" i="6"/>
  <c r="D80" i="6"/>
  <c r="D81" i="6"/>
  <c r="D82" i="6"/>
  <c r="D83" i="6"/>
  <c r="D85" i="6"/>
  <c r="D86" i="6"/>
  <c r="D87" i="6"/>
  <c r="D88" i="6"/>
  <c r="D89" i="6"/>
  <c r="D90" i="6"/>
  <c r="D92" i="6"/>
  <c r="D93" i="6"/>
  <c r="D94" i="6"/>
  <c r="D95" i="6"/>
  <c r="D96" i="6"/>
  <c r="D97" i="6"/>
  <c r="D98" i="6"/>
  <c r="D99" i="6"/>
  <c r="D101" i="6"/>
  <c r="D102" i="6"/>
  <c r="D103" i="6"/>
  <c r="D104" i="6"/>
  <c r="D33" i="6"/>
  <c r="D31" i="6"/>
  <c r="D30" i="6"/>
  <c r="D6" i="6"/>
  <c r="D7" i="6"/>
  <c r="D8" i="6"/>
  <c r="D10" i="6"/>
  <c r="D11" i="6"/>
  <c r="D12" i="6"/>
  <c r="D13" i="6"/>
  <c r="D14" i="6"/>
  <c r="D15" i="6"/>
  <c r="D16" i="6"/>
  <c r="D17" i="6"/>
  <c r="D18" i="6"/>
  <c r="D19" i="6"/>
  <c r="D20" i="6"/>
  <c r="D21" i="6"/>
  <c r="D22" i="6"/>
  <c r="D23" i="6"/>
  <c r="D24" i="6"/>
  <c r="D25" i="6"/>
  <c r="D26" i="6"/>
  <c r="D27" i="6"/>
  <c r="D28" i="6"/>
  <c r="D29" i="6"/>
  <c r="D68" i="14"/>
  <c r="D69" i="14"/>
  <c r="D67" i="14"/>
  <c r="D66" i="14"/>
  <c r="D63" i="14"/>
  <c r="D62" i="14"/>
  <c r="D61" i="14"/>
  <c r="D60" i="14"/>
  <c r="D59" i="14"/>
  <c r="D58" i="14"/>
  <c r="D56" i="14"/>
  <c r="D57" i="14"/>
  <c r="D55" i="14"/>
  <c r="D42" i="14"/>
  <c r="D41" i="14"/>
  <c r="D40" i="14"/>
  <c r="D34" i="14"/>
  <c r="D33" i="14"/>
  <c r="D30" i="14"/>
  <c r="D29" i="14"/>
  <c r="D28" i="14"/>
  <c r="D24" i="14"/>
  <c r="D20" i="14"/>
  <c r="D21" i="14"/>
  <c r="D22" i="14"/>
  <c r="D19" i="14"/>
  <c r="D17" i="14"/>
  <c r="D14" i="14"/>
  <c r="D13" i="14"/>
  <c r="D11" i="14"/>
  <c r="D10" i="14"/>
  <c r="D8" i="14"/>
  <c r="D6" i="14"/>
  <c r="D5" i="14"/>
  <c r="D4" i="14"/>
  <c r="D28" i="9"/>
  <c r="E65" i="38" s="1"/>
  <c r="F65" i="38" s="1"/>
  <c r="D27" i="9"/>
  <c r="E64" i="38" s="1"/>
  <c r="F64" i="38" s="1"/>
  <c r="D25" i="9"/>
  <c r="E62" i="38" s="1"/>
  <c r="F62" i="38" s="1"/>
  <c r="D26" i="9"/>
  <c r="E63" i="38" s="1"/>
  <c r="F63" i="38" s="1"/>
  <c r="D24" i="9"/>
  <c r="E61" i="38" s="1"/>
  <c r="F61" i="38" s="1"/>
  <c r="D19" i="9"/>
  <c r="E56" i="38" s="1"/>
  <c r="F56" i="38" s="1"/>
  <c r="D20" i="9"/>
  <c r="E57" i="38" s="1"/>
  <c r="F57" i="38" s="1"/>
  <c r="D21" i="9"/>
  <c r="E58" i="38" s="1"/>
  <c r="F58" i="38" s="1"/>
  <c r="D22" i="9"/>
  <c r="E59" i="38" s="1"/>
  <c r="F59" i="38" s="1"/>
  <c r="D23" i="9"/>
  <c r="E60" i="38" s="1"/>
  <c r="F60" i="38" s="1"/>
  <c r="D18" i="9"/>
  <c r="E55" i="38" s="1"/>
  <c r="F55" i="38" s="1"/>
  <c r="D16" i="9"/>
  <c r="E53" i="38" s="1"/>
  <c r="F53" i="38" s="1"/>
  <c r="D17" i="9"/>
  <c r="E54" i="38" s="1"/>
  <c r="F54" i="38" s="1"/>
  <c r="D15" i="9"/>
  <c r="E52" i="38" s="1"/>
  <c r="F52" i="38" s="1"/>
  <c r="D13" i="9"/>
  <c r="E50" i="38" s="1"/>
  <c r="F50" i="38" s="1"/>
  <c r="D14" i="9"/>
  <c r="E51" i="38" s="1"/>
  <c r="F51" i="38" s="1"/>
  <c r="D12" i="9"/>
  <c r="E49" i="38" s="1"/>
  <c r="F49" i="38" s="1"/>
  <c r="D11" i="9"/>
  <c r="E48" i="38" s="1"/>
  <c r="F48" i="38" s="1"/>
  <c r="D10" i="9"/>
  <c r="E47" i="38" s="1"/>
  <c r="F47" i="38" s="1"/>
  <c r="D35" i="9"/>
  <c r="D42" i="9"/>
  <c r="D81" i="9"/>
  <c r="D82" i="9"/>
  <c r="D83" i="9"/>
  <c r="D84" i="9"/>
  <c r="D85" i="9"/>
  <c r="D86" i="9"/>
  <c r="D80" i="9"/>
  <c r="D72" i="9"/>
  <c r="E77" i="25" l="1"/>
  <c r="F77" i="25" s="1"/>
  <c r="E104" i="38"/>
  <c r="F104" i="38" s="1"/>
  <c r="E108" i="37"/>
  <c r="F108" i="37" s="1"/>
  <c r="E108" i="35"/>
  <c r="F108" i="35" s="1"/>
  <c r="E108" i="33"/>
  <c r="F108" i="33" s="1"/>
  <c r="E108" i="32"/>
  <c r="F108" i="32" s="1"/>
  <c r="E108" i="36"/>
  <c r="F108" i="36" s="1"/>
  <c r="E108" i="34"/>
  <c r="F108" i="34" s="1"/>
  <c r="E180" i="38"/>
  <c r="F180" i="38" s="1"/>
  <c r="E179" i="37"/>
  <c r="F179" i="37" s="1"/>
  <c r="E179" i="35"/>
  <c r="F179" i="35" s="1"/>
  <c r="E179" i="33"/>
  <c r="F179" i="33" s="1"/>
  <c r="E179" i="32"/>
  <c r="F179" i="32" s="1"/>
  <c r="E179" i="34"/>
  <c r="F179" i="34" s="1"/>
  <c r="E184" i="18"/>
  <c r="F184" i="18" s="1"/>
  <c r="E179" i="36"/>
  <c r="F179" i="36" s="1"/>
  <c r="E267" i="38"/>
  <c r="F267" i="38" s="1"/>
  <c r="E263" i="35"/>
  <c r="F263" i="35" s="1"/>
  <c r="E263" i="37"/>
  <c r="F263" i="37" s="1"/>
  <c r="E263" i="36"/>
  <c r="F263" i="36" s="1"/>
  <c r="E263" i="33"/>
  <c r="F263" i="33" s="1"/>
  <c r="E263" i="32"/>
  <c r="F263" i="32" s="1"/>
  <c r="E263" i="34"/>
  <c r="F263" i="34" s="1"/>
  <c r="E241" i="38"/>
  <c r="F241" i="38" s="1"/>
  <c r="E237" i="37"/>
  <c r="F237" i="37" s="1"/>
  <c r="E237" i="33"/>
  <c r="F237" i="33" s="1"/>
  <c r="E237" i="36"/>
  <c r="F237" i="36" s="1"/>
  <c r="E237" i="32"/>
  <c r="F237" i="32" s="1"/>
  <c r="E237" i="35"/>
  <c r="F237" i="35" s="1"/>
  <c r="E237" i="34"/>
  <c r="F237" i="34" s="1"/>
  <c r="E214" i="38"/>
  <c r="F214" i="38" s="1"/>
  <c r="E212" i="36"/>
  <c r="F212" i="36" s="1"/>
  <c r="E212" i="35"/>
  <c r="F212" i="35" s="1"/>
  <c r="E212" i="34"/>
  <c r="F212" i="34" s="1"/>
  <c r="E212" i="37"/>
  <c r="F212" i="37" s="1"/>
  <c r="E218" i="18"/>
  <c r="E212" i="32"/>
  <c r="F212" i="32" s="1"/>
  <c r="E212" i="33"/>
  <c r="F212" i="33" s="1"/>
  <c r="E84" i="38"/>
  <c r="F84" i="38" s="1"/>
  <c r="E88" i="37"/>
  <c r="F88" i="37" s="1"/>
  <c r="E88" i="35"/>
  <c r="F88" i="35" s="1"/>
  <c r="E88" i="36"/>
  <c r="F88" i="36" s="1"/>
  <c r="E88" i="33"/>
  <c r="F88" i="33" s="1"/>
  <c r="E88" i="32"/>
  <c r="F88" i="32" s="1"/>
  <c r="E88" i="34"/>
  <c r="F88" i="34" s="1"/>
  <c r="E179" i="38"/>
  <c r="F179" i="38" s="1"/>
  <c r="E178" i="36"/>
  <c r="F178" i="36" s="1"/>
  <c r="E178" i="34"/>
  <c r="F178" i="34" s="1"/>
  <c r="E178" i="37"/>
  <c r="F178" i="37" s="1"/>
  <c r="E178" i="32"/>
  <c r="F178" i="32" s="1"/>
  <c r="E178" i="35"/>
  <c r="F178" i="35" s="1"/>
  <c r="E183" i="18"/>
  <c r="E178" i="33"/>
  <c r="F178" i="33" s="1"/>
  <c r="E223" i="38"/>
  <c r="F223" i="38" s="1"/>
  <c r="E219" i="35"/>
  <c r="F219" i="35" s="1"/>
  <c r="E219" i="37"/>
  <c r="F219" i="37" s="1"/>
  <c r="E219" i="33"/>
  <c r="F219" i="33" s="1"/>
  <c r="E219" i="32"/>
  <c r="F219" i="32" s="1"/>
  <c r="E219" i="36"/>
  <c r="F219" i="36" s="1"/>
  <c r="E219" i="34"/>
  <c r="F219" i="34" s="1"/>
  <c r="E186" i="38"/>
  <c r="F186" i="38" s="1"/>
  <c r="E185" i="37"/>
  <c r="F185" i="37" s="1"/>
  <c r="E185" i="35"/>
  <c r="F185" i="35" s="1"/>
  <c r="E185" i="33"/>
  <c r="F185" i="33" s="1"/>
  <c r="E185" i="32"/>
  <c r="F185" i="32" s="1"/>
  <c r="E185" i="36"/>
  <c r="F185" i="36" s="1"/>
  <c r="E190" i="18"/>
  <c r="E185" i="34"/>
  <c r="F185" i="34" s="1"/>
  <c r="E77" i="38"/>
  <c r="F77" i="38" s="1"/>
  <c r="E81" i="37"/>
  <c r="F81" i="37" s="1"/>
  <c r="E81" i="35"/>
  <c r="F81" i="35" s="1"/>
  <c r="E81" i="36"/>
  <c r="F81" i="36" s="1"/>
  <c r="E81" i="34"/>
  <c r="F81" i="34" s="1"/>
  <c r="E81" i="32"/>
  <c r="F81" i="32" s="1"/>
  <c r="E81" i="33"/>
  <c r="F81" i="33" s="1"/>
  <c r="E92" i="38"/>
  <c r="F92" i="38" s="1"/>
  <c r="E96" i="37"/>
  <c r="F96" i="37" s="1"/>
  <c r="E96" i="35"/>
  <c r="F96" i="35" s="1"/>
  <c r="E96" i="33"/>
  <c r="F96" i="33" s="1"/>
  <c r="E96" i="36"/>
  <c r="F96" i="36" s="1"/>
  <c r="E96" i="34"/>
  <c r="F96" i="34" s="1"/>
  <c r="E96" i="32"/>
  <c r="F96" i="32" s="1"/>
  <c r="E119" i="38"/>
  <c r="F119" i="38" s="1"/>
  <c r="E123" i="37"/>
  <c r="F123" i="37" s="1"/>
  <c r="E123" i="35"/>
  <c r="F123" i="35" s="1"/>
  <c r="E123" i="34"/>
  <c r="F123" i="34" s="1"/>
  <c r="E123" i="33"/>
  <c r="F123" i="33" s="1"/>
  <c r="E123" i="32"/>
  <c r="F123" i="32" s="1"/>
  <c r="E123" i="36"/>
  <c r="F123" i="36" s="1"/>
  <c r="E127" i="38"/>
  <c r="F127" i="38" s="1"/>
  <c r="E131" i="37"/>
  <c r="F131" i="37" s="1"/>
  <c r="E131" i="35"/>
  <c r="F131" i="35" s="1"/>
  <c r="E131" i="34"/>
  <c r="F131" i="34" s="1"/>
  <c r="E131" i="33"/>
  <c r="F131" i="33" s="1"/>
  <c r="E131" i="32"/>
  <c r="F131" i="32" s="1"/>
  <c r="E131" i="36"/>
  <c r="F131" i="36" s="1"/>
  <c r="E193" i="38"/>
  <c r="F193" i="38" s="1"/>
  <c r="E192" i="36"/>
  <c r="F192" i="36" s="1"/>
  <c r="E192" i="34"/>
  <c r="F192" i="34" s="1"/>
  <c r="E192" i="37"/>
  <c r="F192" i="37" s="1"/>
  <c r="E192" i="35"/>
  <c r="F192" i="35" s="1"/>
  <c r="E197" i="18"/>
  <c r="E192" i="33"/>
  <c r="F192" i="33" s="1"/>
  <c r="E192" i="32"/>
  <c r="F192" i="32" s="1"/>
  <c r="E185" i="38"/>
  <c r="F185" i="38" s="1"/>
  <c r="E184" i="36"/>
  <c r="F184" i="36" s="1"/>
  <c r="E184" i="34"/>
  <c r="F184" i="34" s="1"/>
  <c r="E184" i="35"/>
  <c r="F184" i="35" s="1"/>
  <c r="E184" i="37"/>
  <c r="F184" i="37" s="1"/>
  <c r="E184" i="32"/>
  <c r="F184" i="32" s="1"/>
  <c r="E189" i="18"/>
  <c r="F189" i="18" s="1"/>
  <c r="E184" i="33"/>
  <c r="F184" i="33" s="1"/>
  <c r="E177" i="38"/>
  <c r="F177" i="38" s="1"/>
  <c r="E176" i="36"/>
  <c r="F176" i="36" s="1"/>
  <c r="E176" i="34"/>
  <c r="F176" i="34" s="1"/>
  <c r="E176" i="37"/>
  <c r="F176" i="37" s="1"/>
  <c r="E176" i="35"/>
  <c r="F176" i="35" s="1"/>
  <c r="E181" i="18"/>
  <c r="E176" i="33"/>
  <c r="F176" i="33" s="1"/>
  <c r="E176" i="32"/>
  <c r="F176" i="32" s="1"/>
  <c r="E273" i="38"/>
  <c r="F273" i="38" s="1"/>
  <c r="E269" i="37"/>
  <c r="F269" i="37" s="1"/>
  <c r="E269" i="36"/>
  <c r="F269" i="36" s="1"/>
  <c r="E269" i="35"/>
  <c r="F269" i="35" s="1"/>
  <c r="E269" i="33"/>
  <c r="F269" i="33" s="1"/>
  <c r="E269" i="34"/>
  <c r="F269" i="34" s="1"/>
  <c r="E269" i="32"/>
  <c r="F269" i="32" s="1"/>
  <c r="E264" i="38"/>
  <c r="F264" i="38" s="1"/>
  <c r="E260" i="36"/>
  <c r="F260" i="36" s="1"/>
  <c r="E260" i="35"/>
  <c r="F260" i="35" s="1"/>
  <c r="E260" i="34"/>
  <c r="F260" i="34" s="1"/>
  <c r="E260" i="32"/>
  <c r="F260" i="32" s="1"/>
  <c r="E260" i="33"/>
  <c r="F260" i="33" s="1"/>
  <c r="E260" i="37"/>
  <c r="F260" i="37" s="1"/>
  <c r="E255" i="38"/>
  <c r="F255" i="38" s="1"/>
  <c r="E251" i="35"/>
  <c r="F251" i="35" s="1"/>
  <c r="E251" i="37"/>
  <c r="F251" i="37" s="1"/>
  <c r="E251" i="33"/>
  <c r="F251" i="33" s="1"/>
  <c r="E251" i="34"/>
  <c r="F251" i="34" s="1"/>
  <c r="E251" i="32"/>
  <c r="F251" i="32" s="1"/>
  <c r="E251" i="36"/>
  <c r="F251" i="36" s="1"/>
  <c r="E246" i="38"/>
  <c r="F246" i="38" s="1"/>
  <c r="E242" i="36"/>
  <c r="F242" i="36" s="1"/>
  <c r="E242" i="35"/>
  <c r="F242" i="35" s="1"/>
  <c r="E242" i="34"/>
  <c r="F242" i="34" s="1"/>
  <c r="E242" i="32"/>
  <c r="F242" i="32" s="1"/>
  <c r="E242" i="37"/>
  <c r="F242" i="37" s="1"/>
  <c r="E242" i="33"/>
  <c r="F242" i="33" s="1"/>
  <c r="E238" i="38"/>
  <c r="F238" i="38" s="1"/>
  <c r="E234" i="36"/>
  <c r="F234" i="36" s="1"/>
  <c r="E234" i="35"/>
  <c r="F234" i="35" s="1"/>
  <c r="E234" i="34"/>
  <c r="F234" i="34" s="1"/>
  <c r="E234" i="32"/>
  <c r="F234" i="32" s="1"/>
  <c r="E234" i="33"/>
  <c r="F234" i="33" s="1"/>
  <c r="E234" i="37"/>
  <c r="F234" i="37" s="1"/>
  <c r="E230" i="38"/>
  <c r="F230" i="38" s="1"/>
  <c r="E226" i="36"/>
  <c r="F226" i="36" s="1"/>
  <c r="E226" i="35"/>
  <c r="F226" i="35" s="1"/>
  <c r="E226" i="34"/>
  <c r="F226" i="34" s="1"/>
  <c r="E226" i="32"/>
  <c r="F226" i="32" s="1"/>
  <c r="E226" i="37"/>
  <c r="F226" i="37" s="1"/>
  <c r="E226" i="33"/>
  <c r="F226" i="33" s="1"/>
  <c r="E221" i="38"/>
  <c r="F221" i="38" s="1"/>
  <c r="E217" i="37"/>
  <c r="F217" i="37" s="1"/>
  <c r="E217" i="36"/>
  <c r="F217" i="36" s="1"/>
  <c r="E217" i="33"/>
  <c r="F217" i="33" s="1"/>
  <c r="E217" i="32"/>
  <c r="F217" i="32" s="1"/>
  <c r="E217" i="35"/>
  <c r="F217" i="35" s="1"/>
  <c r="E217" i="34"/>
  <c r="F217" i="34" s="1"/>
  <c r="E211" i="38"/>
  <c r="F211" i="38" s="1"/>
  <c r="E209" i="37"/>
  <c r="F209" i="37" s="1"/>
  <c r="E209" i="33"/>
  <c r="F209" i="33" s="1"/>
  <c r="E209" i="32"/>
  <c r="F209" i="32" s="1"/>
  <c r="E209" i="36"/>
  <c r="F209" i="36" s="1"/>
  <c r="E209" i="35"/>
  <c r="F209" i="35" s="1"/>
  <c r="E209" i="34"/>
  <c r="F209" i="34" s="1"/>
  <c r="E215" i="18"/>
  <c r="E203" i="38"/>
  <c r="F203" i="38" s="1"/>
  <c r="E201" i="37"/>
  <c r="F201" i="37" s="1"/>
  <c r="E201" i="36"/>
  <c r="F201" i="36" s="1"/>
  <c r="E201" i="35"/>
  <c r="F201" i="35" s="1"/>
  <c r="E201" i="33"/>
  <c r="F201" i="33" s="1"/>
  <c r="E201" i="32"/>
  <c r="F201" i="32" s="1"/>
  <c r="E207" i="18"/>
  <c r="F207" i="18" s="1"/>
  <c r="E201" i="34"/>
  <c r="F201" i="34" s="1"/>
  <c r="E72" i="38"/>
  <c r="F72" i="38" s="1"/>
  <c r="E76" i="37"/>
  <c r="F76" i="37" s="1"/>
  <c r="E76" i="35"/>
  <c r="F76" i="35" s="1"/>
  <c r="E76" i="33"/>
  <c r="F76" i="33" s="1"/>
  <c r="E76" i="36"/>
  <c r="F76" i="36" s="1"/>
  <c r="E76" i="34"/>
  <c r="F76" i="34" s="1"/>
  <c r="E76" i="32"/>
  <c r="F76" i="32" s="1"/>
  <c r="E188" i="38"/>
  <c r="F188" i="38" s="1"/>
  <c r="E187" i="37"/>
  <c r="F187" i="37" s="1"/>
  <c r="E187" i="35"/>
  <c r="F187" i="35" s="1"/>
  <c r="E187" i="33"/>
  <c r="F187" i="33" s="1"/>
  <c r="E187" i="32"/>
  <c r="F187" i="32" s="1"/>
  <c r="E187" i="34"/>
  <c r="F187" i="34" s="1"/>
  <c r="E187" i="36"/>
  <c r="F187" i="36" s="1"/>
  <c r="E192" i="18"/>
  <c r="E233" i="38"/>
  <c r="F233" i="38" s="1"/>
  <c r="E229" i="37"/>
  <c r="F229" i="37" s="1"/>
  <c r="E229" i="33"/>
  <c r="F229" i="33" s="1"/>
  <c r="E229" i="32"/>
  <c r="F229" i="32" s="1"/>
  <c r="E229" i="35"/>
  <c r="F229" i="35" s="1"/>
  <c r="E229" i="36"/>
  <c r="F229" i="36" s="1"/>
  <c r="E229" i="34"/>
  <c r="F229" i="34" s="1"/>
  <c r="E125" i="38"/>
  <c r="F125" i="38" s="1"/>
  <c r="E129" i="37"/>
  <c r="F129" i="37" s="1"/>
  <c r="E129" i="35"/>
  <c r="F129" i="35" s="1"/>
  <c r="E129" i="36"/>
  <c r="F129" i="36" s="1"/>
  <c r="E129" i="34"/>
  <c r="F129" i="34" s="1"/>
  <c r="E129" i="33"/>
  <c r="F129" i="33" s="1"/>
  <c r="E129" i="32"/>
  <c r="F129" i="32" s="1"/>
  <c r="E187" i="38"/>
  <c r="F187" i="38" s="1"/>
  <c r="E186" i="36"/>
  <c r="F186" i="36" s="1"/>
  <c r="E186" i="34"/>
  <c r="F186" i="34" s="1"/>
  <c r="E186" i="37"/>
  <c r="F186" i="37" s="1"/>
  <c r="E186" i="33"/>
  <c r="F186" i="33" s="1"/>
  <c r="E186" i="35"/>
  <c r="F186" i="35" s="1"/>
  <c r="E191" i="18"/>
  <c r="E186" i="32"/>
  <c r="F186" i="32" s="1"/>
  <c r="E266" i="38"/>
  <c r="F266" i="38" s="1"/>
  <c r="E262" i="36"/>
  <c r="F262" i="36" s="1"/>
  <c r="E262" i="35"/>
  <c r="F262" i="35" s="1"/>
  <c r="E262" i="37"/>
  <c r="F262" i="37" s="1"/>
  <c r="E262" i="34"/>
  <c r="F262" i="34" s="1"/>
  <c r="E262" i="32"/>
  <c r="F262" i="32" s="1"/>
  <c r="E262" i="33"/>
  <c r="F262" i="33" s="1"/>
  <c r="E240" i="38"/>
  <c r="F240" i="38" s="1"/>
  <c r="E236" i="36"/>
  <c r="F236" i="36" s="1"/>
  <c r="E236" i="35"/>
  <c r="F236" i="35" s="1"/>
  <c r="E236" i="37"/>
  <c r="F236" i="37" s="1"/>
  <c r="E236" i="34"/>
  <c r="F236" i="34" s="1"/>
  <c r="E236" i="32"/>
  <c r="F236" i="32" s="1"/>
  <c r="E236" i="33"/>
  <c r="F236" i="33" s="1"/>
  <c r="E232" i="38"/>
  <c r="F232" i="38" s="1"/>
  <c r="E228" i="36"/>
  <c r="F228" i="36" s="1"/>
  <c r="E228" i="35"/>
  <c r="F228" i="35" s="1"/>
  <c r="E228" i="34"/>
  <c r="F228" i="34" s="1"/>
  <c r="E228" i="33"/>
  <c r="F228" i="33" s="1"/>
  <c r="E228" i="32"/>
  <c r="F228" i="32" s="1"/>
  <c r="E228" i="37"/>
  <c r="F228" i="37" s="1"/>
  <c r="E213" i="38"/>
  <c r="F213" i="38" s="1"/>
  <c r="E211" i="35"/>
  <c r="F211" i="35" s="1"/>
  <c r="E211" i="37"/>
  <c r="F211" i="37" s="1"/>
  <c r="E211" i="36"/>
  <c r="F211" i="36" s="1"/>
  <c r="E211" i="33"/>
  <c r="F211" i="33" s="1"/>
  <c r="E211" i="32"/>
  <c r="F211" i="32" s="1"/>
  <c r="E211" i="34"/>
  <c r="F211" i="34" s="1"/>
  <c r="E217" i="18"/>
  <c r="E126" i="38"/>
  <c r="F126" i="38" s="1"/>
  <c r="E130" i="36"/>
  <c r="F130" i="36" s="1"/>
  <c r="E130" i="34"/>
  <c r="F130" i="34" s="1"/>
  <c r="E130" i="35"/>
  <c r="F130" i="35" s="1"/>
  <c r="E130" i="37"/>
  <c r="F130" i="37" s="1"/>
  <c r="E130" i="32"/>
  <c r="F130" i="32" s="1"/>
  <c r="E130" i="33"/>
  <c r="F130" i="33" s="1"/>
  <c r="E265" i="38"/>
  <c r="F265" i="38" s="1"/>
  <c r="E261" i="37"/>
  <c r="F261" i="37" s="1"/>
  <c r="E261" i="33"/>
  <c r="F261" i="33" s="1"/>
  <c r="E261" i="36"/>
  <c r="F261" i="36" s="1"/>
  <c r="E261" i="32"/>
  <c r="F261" i="32" s="1"/>
  <c r="E261" i="34"/>
  <c r="F261" i="34" s="1"/>
  <c r="E261" i="35"/>
  <c r="F261" i="35" s="1"/>
  <c r="E121" i="38"/>
  <c r="F121" i="38" s="1"/>
  <c r="E125" i="36"/>
  <c r="F125" i="36" s="1"/>
  <c r="E125" i="37"/>
  <c r="F125" i="37" s="1"/>
  <c r="E125" i="33"/>
  <c r="F125" i="33" s="1"/>
  <c r="E125" i="34"/>
  <c r="F125" i="34" s="1"/>
  <c r="E125" i="32"/>
  <c r="F125" i="32" s="1"/>
  <c r="E125" i="35"/>
  <c r="F125" i="35" s="1"/>
  <c r="E263" i="38"/>
  <c r="F263" i="38" s="1"/>
  <c r="E259" i="35"/>
  <c r="F259" i="35" s="1"/>
  <c r="E259" i="37"/>
  <c r="F259" i="37" s="1"/>
  <c r="E259" i="36"/>
  <c r="F259" i="36" s="1"/>
  <c r="E259" i="33"/>
  <c r="F259" i="33" s="1"/>
  <c r="E259" i="34"/>
  <c r="F259" i="34" s="1"/>
  <c r="E259" i="32"/>
  <c r="F259" i="32" s="1"/>
  <c r="E202" i="38"/>
  <c r="F202" i="38" s="1"/>
  <c r="E200" i="36"/>
  <c r="F200" i="36" s="1"/>
  <c r="E200" i="35"/>
  <c r="F200" i="35" s="1"/>
  <c r="E200" i="34"/>
  <c r="F200" i="34" s="1"/>
  <c r="E200" i="37"/>
  <c r="F200" i="37" s="1"/>
  <c r="E200" i="32"/>
  <c r="F200" i="32" s="1"/>
  <c r="E206" i="18"/>
  <c r="E200" i="33"/>
  <c r="F200" i="33" s="1"/>
  <c r="E124" i="38"/>
  <c r="F124" i="38" s="1"/>
  <c r="E128" i="37"/>
  <c r="F128" i="37" s="1"/>
  <c r="E128" i="35"/>
  <c r="F128" i="35" s="1"/>
  <c r="E128" i="33"/>
  <c r="F128" i="33" s="1"/>
  <c r="E128" i="32"/>
  <c r="F128" i="32" s="1"/>
  <c r="E128" i="34"/>
  <c r="F128" i="34" s="1"/>
  <c r="E128" i="36"/>
  <c r="F128" i="36" s="1"/>
  <c r="E199" i="38"/>
  <c r="F199" i="38" s="1"/>
  <c r="E197" i="37"/>
  <c r="F197" i="37" s="1"/>
  <c r="E197" i="35"/>
  <c r="F197" i="35" s="1"/>
  <c r="E197" i="36"/>
  <c r="F197" i="36" s="1"/>
  <c r="E197" i="33"/>
  <c r="F197" i="33" s="1"/>
  <c r="E197" i="32"/>
  <c r="F197" i="32" s="1"/>
  <c r="E203" i="18"/>
  <c r="F203" i="18" s="1"/>
  <c r="E197" i="34"/>
  <c r="F197" i="34" s="1"/>
  <c r="E249" i="38"/>
  <c r="F249" i="38" s="1"/>
  <c r="E245" i="37"/>
  <c r="F245" i="37" s="1"/>
  <c r="E245" i="35"/>
  <c r="F245" i="35" s="1"/>
  <c r="E245" i="33"/>
  <c r="F245" i="33" s="1"/>
  <c r="E245" i="36"/>
  <c r="F245" i="36" s="1"/>
  <c r="E245" i="34"/>
  <c r="F245" i="34" s="1"/>
  <c r="E245" i="32"/>
  <c r="F245" i="32" s="1"/>
  <c r="E224" i="38"/>
  <c r="F224" i="38" s="1"/>
  <c r="E220" i="36"/>
  <c r="F220" i="36" s="1"/>
  <c r="E220" i="35"/>
  <c r="F220" i="35" s="1"/>
  <c r="E220" i="37"/>
  <c r="F220" i="37" s="1"/>
  <c r="E220" i="34"/>
  <c r="F220" i="34" s="1"/>
  <c r="E220" i="33"/>
  <c r="F220" i="33" s="1"/>
  <c r="E220" i="32"/>
  <c r="F220" i="32" s="1"/>
  <c r="E206" i="38"/>
  <c r="F206" i="38" s="1"/>
  <c r="E204" i="36"/>
  <c r="F204" i="36" s="1"/>
  <c r="E204" i="35"/>
  <c r="F204" i="35" s="1"/>
  <c r="E204" i="37"/>
  <c r="F204" i="37" s="1"/>
  <c r="E204" i="34"/>
  <c r="F204" i="34" s="1"/>
  <c r="E204" i="33"/>
  <c r="F204" i="33" s="1"/>
  <c r="E204" i="32"/>
  <c r="F204" i="32" s="1"/>
  <c r="E210" i="18"/>
  <c r="E78" i="25"/>
  <c r="F78" i="25" s="1"/>
  <c r="E105" i="38"/>
  <c r="F105" i="38" s="1"/>
  <c r="E109" i="36"/>
  <c r="F109" i="36" s="1"/>
  <c r="E109" i="33"/>
  <c r="F109" i="33" s="1"/>
  <c r="E109" i="35"/>
  <c r="F109" i="35" s="1"/>
  <c r="E109" i="37"/>
  <c r="F109" i="37" s="1"/>
  <c r="E109" i="34"/>
  <c r="F109" i="34" s="1"/>
  <c r="E109" i="32"/>
  <c r="F109" i="32" s="1"/>
  <c r="E257" i="38"/>
  <c r="F257" i="38" s="1"/>
  <c r="E253" i="37"/>
  <c r="F253" i="37" s="1"/>
  <c r="E253" i="36"/>
  <c r="F253" i="36" s="1"/>
  <c r="E253" i="33"/>
  <c r="F253" i="33" s="1"/>
  <c r="E253" i="35"/>
  <c r="F253" i="35" s="1"/>
  <c r="E253" i="32"/>
  <c r="F253" i="32" s="1"/>
  <c r="E253" i="34"/>
  <c r="F253" i="34" s="1"/>
  <c r="E75" i="38"/>
  <c r="F75" i="38" s="1"/>
  <c r="E79" i="36"/>
  <c r="F79" i="36" s="1"/>
  <c r="E79" i="37"/>
  <c r="F79" i="37" s="1"/>
  <c r="E79" i="35"/>
  <c r="F79" i="35" s="1"/>
  <c r="E79" i="33"/>
  <c r="F79" i="33" s="1"/>
  <c r="E79" i="32"/>
  <c r="F79" i="32" s="1"/>
  <c r="E79" i="34"/>
  <c r="F79" i="34" s="1"/>
  <c r="E195" i="38"/>
  <c r="F195" i="38" s="1"/>
  <c r="E193" i="37"/>
  <c r="F193" i="37" s="1"/>
  <c r="E193" i="35"/>
  <c r="F193" i="35" s="1"/>
  <c r="E193" i="33"/>
  <c r="F193" i="33" s="1"/>
  <c r="E193" i="32"/>
  <c r="F193" i="32" s="1"/>
  <c r="E193" i="36"/>
  <c r="F193" i="36" s="1"/>
  <c r="E193" i="34"/>
  <c r="F193" i="34" s="1"/>
  <c r="E199" i="18"/>
  <c r="E274" i="38"/>
  <c r="F274" i="38" s="1"/>
  <c r="E270" i="36"/>
  <c r="F270" i="36" s="1"/>
  <c r="E270" i="35"/>
  <c r="F270" i="35" s="1"/>
  <c r="E270" i="34"/>
  <c r="F270" i="34" s="1"/>
  <c r="E270" i="32"/>
  <c r="F270" i="32" s="1"/>
  <c r="E270" i="37"/>
  <c r="F270" i="37" s="1"/>
  <c r="E270" i="33"/>
  <c r="F270" i="33" s="1"/>
  <c r="E247" i="38"/>
  <c r="F247" i="38" s="1"/>
  <c r="E243" i="35"/>
  <c r="F243" i="35" s="1"/>
  <c r="E243" i="37"/>
  <c r="F243" i="37" s="1"/>
  <c r="E243" i="36"/>
  <c r="F243" i="36" s="1"/>
  <c r="E243" i="33"/>
  <c r="F243" i="33" s="1"/>
  <c r="E243" i="32"/>
  <c r="F243" i="32" s="1"/>
  <c r="E243" i="34"/>
  <c r="F243" i="34" s="1"/>
  <c r="E231" i="38"/>
  <c r="F231" i="38" s="1"/>
  <c r="E227" i="35"/>
  <c r="F227" i="35" s="1"/>
  <c r="E227" i="37"/>
  <c r="F227" i="37" s="1"/>
  <c r="E227" i="36"/>
  <c r="F227" i="36" s="1"/>
  <c r="E227" i="33"/>
  <c r="F227" i="33" s="1"/>
  <c r="E227" i="32"/>
  <c r="F227" i="32" s="1"/>
  <c r="E227" i="34"/>
  <c r="F227" i="34" s="1"/>
  <c r="E222" i="38"/>
  <c r="F222" i="38" s="1"/>
  <c r="E218" i="36"/>
  <c r="F218" i="36" s="1"/>
  <c r="E218" i="35"/>
  <c r="F218" i="35" s="1"/>
  <c r="E218" i="34"/>
  <c r="F218" i="34" s="1"/>
  <c r="E218" i="37"/>
  <c r="F218" i="37" s="1"/>
  <c r="E218" i="33"/>
  <c r="F218" i="33" s="1"/>
  <c r="E218" i="32"/>
  <c r="F218" i="32" s="1"/>
  <c r="E204" i="38"/>
  <c r="F204" i="38" s="1"/>
  <c r="E202" i="36"/>
  <c r="F202" i="36" s="1"/>
  <c r="E202" i="35"/>
  <c r="F202" i="35" s="1"/>
  <c r="E202" i="34"/>
  <c r="F202" i="34" s="1"/>
  <c r="E202" i="37"/>
  <c r="F202" i="37" s="1"/>
  <c r="E202" i="33"/>
  <c r="F202" i="33" s="1"/>
  <c r="E208" i="18"/>
  <c r="E202" i="32"/>
  <c r="F202" i="32" s="1"/>
  <c r="E78" i="38"/>
  <c r="F78" i="38" s="1"/>
  <c r="E82" i="36"/>
  <c r="F82" i="36" s="1"/>
  <c r="E82" i="34"/>
  <c r="F82" i="34" s="1"/>
  <c r="E82" i="37"/>
  <c r="F82" i="37" s="1"/>
  <c r="E82" i="35"/>
  <c r="F82" i="35" s="1"/>
  <c r="E82" i="32"/>
  <c r="F82" i="32" s="1"/>
  <c r="E82" i="33"/>
  <c r="F82" i="33" s="1"/>
  <c r="E192" i="38"/>
  <c r="F192" i="38" s="1"/>
  <c r="E191" i="37"/>
  <c r="F191" i="37" s="1"/>
  <c r="E191" i="35"/>
  <c r="F191" i="35" s="1"/>
  <c r="E191" i="36"/>
  <c r="F191" i="36" s="1"/>
  <c r="E191" i="33"/>
  <c r="F191" i="33" s="1"/>
  <c r="E191" i="32"/>
  <c r="F191" i="32" s="1"/>
  <c r="E196" i="18"/>
  <c r="E191" i="34"/>
  <c r="F191" i="34" s="1"/>
  <c r="E253" i="38"/>
  <c r="F253" i="38" s="1"/>
  <c r="E249" i="37"/>
  <c r="F249" i="37" s="1"/>
  <c r="E249" i="36"/>
  <c r="F249" i="36" s="1"/>
  <c r="E249" i="33"/>
  <c r="F249" i="33" s="1"/>
  <c r="E249" i="35"/>
  <c r="F249" i="35" s="1"/>
  <c r="E249" i="34"/>
  <c r="F249" i="34" s="1"/>
  <c r="E249" i="32"/>
  <c r="F249" i="32" s="1"/>
  <c r="E229" i="38"/>
  <c r="F229" i="38" s="1"/>
  <c r="E225" i="37"/>
  <c r="F225" i="37" s="1"/>
  <c r="E225" i="33"/>
  <c r="F225" i="33" s="1"/>
  <c r="E225" i="32"/>
  <c r="F225" i="32" s="1"/>
  <c r="E225" i="35"/>
  <c r="F225" i="35" s="1"/>
  <c r="E225" i="34"/>
  <c r="F225" i="34" s="1"/>
  <c r="E225" i="36"/>
  <c r="F225" i="36" s="1"/>
  <c r="E94" i="38"/>
  <c r="F94" i="38" s="1"/>
  <c r="E98" i="36"/>
  <c r="F98" i="36" s="1"/>
  <c r="E98" i="37"/>
  <c r="F98" i="37" s="1"/>
  <c r="E98" i="34"/>
  <c r="F98" i="34" s="1"/>
  <c r="E98" i="32"/>
  <c r="F98" i="32" s="1"/>
  <c r="E98" i="35"/>
  <c r="F98" i="35" s="1"/>
  <c r="E98" i="33"/>
  <c r="F98" i="33" s="1"/>
  <c r="E183" i="38"/>
  <c r="F183" i="38" s="1"/>
  <c r="E182" i="36"/>
  <c r="F182" i="36" s="1"/>
  <c r="E182" i="37"/>
  <c r="F182" i="37" s="1"/>
  <c r="E182" i="35"/>
  <c r="F182" i="35" s="1"/>
  <c r="E182" i="34"/>
  <c r="F182" i="34" s="1"/>
  <c r="E182" i="33"/>
  <c r="F182" i="33" s="1"/>
  <c r="E187" i="18"/>
  <c r="E182" i="32"/>
  <c r="F182" i="32" s="1"/>
  <c r="E85" i="38"/>
  <c r="F85" i="38" s="1"/>
  <c r="E89" i="37"/>
  <c r="F89" i="37" s="1"/>
  <c r="E89" i="35"/>
  <c r="F89" i="35" s="1"/>
  <c r="E89" i="36"/>
  <c r="F89" i="36" s="1"/>
  <c r="E89" i="34"/>
  <c r="F89" i="34" s="1"/>
  <c r="E89" i="32"/>
  <c r="F89" i="32" s="1"/>
  <c r="E89" i="33"/>
  <c r="F89" i="33" s="1"/>
  <c r="E197" i="38"/>
  <c r="F197" i="38" s="1"/>
  <c r="E195" i="37"/>
  <c r="F195" i="37" s="1"/>
  <c r="E195" i="35"/>
  <c r="F195" i="35" s="1"/>
  <c r="E195" i="33"/>
  <c r="F195" i="33" s="1"/>
  <c r="E195" i="32"/>
  <c r="F195" i="32" s="1"/>
  <c r="E195" i="34"/>
  <c r="F195" i="34" s="1"/>
  <c r="E195" i="36"/>
  <c r="F195" i="36" s="1"/>
  <c r="E201" i="18"/>
  <c r="E258" i="38"/>
  <c r="F258" i="38" s="1"/>
  <c r="E254" i="36"/>
  <c r="F254" i="36" s="1"/>
  <c r="E254" i="35"/>
  <c r="F254" i="35" s="1"/>
  <c r="E254" i="37"/>
  <c r="F254" i="37" s="1"/>
  <c r="E254" i="34"/>
  <c r="F254" i="34" s="1"/>
  <c r="E254" i="32"/>
  <c r="F254" i="32" s="1"/>
  <c r="E254" i="33"/>
  <c r="F254" i="33" s="1"/>
  <c r="E74" i="38"/>
  <c r="F74" i="38" s="1"/>
  <c r="E78" i="36"/>
  <c r="F78" i="36" s="1"/>
  <c r="E78" i="35"/>
  <c r="F78" i="35" s="1"/>
  <c r="E78" i="34"/>
  <c r="F78" i="34" s="1"/>
  <c r="E78" i="37"/>
  <c r="F78" i="37" s="1"/>
  <c r="E78" i="33"/>
  <c r="F78" i="33" s="1"/>
  <c r="E78" i="32"/>
  <c r="F78" i="32" s="1"/>
  <c r="E196" i="38"/>
  <c r="F196" i="38" s="1"/>
  <c r="E194" i="36"/>
  <c r="F194" i="36" s="1"/>
  <c r="E194" i="34"/>
  <c r="F194" i="34" s="1"/>
  <c r="E194" i="35"/>
  <c r="F194" i="35" s="1"/>
  <c r="E194" i="32"/>
  <c r="F194" i="32" s="1"/>
  <c r="E200" i="18"/>
  <c r="F200" i="18" s="1"/>
  <c r="E194" i="37"/>
  <c r="F194" i="37" s="1"/>
  <c r="E194" i="33"/>
  <c r="F194" i="33" s="1"/>
  <c r="E201" i="38"/>
  <c r="F201" i="38" s="1"/>
  <c r="E199" i="35"/>
  <c r="F199" i="35" s="1"/>
  <c r="E199" i="37"/>
  <c r="F199" i="37" s="1"/>
  <c r="E199" i="33"/>
  <c r="F199" i="33" s="1"/>
  <c r="E199" i="32"/>
  <c r="F199" i="32" s="1"/>
  <c r="E199" i="34"/>
  <c r="F199" i="34" s="1"/>
  <c r="E205" i="18"/>
  <c r="E199" i="36"/>
  <c r="F199" i="36" s="1"/>
  <c r="E248" i="38"/>
  <c r="F248" i="38" s="1"/>
  <c r="E244" i="36"/>
  <c r="F244" i="36" s="1"/>
  <c r="E244" i="35"/>
  <c r="F244" i="35" s="1"/>
  <c r="E244" i="34"/>
  <c r="F244" i="34" s="1"/>
  <c r="E244" i="32"/>
  <c r="F244" i="32" s="1"/>
  <c r="E244" i="37"/>
  <c r="F244" i="37" s="1"/>
  <c r="E244" i="33"/>
  <c r="F244" i="33" s="1"/>
  <c r="E205" i="38"/>
  <c r="F205" i="38" s="1"/>
  <c r="E203" i="35"/>
  <c r="F203" i="35" s="1"/>
  <c r="E203" i="37"/>
  <c r="F203" i="37" s="1"/>
  <c r="E203" i="33"/>
  <c r="F203" i="33" s="1"/>
  <c r="E203" i="32"/>
  <c r="F203" i="32" s="1"/>
  <c r="E203" i="36"/>
  <c r="F203" i="36" s="1"/>
  <c r="E203" i="34"/>
  <c r="F203" i="34" s="1"/>
  <c r="E209" i="18"/>
  <c r="E88" i="38"/>
  <c r="F88" i="38" s="1"/>
  <c r="E92" i="37"/>
  <c r="F92" i="37" s="1"/>
  <c r="E92" i="35"/>
  <c r="F92" i="35" s="1"/>
  <c r="E92" i="33"/>
  <c r="F92" i="33" s="1"/>
  <c r="E92" i="36"/>
  <c r="F92" i="36" s="1"/>
  <c r="E92" i="32"/>
  <c r="F92" i="32" s="1"/>
  <c r="E92" i="34"/>
  <c r="F92" i="34" s="1"/>
  <c r="E130" i="38"/>
  <c r="F130" i="38" s="1"/>
  <c r="E134" i="36"/>
  <c r="F134" i="36" s="1"/>
  <c r="E134" i="34"/>
  <c r="F134" i="34" s="1"/>
  <c r="E134" i="33"/>
  <c r="F134" i="33" s="1"/>
  <c r="E134" i="32"/>
  <c r="F134" i="32" s="1"/>
  <c r="E134" i="37"/>
  <c r="F134" i="37" s="1"/>
  <c r="E134" i="35"/>
  <c r="F134" i="35" s="1"/>
  <c r="E173" i="38"/>
  <c r="F173" i="38" s="1"/>
  <c r="E174" i="36"/>
  <c r="F174" i="36" s="1"/>
  <c r="E174" i="37"/>
  <c r="F174" i="37" s="1"/>
  <c r="E174" i="35"/>
  <c r="F174" i="35" s="1"/>
  <c r="E174" i="33"/>
  <c r="F174" i="33" s="1"/>
  <c r="E174" i="32"/>
  <c r="F174" i="32" s="1"/>
  <c r="E177" i="18"/>
  <c r="E174" i="34"/>
  <c r="F174" i="34" s="1"/>
  <c r="E245" i="38"/>
  <c r="F245" i="38" s="1"/>
  <c r="E241" i="37"/>
  <c r="F241" i="37" s="1"/>
  <c r="E241" i="33"/>
  <c r="F241" i="33" s="1"/>
  <c r="E241" i="35"/>
  <c r="F241" i="35" s="1"/>
  <c r="E241" i="34"/>
  <c r="F241" i="34" s="1"/>
  <c r="E241" i="32"/>
  <c r="F241" i="32" s="1"/>
  <c r="E241" i="36"/>
  <c r="F241" i="36" s="1"/>
  <c r="E237" i="38"/>
  <c r="F237" i="38" s="1"/>
  <c r="E233" i="37"/>
  <c r="F233" i="37" s="1"/>
  <c r="E233" i="36"/>
  <c r="F233" i="36" s="1"/>
  <c r="E233" i="35"/>
  <c r="F233" i="35" s="1"/>
  <c r="E233" i="33"/>
  <c r="F233" i="33" s="1"/>
  <c r="E233" i="32"/>
  <c r="F233" i="32" s="1"/>
  <c r="E233" i="34"/>
  <c r="F233" i="34" s="1"/>
  <c r="E210" i="38"/>
  <c r="F210" i="38" s="1"/>
  <c r="E208" i="36"/>
  <c r="F208" i="36" s="1"/>
  <c r="E208" i="35"/>
  <c r="F208" i="35" s="1"/>
  <c r="E208" i="34"/>
  <c r="F208" i="34" s="1"/>
  <c r="E208" i="37"/>
  <c r="F208" i="37" s="1"/>
  <c r="E214" i="18"/>
  <c r="E208" i="33"/>
  <c r="F208" i="33" s="1"/>
  <c r="E208" i="32"/>
  <c r="F208" i="32" s="1"/>
  <c r="E68" i="38"/>
  <c r="F68" i="38" s="1"/>
  <c r="E72" i="37"/>
  <c r="F72" i="37" s="1"/>
  <c r="E72" i="35"/>
  <c r="F72" i="35" s="1"/>
  <c r="E72" i="36"/>
  <c r="F72" i="36" s="1"/>
  <c r="E72" i="33"/>
  <c r="F72" i="33" s="1"/>
  <c r="E72" i="34"/>
  <c r="F72" i="34" s="1"/>
  <c r="E72" i="32"/>
  <c r="F72" i="32" s="1"/>
  <c r="E81" i="38"/>
  <c r="F81" i="38" s="1"/>
  <c r="E85" i="36"/>
  <c r="F85" i="36" s="1"/>
  <c r="E85" i="33"/>
  <c r="F85" i="33" s="1"/>
  <c r="E85" i="34"/>
  <c r="F85" i="34" s="1"/>
  <c r="E85" i="35"/>
  <c r="F85" i="35" s="1"/>
  <c r="E85" i="32"/>
  <c r="F85" i="32" s="1"/>
  <c r="E85" i="37"/>
  <c r="F85" i="37" s="1"/>
  <c r="E131" i="38"/>
  <c r="F131" i="38" s="1"/>
  <c r="E135" i="36"/>
  <c r="F135" i="36" s="1"/>
  <c r="E135" i="37"/>
  <c r="F135" i="37" s="1"/>
  <c r="E135" i="35"/>
  <c r="F135" i="35" s="1"/>
  <c r="E135" i="33"/>
  <c r="F135" i="33" s="1"/>
  <c r="E135" i="32"/>
  <c r="F135" i="32" s="1"/>
  <c r="E135" i="34"/>
  <c r="F135" i="34" s="1"/>
  <c r="E69" i="38"/>
  <c r="F69" i="38" s="1"/>
  <c r="E73" i="37"/>
  <c r="F73" i="37" s="1"/>
  <c r="E73" i="35"/>
  <c r="F73" i="35" s="1"/>
  <c r="E73" i="36"/>
  <c r="F73" i="36" s="1"/>
  <c r="E73" i="34"/>
  <c r="F73" i="34" s="1"/>
  <c r="E73" i="33"/>
  <c r="F73" i="33" s="1"/>
  <c r="E73" i="32"/>
  <c r="F73" i="32" s="1"/>
  <c r="E83" i="38"/>
  <c r="F83" i="38" s="1"/>
  <c r="E87" i="36"/>
  <c r="F87" i="36" s="1"/>
  <c r="E87" i="37"/>
  <c r="F87" i="37" s="1"/>
  <c r="E87" i="35"/>
  <c r="F87" i="35" s="1"/>
  <c r="E87" i="33"/>
  <c r="F87" i="33" s="1"/>
  <c r="E87" i="32"/>
  <c r="F87" i="32" s="1"/>
  <c r="E87" i="34"/>
  <c r="F87" i="34" s="1"/>
  <c r="E97" i="38"/>
  <c r="F97" i="38" s="1"/>
  <c r="E101" i="36"/>
  <c r="F101" i="36" s="1"/>
  <c r="E101" i="33"/>
  <c r="F101" i="33" s="1"/>
  <c r="E101" i="35"/>
  <c r="F101" i="35" s="1"/>
  <c r="E101" i="37"/>
  <c r="F101" i="37" s="1"/>
  <c r="E101" i="34"/>
  <c r="F101" i="34" s="1"/>
  <c r="E101" i="32"/>
  <c r="F101" i="32" s="1"/>
  <c r="E122" i="38"/>
  <c r="F122" i="38" s="1"/>
  <c r="E126" i="36"/>
  <c r="F126" i="36" s="1"/>
  <c r="E126" i="34"/>
  <c r="F126" i="34" s="1"/>
  <c r="E126" i="35"/>
  <c r="F126" i="35" s="1"/>
  <c r="E126" i="33"/>
  <c r="F126" i="33" s="1"/>
  <c r="E126" i="37"/>
  <c r="F126" i="37" s="1"/>
  <c r="E126" i="32"/>
  <c r="F126" i="32" s="1"/>
  <c r="E133" i="38"/>
  <c r="F133" i="38" s="1"/>
  <c r="E137" i="37"/>
  <c r="F137" i="37" s="1"/>
  <c r="E137" i="35"/>
  <c r="F137" i="35" s="1"/>
  <c r="E137" i="36"/>
  <c r="F137" i="36" s="1"/>
  <c r="E137" i="34"/>
  <c r="F137" i="34" s="1"/>
  <c r="E137" i="32"/>
  <c r="F137" i="32" s="1"/>
  <c r="E137" i="33"/>
  <c r="F137" i="33" s="1"/>
  <c r="E190" i="38"/>
  <c r="F190" i="38" s="1"/>
  <c r="E189" i="37"/>
  <c r="F189" i="37" s="1"/>
  <c r="E189" i="35"/>
  <c r="F189" i="35" s="1"/>
  <c r="E189" i="33"/>
  <c r="F189" i="33" s="1"/>
  <c r="E189" i="32"/>
  <c r="F189" i="32" s="1"/>
  <c r="E194" i="18"/>
  <c r="F194" i="18" s="1"/>
  <c r="E189" i="34"/>
  <c r="F189" i="34" s="1"/>
  <c r="E189" i="36"/>
  <c r="F189" i="36" s="1"/>
  <c r="E182" i="38"/>
  <c r="F182" i="38" s="1"/>
  <c r="E181" i="37"/>
  <c r="F181" i="37" s="1"/>
  <c r="E181" i="35"/>
  <c r="F181" i="35" s="1"/>
  <c r="E181" i="36"/>
  <c r="F181" i="36" s="1"/>
  <c r="E181" i="33"/>
  <c r="F181" i="33" s="1"/>
  <c r="E181" i="32"/>
  <c r="F181" i="32" s="1"/>
  <c r="E186" i="18"/>
  <c r="E181" i="34"/>
  <c r="F181" i="34" s="1"/>
  <c r="E170" i="38"/>
  <c r="F170" i="38" s="1"/>
  <c r="E172" i="37"/>
  <c r="F172" i="37" s="1"/>
  <c r="E172" i="35"/>
  <c r="F172" i="35" s="1"/>
  <c r="E172" i="34"/>
  <c r="F172" i="34" s="1"/>
  <c r="E172" i="33"/>
  <c r="F172" i="33" s="1"/>
  <c r="E172" i="32"/>
  <c r="F172" i="32" s="1"/>
  <c r="E174" i="18"/>
  <c r="E172" i="36"/>
  <c r="F172" i="36" s="1"/>
  <c r="E269" i="38"/>
  <c r="F269" i="38" s="1"/>
  <c r="E265" i="37"/>
  <c r="F265" i="37" s="1"/>
  <c r="E265" i="33"/>
  <c r="F265" i="33" s="1"/>
  <c r="E265" i="35"/>
  <c r="F265" i="35" s="1"/>
  <c r="E265" i="34"/>
  <c r="F265" i="34" s="1"/>
  <c r="E265" i="36"/>
  <c r="F265" i="36" s="1"/>
  <c r="E265" i="32"/>
  <c r="F265" i="32" s="1"/>
  <c r="E260" i="38"/>
  <c r="F260" i="38" s="1"/>
  <c r="E256" i="36"/>
  <c r="F256" i="36" s="1"/>
  <c r="E256" i="35"/>
  <c r="F256" i="35" s="1"/>
  <c r="E256" i="34"/>
  <c r="F256" i="34" s="1"/>
  <c r="E256" i="37"/>
  <c r="F256" i="37" s="1"/>
  <c r="E256" i="32"/>
  <c r="F256" i="32" s="1"/>
  <c r="E256" i="33"/>
  <c r="F256" i="33" s="1"/>
  <c r="E251" i="38"/>
  <c r="F251" i="38" s="1"/>
  <c r="E247" i="35"/>
  <c r="F247" i="35" s="1"/>
  <c r="E247" i="37"/>
  <c r="F247" i="37" s="1"/>
  <c r="E247" i="33"/>
  <c r="F247" i="33" s="1"/>
  <c r="E247" i="34"/>
  <c r="F247" i="34" s="1"/>
  <c r="E247" i="36"/>
  <c r="F247" i="36" s="1"/>
  <c r="E247" i="32"/>
  <c r="F247" i="32" s="1"/>
  <c r="E243" i="38"/>
  <c r="F243" i="38" s="1"/>
  <c r="E239" i="35"/>
  <c r="F239" i="35" s="1"/>
  <c r="E239" i="37"/>
  <c r="F239" i="37" s="1"/>
  <c r="E239" i="33"/>
  <c r="F239" i="33" s="1"/>
  <c r="E239" i="36"/>
  <c r="F239" i="36" s="1"/>
  <c r="E239" i="32"/>
  <c r="F239" i="32" s="1"/>
  <c r="E239" i="34"/>
  <c r="F239" i="34" s="1"/>
  <c r="E235" i="38"/>
  <c r="F235" i="38" s="1"/>
  <c r="E231" i="35"/>
  <c r="F231" i="35" s="1"/>
  <c r="E231" i="37"/>
  <c r="F231" i="37" s="1"/>
  <c r="E231" i="33"/>
  <c r="F231" i="33" s="1"/>
  <c r="E231" i="32"/>
  <c r="F231" i="32" s="1"/>
  <c r="E231" i="34"/>
  <c r="F231" i="34" s="1"/>
  <c r="E231" i="36"/>
  <c r="F231" i="36" s="1"/>
  <c r="E227" i="38"/>
  <c r="F227" i="38" s="1"/>
  <c r="E223" i="35"/>
  <c r="F223" i="35" s="1"/>
  <c r="E223" i="37"/>
  <c r="F223" i="37" s="1"/>
  <c r="E223" i="33"/>
  <c r="F223" i="33" s="1"/>
  <c r="E223" i="32"/>
  <c r="F223" i="32" s="1"/>
  <c r="E223" i="36"/>
  <c r="F223" i="36" s="1"/>
  <c r="E223" i="34"/>
  <c r="F223" i="34" s="1"/>
  <c r="E216" i="38"/>
  <c r="F216" i="38" s="1"/>
  <c r="E214" i="36"/>
  <c r="F214" i="36" s="1"/>
  <c r="E214" i="35"/>
  <c r="F214" i="35" s="1"/>
  <c r="E214" i="37"/>
  <c r="F214" i="37" s="1"/>
  <c r="E214" i="34"/>
  <c r="F214" i="34" s="1"/>
  <c r="E214" i="32"/>
  <c r="F214" i="32" s="1"/>
  <c r="E214" i="33"/>
  <c r="F214" i="33" s="1"/>
  <c r="E220" i="18"/>
  <c r="F220" i="18" s="1"/>
  <c r="E208" i="38"/>
  <c r="F208" i="38" s="1"/>
  <c r="E206" i="36"/>
  <c r="F206" i="36" s="1"/>
  <c r="E206" i="35"/>
  <c r="F206" i="35" s="1"/>
  <c r="E206" i="37"/>
  <c r="F206" i="37" s="1"/>
  <c r="E206" i="34"/>
  <c r="F206" i="34" s="1"/>
  <c r="E206" i="32"/>
  <c r="F206" i="32" s="1"/>
  <c r="E212" i="18"/>
  <c r="E206" i="33"/>
  <c r="F206" i="33" s="1"/>
  <c r="E79" i="25"/>
  <c r="F79" i="25" s="1"/>
  <c r="E106" i="38"/>
  <c r="F106" i="38" s="1"/>
  <c r="E110" i="36"/>
  <c r="F110" i="36" s="1"/>
  <c r="E110" i="35"/>
  <c r="F110" i="35" s="1"/>
  <c r="E110" i="37"/>
  <c r="F110" i="37" s="1"/>
  <c r="E110" i="34"/>
  <c r="F110" i="34" s="1"/>
  <c r="E110" i="32"/>
  <c r="F110" i="32" s="1"/>
  <c r="E110" i="33"/>
  <c r="F110" i="33" s="1"/>
  <c r="E178" i="38"/>
  <c r="F178" i="38" s="1"/>
  <c r="E177" i="37"/>
  <c r="F177" i="37" s="1"/>
  <c r="E177" i="35"/>
  <c r="F177" i="35" s="1"/>
  <c r="E177" i="33"/>
  <c r="F177" i="33" s="1"/>
  <c r="E177" i="32"/>
  <c r="F177" i="32" s="1"/>
  <c r="E177" i="36"/>
  <c r="F177" i="36" s="1"/>
  <c r="E177" i="34"/>
  <c r="F177" i="34" s="1"/>
  <c r="E182" i="18"/>
  <c r="F182" i="18" s="1"/>
  <c r="E256" i="38"/>
  <c r="F256" i="38" s="1"/>
  <c r="E252" i="36"/>
  <c r="F252" i="36" s="1"/>
  <c r="E252" i="35"/>
  <c r="F252" i="35" s="1"/>
  <c r="E252" i="37"/>
  <c r="F252" i="37" s="1"/>
  <c r="E252" i="34"/>
  <c r="F252" i="34" s="1"/>
  <c r="E252" i="32"/>
  <c r="F252" i="32" s="1"/>
  <c r="E252" i="33"/>
  <c r="F252" i="33" s="1"/>
  <c r="E239" i="38"/>
  <c r="F239" i="38" s="1"/>
  <c r="E235" i="35"/>
  <c r="F235" i="35" s="1"/>
  <c r="E235" i="37"/>
  <c r="F235" i="37" s="1"/>
  <c r="E235" i="36"/>
  <c r="F235" i="36" s="1"/>
  <c r="E235" i="33"/>
  <c r="F235" i="33" s="1"/>
  <c r="E235" i="34"/>
  <c r="F235" i="34" s="1"/>
  <c r="E235" i="32"/>
  <c r="F235" i="32" s="1"/>
  <c r="E212" i="38"/>
  <c r="F212" i="38" s="1"/>
  <c r="E210" i="36"/>
  <c r="F210" i="36" s="1"/>
  <c r="E210" i="35"/>
  <c r="F210" i="35" s="1"/>
  <c r="E210" i="34"/>
  <c r="F210" i="34" s="1"/>
  <c r="E210" i="32"/>
  <c r="F210" i="32" s="1"/>
  <c r="E210" i="37"/>
  <c r="F210" i="37" s="1"/>
  <c r="E216" i="18"/>
  <c r="F216" i="18" s="1"/>
  <c r="E210" i="33"/>
  <c r="F210" i="33" s="1"/>
  <c r="E93" i="38"/>
  <c r="F93" i="38" s="1"/>
  <c r="E97" i="37"/>
  <c r="F97" i="37" s="1"/>
  <c r="E97" i="35"/>
  <c r="F97" i="35" s="1"/>
  <c r="E97" i="36"/>
  <c r="F97" i="36" s="1"/>
  <c r="E97" i="34"/>
  <c r="F97" i="34" s="1"/>
  <c r="E97" i="33"/>
  <c r="F97" i="33" s="1"/>
  <c r="E97" i="32"/>
  <c r="F97" i="32" s="1"/>
  <c r="E184" i="38"/>
  <c r="F184" i="38" s="1"/>
  <c r="E183" i="37"/>
  <c r="F183" i="37" s="1"/>
  <c r="E183" i="35"/>
  <c r="F183" i="35" s="1"/>
  <c r="E183" i="36"/>
  <c r="F183" i="36" s="1"/>
  <c r="E183" i="33"/>
  <c r="F183" i="33" s="1"/>
  <c r="E183" i="32"/>
  <c r="F183" i="32" s="1"/>
  <c r="E183" i="34"/>
  <c r="F183" i="34" s="1"/>
  <c r="E188" i="18"/>
  <c r="E272" i="38"/>
  <c r="F272" i="38" s="1"/>
  <c r="E268" i="36"/>
  <c r="F268" i="36" s="1"/>
  <c r="E268" i="35"/>
  <c r="F268" i="35" s="1"/>
  <c r="E268" i="34"/>
  <c r="F268" i="34" s="1"/>
  <c r="E268" i="32"/>
  <c r="F268" i="32" s="1"/>
  <c r="E268" i="37"/>
  <c r="F268" i="37" s="1"/>
  <c r="E268" i="33"/>
  <c r="F268" i="33" s="1"/>
  <c r="E220" i="38"/>
  <c r="F220" i="38" s="1"/>
  <c r="E216" i="36"/>
  <c r="F216" i="36" s="1"/>
  <c r="E216" i="35"/>
  <c r="F216" i="35" s="1"/>
  <c r="E216" i="34"/>
  <c r="F216" i="34" s="1"/>
  <c r="E216" i="37"/>
  <c r="F216" i="37" s="1"/>
  <c r="E216" i="32"/>
  <c r="F216" i="32" s="1"/>
  <c r="E216" i="33"/>
  <c r="F216" i="33" s="1"/>
  <c r="E120" i="38"/>
  <c r="F120" i="38" s="1"/>
  <c r="E124" i="37"/>
  <c r="F124" i="37" s="1"/>
  <c r="E124" i="35"/>
  <c r="F124" i="35" s="1"/>
  <c r="E124" i="33"/>
  <c r="F124" i="33" s="1"/>
  <c r="E124" i="32"/>
  <c r="F124" i="32" s="1"/>
  <c r="E124" i="36"/>
  <c r="F124" i="36" s="1"/>
  <c r="E124" i="34"/>
  <c r="F124" i="34" s="1"/>
  <c r="E191" i="38"/>
  <c r="F191" i="38" s="1"/>
  <c r="E190" i="36"/>
  <c r="F190" i="36" s="1"/>
  <c r="E190" i="35"/>
  <c r="F190" i="35" s="1"/>
  <c r="E190" i="37"/>
  <c r="F190" i="37" s="1"/>
  <c r="E190" i="34"/>
  <c r="F190" i="34" s="1"/>
  <c r="E190" i="32"/>
  <c r="F190" i="32" s="1"/>
  <c r="E195" i="18"/>
  <c r="E190" i="33"/>
  <c r="F190" i="33" s="1"/>
  <c r="E171" i="38"/>
  <c r="F171" i="38" s="1"/>
  <c r="E173" i="36"/>
  <c r="F173" i="36" s="1"/>
  <c r="E173" i="33"/>
  <c r="F173" i="33" s="1"/>
  <c r="E173" i="35"/>
  <c r="F173" i="35" s="1"/>
  <c r="E173" i="37"/>
  <c r="F173" i="37" s="1"/>
  <c r="E173" i="34"/>
  <c r="F173" i="34" s="1"/>
  <c r="E175" i="18"/>
  <c r="E173" i="32"/>
  <c r="F173" i="32" s="1"/>
  <c r="E271" i="38"/>
  <c r="F271" i="38" s="1"/>
  <c r="E267" i="35"/>
  <c r="F267" i="35" s="1"/>
  <c r="E267" i="37"/>
  <c r="F267" i="37" s="1"/>
  <c r="E267" i="33"/>
  <c r="F267" i="33" s="1"/>
  <c r="E267" i="34"/>
  <c r="F267" i="34" s="1"/>
  <c r="E267" i="36"/>
  <c r="F267" i="36" s="1"/>
  <c r="E267" i="32"/>
  <c r="F267" i="32" s="1"/>
  <c r="E262" i="38"/>
  <c r="F262" i="38" s="1"/>
  <c r="E258" i="36"/>
  <c r="F258" i="36" s="1"/>
  <c r="E258" i="35"/>
  <c r="F258" i="35" s="1"/>
  <c r="E258" i="34"/>
  <c r="F258" i="34" s="1"/>
  <c r="E258" i="37"/>
  <c r="F258" i="37" s="1"/>
  <c r="E258" i="32"/>
  <c r="F258" i="32" s="1"/>
  <c r="E258" i="33"/>
  <c r="F258" i="33" s="1"/>
  <c r="E252" i="38"/>
  <c r="F252" i="38" s="1"/>
  <c r="E248" i="36"/>
  <c r="F248" i="36" s="1"/>
  <c r="E248" i="35"/>
  <c r="F248" i="35" s="1"/>
  <c r="E248" i="34"/>
  <c r="F248" i="34" s="1"/>
  <c r="E248" i="32"/>
  <c r="F248" i="32" s="1"/>
  <c r="E248" i="37"/>
  <c r="F248" i="37" s="1"/>
  <c r="E248" i="33"/>
  <c r="F248" i="33" s="1"/>
  <c r="E244" i="38"/>
  <c r="F244" i="38" s="1"/>
  <c r="E240" i="36"/>
  <c r="F240" i="36" s="1"/>
  <c r="E240" i="35"/>
  <c r="F240" i="35" s="1"/>
  <c r="E240" i="34"/>
  <c r="F240" i="34" s="1"/>
  <c r="E240" i="37"/>
  <c r="F240" i="37" s="1"/>
  <c r="E240" i="32"/>
  <c r="F240" i="32" s="1"/>
  <c r="E240" i="33"/>
  <c r="F240" i="33" s="1"/>
  <c r="E236" i="38"/>
  <c r="F236" i="38" s="1"/>
  <c r="E232" i="36"/>
  <c r="F232" i="36" s="1"/>
  <c r="E232" i="35"/>
  <c r="F232" i="35" s="1"/>
  <c r="E232" i="34"/>
  <c r="F232" i="34" s="1"/>
  <c r="E232" i="37"/>
  <c r="F232" i="37" s="1"/>
  <c r="E232" i="32"/>
  <c r="F232" i="32" s="1"/>
  <c r="E232" i="33"/>
  <c r="F232" i="33" s="1"/>
  <c r="E228" i="38"/>
  <c r="F228" i="38" s="1"/>
  <c r="E224" i="36"/>
  <c r="F224" i="36" s="1"/>
  <c r="E224" i="35"/>
  <c r="F224" i="35" s="1"/>
  <c r="E224" i="34"/>
  <c r="F224" i="34" s="1"/>
  <c r="E224" i="37"/>
  <c r="F224" i="37" s="1"/>
  <c r="E224" i="33"/>
  <c r="F224" i="33" s="1"/>
  <c r="E224" i="32"/>
  <c r="F224" i="32" s="1"/>
  <c r="E219" i="38"/>
  <c r="F219" i="38" s="1"/>
  <c r="E215" i="35"/>
  <c r="F215" i="35" s="1"/>
  <c r="E215" i="37"/>
  <c r="F215" i="37" s="1"/>
  <c r="E215" i="33"/>
  <c r="F215" i="33" s="1"/>
  <c r="E215" i="32"/>
  <c r="F215" i="32" s="1"/>
  <c r="E215" i="34"/>
  <c r="F215" i="34" s="1"/>
  <c r="E215" i="36"/>
  <c r="F215" i="36" s="1"/>
  <c r="E209" i="38"/>
  <c r="F209" i="38" s="1"/>
  <c r="E207" i="35"/>
  <c r="F207" i="35" s="1"/>
  <c r="E207" i="37"/>
  <c r="F207" i="37" s="1"/>
  <c r="E207" i="36"/>
  <c r="F207" i="36" s="1"/>
  <c r="E207" i="33"/>
  <c r="F207" i="33" s="1"/>
  <c r="E207" i="32"/>
  <c r="F207" i="32" s="1"/>
  <c r="E213" i="18"/>
  <c r="E207" i="34"/>
  <c r="F207" i="34" s="1"/>
  <c r="E70" i="38"/>
  <c r="F70" i="38" s="1"/>
  <c r="E74" i="36"/>
  <c r="F74" i="36" s="1"/>
  <c r="E74" i="34"/>
  <c r="F74" i="34" s="1"/>
  <c r="E74" i="33"/>
  <c r="F74" i="33" s="1"/>
  <c r="E74" i="32"/>
  <c r="F74" i="32" s="1"/>
  <c r="E74" i="35"/>
  <c r="F74" i="35" s="1"/>
  <c r="E74" i="37"/>
  <c r="F74" i="37" s="1"/>
  <c r="E86" i="38"/>
  <c r="F86" i="38" s="1"/>
  <c r="E90" i="36"/>
  <c r="F90" i="36" s="1"/>
  <c r="E90" i="35"/>
  <c r="F90" i="35" s="1"/>
  <c r="E90" i="34"/>
  <c r="F90" i="34" s="1"/>
  <c r="E90" i="37"/>
  <c r="F90" i="37" s="1"/>
  <c r="E90" i="32"/>
  <c r="F90" i="32" s="1"/>
  <c r="E90" i="33"/>
  <c r="F90" i="33" s="1"/>
  <c r="E98" i="38"/>
  <c r="F98" i="38" s="1"/>
  <c r="E102" i="36"/>
  <c r="F102" i="36" s="1"/>
  <c r="E102" i="35"/>
  <c r="F102" i="35" s="1"/>
  <c r="E102" i="34"/>
  <c r="F102" i="34" s="1"/>
  <c r="E102" i="33"/>
  <c r="F102" i="33" s="1"/>
  <c r="E102" i="32"/>
  <c r="F102" i="32" s="1"/>
  <c r="E102" i="37"/>
  <c r="F102" i="37" s="1"/>
  <c r="E81" i="25"/>
  <c r="F81" i="25" s="1"/>
  <c r="E123" i="38"/>
  <c r="F123" i="38" s="1"/>
  <c r="E127" i="36"/>
  <c r="F127" i="36" s="1"/>
  <c r="E127" i="37"/>
  <c r="F127" i="37" s="1"/>
  <c r="E127" i="35"/>
  <c r="F127" i="35" s="1"/>
  <c r="E127" i="33"/>
  <c r="F127" i="33" s="1"/>
  <c r="E127" i="34"/>
  <c r="F127" i="34" s="1"/>
  <c r="E127" i="32"/>
  <c r="F127" i="32" s="1"/>
  <c r="E132" i="38"/>
  <c r="F132" i="38" s="1"/>
  <c r="E136" i="37"/>
  <c r="F136" i="37" s="1"/>
  <c r="E136" i="35"/>
  <c r="F136" i="35" s="1"/>
  <c r="E136" i="36"/>
  <c r="F136" i="36" s="1"/>
  <c r="E136" i="33"/>
  <c r="F136" i="33" s="1"/>
  <c r="E136" i="32"/>
  <c r="F136" i="32" s="1"/>
  <c r="E136" i="34"/>
  <c r="F136" i="34" s="1"/>
  <c r="E189" i="38"/>
  <c r="F189" i="38" s="1"/>
  <c r="E188" i="36"/>
  <c r="F188" i="36" s="1"/>
  <c r="E188" i="37"/>
  <c r="F188" i="37" s="1"/>
  <c r="E188" i="34"/>
  <c r="F188" i="34" s="1"/>
  <c r="E188" i="33"/>
  <c r="F188" i="33" s="1"/>
  <c r="E188" i="35"/>
  <c r="F188" i="35" s="1"/>
  <c r="E188" i="32"/>
  <c r="F188" i="32" s="1"/>
  <c r="E193" i="18"/>
  <c r="E181" i="38"/>
  <c r="F181" i="38" s="1"/>
  <c r="E180" i="36"/>
  <c r="F180" i="36" s="1"/>
  <c r="E180" i="35"/>
  <c r="F180" i="35" s="1"/>
  <c r="E180" i="34"/>
  <c r="F180" i="34" s="1"/>
  <c r="E180" i="37"/>
  <c r="F180" i="37" s="1"/>
  <c r="E180" i="33"/>
  <c r="F180" i="33" s="1"/>
  <c r="E180" i="32"/>
  <c r="F180" i="32" s="1"/>
  <c r="E185" i="18"/>
  <c r="E198" i="38"/>
  <c r="F198" i="38" s="1"/>
  <c r="E196" i="36"/>
  <c r="F196" i="36" s="1"/>
  <c r="E196" i="35"/>
  <c r="F196" i="35" s="1"/>
  <c r="E196" i="34"/>
  <c r="F196" i="34" s="1"/>
  <c r="E196" i="33"/>
  <c r="F196" i="33" s="1"/>
  <c r="E196" i="32"/>
  <c r="F196" i="32" s="1"/>
  <c r="E202" i="18"/>
  <c r="E196" i="37"/>
  <c r="F196" i="37" s="1"/>
  <c r="E268" i="38"/>
  <c r="F268" i="38" s="1"/>
  <c r="E264" i="36"/>
  <c r="F264" i="36" s="1"/>
  <c r="E264" i="35"/>
  <c r="F264" i="35" s="1"/>
  <c r="E264" i="34"/>
  <c r="F264" i="34" s="1"/>
  <c r="E264" i="32"/>
  <c r="F264" i="32" s="1"/>
  <c r="E264" i="37"/>
  <c r="F264" i="37" s="1"/>
  <c r="E264" i="33"/>
  <c r="F264" i="33" s="1"/>
  <c r="E259" i="38"/>
  <c r="F259" i="38" s="1"/>
  <c r="E255" i="35"/>
  <c r="F255" i="35" s="1"/>
  <c r="E255" i="37"/>
  <c r="F255" i="37" s="1"/>
  <c r="E255" i="33"/>
  <c r="F255" i="33" s="1"/>
  <c r="E255" i="36"/>
  <c r="F255" i="36" s="1"/>
  <c r="E255" i="34"/>
  <c r="F255" i="34" s="1"/>
  <c r="E255" i="32"/>
  <c r="F255" i="32" s="1"/>
  <c r="E250" i="38"/>
  <c r="F250" i="38" s="1"/>
  <c r="E246" i="36"/>
  <c r="F246" i="36" s="1"/>
  <c r="E246" i="35"/>
  <c r="F246" i="35" s="1"/>
  <c r="E246" i="37"/>
  <c r="F246" i="37" s="1"/>
  <c r="E246" i="34"/>
  <c r="F246" i="34" s="1"/>
  <c r="E246" i="32"/>
  <c r="F246" i="32" s="1"/>
  <c r="E246" i="33"/>
  <c r="F246" i="33" s="1"/>
  <c r="E242" i="38"/>
  <c r="F242" i="38" s="1"/>
  <c r="E238" i="36"/>
  <c r="F238" i="36" s="1"/>
  <c r="E238" i="35"/>
  <c r="F238" i="35" s="1"/>
  <c r="E238" i="37"/>
  <c r="F238" i="37" s="1"/>
  <c r="E238" i="34"/>
  <c r="F238" i="34" s="1"/>
  <c r="E238" i="32"/>
  <c r="F238" i="32" s="1"/>
  <c r="E238" i="33"/>
  <c r="F238" i="33" s="1"/>
  <c r="E234" i="38"/>
  <c r="F234" i="38" s="1"/>
  <c r="E230" i="36"/>
  <c r="F230" i="36" s="1"/>
  <c r="E230" i="35"/>
  <c r="F230" i="35" s="1"/>
  <c r="E230" i="37"/>
  <c r="F230" i="37" s="1"/>
  <c r="E230" i="34"/>
  <c r="F230" i="34" s="1"/>
  <c r="E230" i="33"/>
  <c r="F230" i="33" s="1"/>
  <c r="E230" i="32"/>
  <c r="F230" i="32" s="1"/>
  <c r="E225" i="38"/>
  <c r="F225" i="38" s="1"/>
  <c r="E221" i="37"/>
  <c r="F221" i="37" s="1"/>
  <c r="E221" i="35"/>
  <c r="F221" i="35" s="1"/>
  <c r="E221" i="33"/>
  <c r="F221" i="33" s="1"/>
  <c r="E221" i="32"/>
  <c r="F221" i="32" s="1"/>
  <c r="E221" i="34"/>
  <c r="F221" i="34" s="1"/>
  <c r="E221" i="36"/>
  <c r="F221" i="36" s="1"/>
  <c r="E215" i="38"/>
  <c r="F215" i="38" s="1"/>
  <c r="E213" i="37"/>
  <c r="F213" i="37" s="1"/>
  <c r="E213" i="33"/>
  <c r="F213" i="33" s="1"/>
  <c r="E213" i="32"/>
  <c r="F213" i="32" s="1"/>
  <c r="E213" i="35"/>
  <c r="F213" i="35" s="1"/>
  <c r="E219" i="18"/>
  <c r="E213" i="34"/>
  <c r="F213" i="34" s="1"/>
  <c r="E213" i="36"/>
  <c r="F213" i="36" s="1"/>
  <c r="E207" i="38"/>
  <c r="F207" i="38" s="1"/>
  <c r="E205" i="37"/>
  <c r="F205" i="37" s="1"/>
  <c r="E205" i="33"/>
  <c r="F205" i="33" s="1"/>
  <c r="E205" i="32"/>
  <c r="F205" i="32" s="1"/>
  <c r="E205" i="34"/>
  <c r="F205" i="34" s="1"/>
  <c r="E211" i="18"/>
  <c r="E205" i="35"/>
  <c r="F205" i="35" s="1"/>
  <c r="E205" i="36"/>
  <c r="F205" i="36" s="1"/>
  <c r="E141" i="38"/>
  <c r="F141" i="38" s="1"/>
  <c r="E145" i="37"/>
  <c r="F145" i="37" s="1"/>
  <c r="E145" i="36"/>
  <c r="F145" i="36" s="1"/>
  <c r="E145" i="35"/>
  <c r="F145" i="35" s="1"/>
  <c r="E145" i="34"/>
  <c r="F145" i="34" s="1"/>
  <c r="E145" i="33"/>
  <c r="F145" i="33" s="1"/>
  <c r="E145" i="32"/>
  <c r="F145" i="32" s="1"/>
  <c r="E147" i="38"/>
  <c r="F147" i="38" s="1"/>
  <c r="E151" i="37"/>
  <c r="F151" i="37" s="1"/>
  <c r="E151" i="36"/>
  <c r="F151" i="36" s="1"/>
  <c r="E151" i="35"/>
  <c r="F151" i="35" s="1"/>
  <c r="E151" i="34"/>
  <c r="F151" i="34" s="1"/>
  <c r="E151" i="33"/>
  <c r="F151" i="33" s="1"/>
  <c r="E151" i="32"/>
  <c r="F151" i="32" s="1"/>
  <c r="E146" i="38"/>
  <c r="F146" i="38" s="1"/>
  <c r="E150" i="37"/>
  <c r="F150" i="37" s="1"/>
  <c r="E150" i="36"/>
  <c r="F150" i="36" s="1"/>
  <c r="E150" i="35"/>
  <c r="F150" i="35" s="1"/>
  <c r="E150" i="34"/>
  <c r="F150" i="34" s="1"/>
  <c r="E150" i="33"/>
  <c r="F150" i="33" s="1"/>
  <c r="E150" i="32"/>
  <c r="F150" i="32" s="1"/>
  <c r="E140" i="38"/>
  <c r="F140" i="38" s="1"/>
  <c r="E144" i="37"/>
  <c r="F144" i="37" s="1"/>
  <c r="E144" i="36"/>
  <c r="F144" i="36" s="1"/>
  <c r="E144" i="35"/>
  <c r="F144" i="35" s="1"/>
  <c r="E144" i="34"/>
  <c r="F144" i="34" s="1"/>
  <c r="E144" i="33"/>
  <c r="F144" i="33" s="1"/>
  <c r="E144" i="32"/>
  <c r="F144" i="32" s="1"/>
  <c r="E139" i="38"/>
  <c r="F139" i="38" s="1"/>
  <c r="E143" i="37"/>
  <c r="F143" i="37" s="1"/>
  <c r="E143" i="36"/>
  <c r="F143" i="36" s="1"/>
  <c r="E143" i="35"/>
  <c r="F143" i="35" s="1"/>
  <c r="E143" i="34"/>
  <c r="F143" i="34" s="1"/>
  <c r="E143" i="33"/>
  <c r="F143" i="33" s="1"/>
  <c r="E143" i="32"/>
  <c r="F143" i="32" s="1"/>
  <c r="E51" i="37"/>
  <c r="F51" i="37" s="1"/>
  <c r="E51" i="36"/>
  <c r="F51" i="36" s="1"/>
  <c r="E51" i="35"/>
  <c r="F51" i="35" s="1"/>
  <c r="E51" i="34"/>
  <c r="F51" i="34" s="1"/>
  <c r="E51" i="33"/>
  <c r="F51" i="33" s="1"/>
  <c r="E51" i="32"/>
  <c r="F51" i="32" s="1"/>
  <c r="E52" i="37"/>
  <c r="F52" i="37" s="1"/>
  <c r="E52" i="36"/>
  <c r="F52" i="36" s="1"/>
  <c r="E52" i="35"/>
  <c r="F52" i="35" s="1"/>
  <c r="E52" i="34"/>
  <c r="F52" i="34" s="1"/>
  <c r="E52" i="33"/>
  <c r="F52" i="33" s="1"/>
  <c r="E52" i="32"/>
  <c r="F52" i="32" s="1"/>
  <c r="E53" i="37"/>
  <c r="F53" i="37" s="1"/>
  <c r="E53" i="36"/>
  <c r="F53" i="36" s="1"/>
  <c r="E53" i="35"/>
  <c r="F53" i="35" s="1"/>
  <c r="E53" i="34"/>
  <c r="F53" i="34" s="1"/>
  <c r="E53" i="33"/>
  <c r="F53" i="33" s="1"/>
  <c r="E53" i="32"/>
  <c r="F53" i="32" s="1"/>
  <c r="E55" i="37"/>
  <c r="F55" i="37" s="1"/>
  <c r="E55" i="36"/>
  <c r="F55" i="36" s="1"/>
  <c r="E55" i="35"/>
  <c r="F55" i="35" s="1"/>
  <c r="E55" i="34"/>
  <c r="F55" i="34" s="1"/>
  <c r="E55" i="33"/>
  <c r="F55" i="33" s="1"/>
  <c r="E55" i="32"/>
  <c r="F55" i="32" s="1"/>
  <c r="E54" i="37"/>
  <c r="F54" i="37" s="1"/>
  <c r="E54" i="36"/>
  <c r="F54" i="36" s="1"/>
  <c r="E54" i="35"/>
  <c r="F54" i="35" s="1"/>
  <c r="E54" i="34"/>
  <c r="F54" i="34" s="1"/>
  <c r="E54" i="33"/>
  <c r="F54" i="33" s="1"/>
  <c r="E54" i="32"/>
  <c r="F54" i="32" s="1"/>
  <c r="E56" i="37"/>
  <c r="F56" i="37" s="1"/>
  <c r="E56" i="36"/>
  <c r="F56" i="36" s="1"/>
  <c r="E56" i="35"/>
  <c r="F56" i="35" s="1"/>
  <c r="E56" i="34"/>
  <c r="F56" i="34" s="1"/>
  <c r="E56" i="33"/>
  <c r="F56" i="33" s="1"/>
  <c r="E56" i="32"/>
  <c r="F56" i="32" s="1"/>
  <c r="E58" i="37"/>
  <c r="F58" i="37" s="1"/>
  <c r="E58" i="36"/>
  <c r="F58" i="36" s="1"/>
  <c r="E58" i="35"/>
  <c r="F58" i="35" s="1"/>
  <c r="E58" i="34"/>
  <c r="F58" i="34" s="1"/>
  <c r="E58" i="33"/>
  <c r="F58" i="33" s="1"/>
  <c r="E58" i="32"/>
  <c r="F58" i="32" s="1"/>
  <c r="E57" i="37"/>
  <c r="F57" i="37" s="1"/>
  <c r="E57" i="36"/>
  <c r="F57" i="36" s="1"/>
  <c r="E57" i="35"/>
  <c r="F57" i="35" s="1"/>
  <c r="E57" i="34"/>
  <c r="F57" i="34" s="1"/>
  <c r="E57" i="33"/>
  <c r="F57" i="33" s="1"/>
  <c r="E57" i="32"/>
  <c r="F57" i="32" s="1"/>
  <c r="E59" i="37"/>
  <c r="F59" i="37" s="1"/>
  <c r="E59" i="36"/>
  <c r="F59" i="36" s="1"/>
  <c r="E59" i="35"/>
  <c r="F59" i="35" s="1"/>
  <c r="E59" i="34"/>
  <c r="F59" i="34" s="1"/>
  <c r="E59" i="33"/>
  <c r="F59" i="33" s="1"/>
  <c r="E59" i="32"/>
  <c r="F59" i="32" s="1"/>
  <c r="E64" i="37"/>
  <c r="F64" i="37" s="1"/>
  <c r="E64" i="36"/>
  <c r="F64" i="36" s="1"/>
  <c r="E64" i="35"/>
  <c r="F64" i="35" s="1"/>
  <c r="E64" i="34"/>
  <c r="F64" i="34" s="1"/>
  <c r="E64" i="33"/>
  <c r="F64" i="33" s="1"/>
  <c r="E64" i="32"/>
  <c r="F64" i="32" s="1"/>
  <c r="E63" i="37"/>
  <c r="F63" i="37" s="1"/>
  <c r="E63" i="36"/>
  <c r="F63" i="36" s="1"/>
  <c r="E63" i="35"/>
  <c r="F63" i="35" s="1"/>
  <c r="E63" i="34"/>
  <c r="F63" i="34" s="1"/>
  <c r="E63" i="33"/>
  <c r="F63" i="33" s="1"/>
  <c r="E63" i="32"/>
  <c r="F63" i="32" s="1"/>
  <c r="E62" i="37"/>
  <c r="F62" i="37" s="1"/>
  <c r="E62" i="36"/>
  <c r="F62" i="36" s="1"/>
  <c r="E62" i="35"/>
  <c r="F62" i="35" s="1"/>
  <c r="E62" i="34"/>
  <c r="F62" i="34" s="1"/>
  <c r="E62" i="33"/>
  <c r="F62" i="33" s="1"/>
  <c r="E62" i="32"/>
  <c r="F62" i="32" s="1"/>
  <c r="E61" i="37"/>
  <c r="F61" i="37" s="1"/>
  <c r="E61" i="36"/>
  <c r="F61" i="36" s="1"/>
  <c r="E61" i="35"/>
  <c r="F61" i="35" s="1"/>
  <c r="E61" i="34"/>
  <c r="F61" i="34" s="1"/>
  <c r="E61" i="33"/>
  <c r="F61" i="33" s="1"/>
  <c r="E61" i="32"/>
  <c r="F61" i="32" s="1"/>
  <c r="E60" i="37"/>
  <c r="F60" i="37" s="1"/>
  <c r="E60" i="36"/>
  <c r="F60" i="36" s="1"/>
  <c r="E60" i="35"/>
  <c r="F60" i="35" s="1"/>
  <c r="E60" i="34"/>
  <c r="F60" i="34" s="1"/>
  <c r="E60" i="33"/>
  <c r="F60" i="33" s="1"/>
  <c r="E60" i="32"/>
  <c r="F60" i="32" s="1"/>
  <c r="E65" i="37"/>
  <c r="F65" i="37" s="1"/>
  <c r="E65" i="36"/>
  <c r="F65" i="36" s="1"/>
  <c r="E65" i="35"/>
  <c r="F65" i="35" s="1"/>
  <c r="E65" i="34"/>
  <c r="F65" i="34" s="1"/>
  <c r="E65" i="33"/>
  <c r="F65" i="33" s="1"/>
  <c r="E65" i="32"/>
  <c r="F65" i="32" s="1"/>
  <c r="E67" i="37"/>
  <c r="F67" i="37" s="1"/>
  <c r="E67" i="36"/>
  <c r="F67" i="36" s="1"/>
  <c r="E67" i="35"/>
  <c r="F67" i="35" s="1"/>
  <c r="E67" i="34"/>
  <c r="F67" i="34" s="1"/>
  <c r="E67" i="33"/>
  <c r="F67" i="33" s="1"/>
  <c r="E67" i="32"/>
  <c r="F67" i="32" s="1"/>
  <c r="E66" i="37"/>
  <c r="F66" i="37" s="1"/>
  <c r="E66" i="36"/>
  <c r="F66" i="36" s="1"/>
  <c r="E66" i="35"/>
  <c r="F66" i="35" s="1"/>
  <c r="E66" i="34"/>
  <c r="F66" i="34" s="1"/>
  <c r="E66" i="33"/>
  <c r="F66" i="33" s="1"/>
  <c r="E66" i="32"/>
  <c r="F66" i="32" s="1"/>
  <c r="E68" i="37"/>
  <c r="F68" i="37" s="1"/>
  <c r="E68" i="36"/>
  <c r="F68" i="36" s="1"/>
  <c r="E68" i="35"/>
  <c r="F68" i="35" s="1"/>
  <c r="E68" i="34"/>
  <c r="F68" i="34" s="1"/>
  <c r="E68" i="33"/>
  <c r="F68" i="33" s="1"/>
  <c r="E68" i="32"/>
  <c r="F68" i="32" s="1"/>
  <c r="E69" i="37"/>
  <c r="F69" i="37" s="1"/>
  <c r="E69" i="36"/>
  <c r="F69" i="36" s="1"/>
  <c r="E69" i="35"/>
  <c r="F69" i="35" s="1"/>
  <c r="E69" i="34"/>
  <c r="F69" i="34" s="1"/>
  <c r="E69" i="33"/>
  <c r="F69" i="33" s="1"/>
  <c r="E69" i="32"/>
  <c r="F69" i="32" s="1"/>
  <c r="F285" i="18"/>
  <c r="F306" i="18"/>
  <c r="F288" i="18"/>
  <c r="F295" i="18"/>
  <c r="F298" i="18"/>
  <c r="F340" i="18"/>
  <c r="F296" i="18"/>
  <c r="F301" i="18"/>
  <c r="E94" i="18"/>
  <c r="E59" i="18"/>
  <c r="F59" i="18" s="1"/>
  <c r="E80" i="18"/>
  <c r="F80" i="18" s="1"/>
  <c r="E90" i="18"/>
  <c r="E111" i="18"/>
  <c r="E131" i="18"/>
  <c r="F131" i="18" s="1"/>
  <c r="E153" i="18"/>
  <c r="E53" i="18"/>
  <c r="F53" i="18" s="1"/>
  <c r="E61" i="18"/>
  <c r="F61" i="18" s="1"/>
  <c r="E66" i="18"/>
  <c r="F66" i="18" s="1"/>
  <c r="E83" i="18"/>
  <c r="F83" i="18" s="1"/>
  <c r="E55" i="18"/>
  <c r="F55" i="18" s="1"/>
  <c r="E65" i="18"/>
  <c r="F65" i="18" s="1"/>
  <c r="E84" i="18"/>
  <c r="E127" i="18"/>
  <c r="E136" i="18"/>
  <c r="E81" i="18"/>
  <c r="E125" i="18"/>
  <c r="F125" i="18" s="1"/>
  <c r="E152" i="18"/>
  <c r="E57" i="18"/>
  <c r="F57" i="18" s="1"/>
  <c r="E64" i="18"/>
  <c r="F64" i="18" s="1"/>
  <c r="E74" i="18"/>
  <c r="F74" i="18" s="1"/>
  <c r="E87" i="18"/>
  <c r="E126" i="18"/>
  <c r="E137" i="18"/>
  <c r="F137" i="18" s="1"/>
  <c r="E54" i="18"/>
  <c r="F54" i="18" s="1"/>
  <c r="E56" i="18"/>
  <c r="F56" i="18" s="1"/>
  <c r="E139" i="18"/>
  <c r="F139" i="18" s="1"/>
  <c r="E58" i="18"/>
  <c r="F58" i="18" s="1"/>
  <c r="E62" i="18"/>
  <c r="F62" i="18" s="1"/>
  <c r="E76" i="18"/>
  <c r="F76" i="18" s="1"/>
  <c r="E92" i="18"/>
  <c r="F92" i="18" s="1"/>
  <c r="E129" i="18"/>
  <c r="F129" i="18" s="1"/>
  <c r="E138" i="18"/>
  <c r="E112" i="18"/>
  <c r="E63" i="18"/>
  <c r="F63" i="18" s="1"/>
  <c r="E75" i="18"/>
  <c r="F75" i="18" s="1"/>
  <c r="E89" i="18"/>
  <c r="E128" i="18"/>
  <c r="F128" i="18" s="1"/>
  <c r="E60" i="18"/>
  <c r="F60" i="18" s="1"/>
  <c r="E78" i="18"/>
  <c r="E91" i="18"/>
  <c r="F91" i="18" s="1"/>
  <c r="E110" i="18"/>
  <c r="F110" i="18" s="1"/>
  <c r="E130" i="18"/>
  <c r="F130" i="18" s="1"/>
  <c r="F287" i="18"/>
  <c r="F305" i="18"/>
  <c r="F345" i="18"/>
  <c r="F307" i="18"/>
  <c r="F320" i="18"/>
  <c r="F342" i="18"/>
  <c r="F294" i="18"/>
  <c r="F344" i="18"/>
  <c r="F308" i="18"/>
  <c r="F291" i="18"/>
  <c r="F283" i="18"/>
  <c r="F310" i="18"/>
  <c r="F303" i="18"/>
  <c r="F341" i="18"/>
  <c r="E277" i="18"/>
  <c r="E276" i="18"/>
  <c r="E267" i="18"/>
  <c r="E257" i="18"/>
  <c r="F257" i="18" s="1"/>
  <c r="E249" i="18"/>
  <c r="E241" i="18"/>
  <c r="E233" i="18"/>
  <c r="F233" i="18" s="1"/>
  <c r="E224" i="18"/>
  <c r="F224" i="18" s="1"/>
  <c r="E275" i="18"/>
  <c r="E266" i="18"/>
  <c r="E256" i="18"/>
  <c r="E248" i="18"/>
  <c r="F248" i="18" s="1"/>
  <c r="E240" i="18"/>
  <c r="E232" i="18"/>
  <c r="E223" i="18"/>
  <c r="E268" i="18"/>
  <c r="E250" i="18"/>
  <c r="F250" i="18" s="1"/>
  <c r="E225" i="18"/>
  <c r="F225" i="18" s="1"/>
  <c r="E263" i="18"/>
  <c r="F263" i="18" s="1"/>
  <c r="E229" i="18"/>
  <c r="E271" i="18"/>
  <c r="F271" i="18" s="1"/>
  <c r="E262" i="18"/>
  <c r="F262" i="18" s="1"/>
  <c r="E253" i="18"/>
  <c r="E245" i="18"/>
  <c r="F245" i="18" s="1"/>
  <c r="E237" i="18"/>
  <c r="F237" i="18" s="1"/>
  <c r="E228" i="18"/>
  <c r="F228" i="18" s="1"/>
  <c r="E242" i="18"/>
  <c r="E273" i="18"/>
  <c r="E239" i="18"/>
  <c r="F239" i="18" s="1"/>
  <c r="F202" i="18"/>
  <c r="F183" i="18"/>
  <c r="E270" i="18"/>
  <c r="E261" i="18"/>
  <c r="F261" i="18" s="1"/>
  <c r="E252" i="18"/>
  <c r="F252" i="18" s="1"/>
  <c r="E244" i="18"/>
  <c r="E236" i="18"/>
  <c r="E227" i="18"/>
  <c r="E259" i="18"/>
  <c r="F259" i="18" s="1"/>
  <c r="E234" i="18"/>
  <c r="E255" i="18"/>
  <c r="E247" i="18"/>
  <c r="E231" i="18"/>
  <c r="E272" i="18"/>
  <c r="E254" i="18"/>
  <c r="F254" i="18" s="1"/>
  <c r="E246" i="18"/>
  <c r="E238" i="18"/>
  <c r="F199" i="18"/>
  <c r="E278" i="18"/>
  <c r="E269" i="18"/>
  <c r="E260" i="18"/>
  <c r="E251" i="18"/>
  <c r="E243" i="18"/>
  <c r="F243" i="18" s="1"/>
  <c r="E235" i="18"/>
  <c r="E226" i="18"/>
  <c r="E67" i="18"/>
  <c r="F67" i="18" s="1"/>
  <c r="E145" i="18"/>
  <c r="E69" i="18"/>
  <c r="F69" i="18" s="1"/>
  <c r="E104" i="18"/>
  <c r="F104" i="18" s="1"/>
  <c r="E147" i="18"/>
  <c r="E68" i="18"/>
  <c r="F68" i="18" s="1"/>
  <c r="E132" i="18"/>
  <c r="E70" i="18"/>
  <c r="F70" i="18" s="1"/>
  <c r="E98" i="18"/>
  <c r="E133" i="18"/>
  <c r="F133" i="18" s="1"/>
  <c r="E71" i="18"/>
  <c r="F71" i="18" s="1"/>
  <c r="E99" i="18"/>
  <c r="F99" i="18" s="1"/>
  <c r="E146" i="18"/>
  <c r="E100" i="18"/>
  <c r="E103" i="18"/>
  <c r="E264" i="18"/>
  <c r="F264" i="18" s="1"/>
  <c r="D167" i="6"/>
  <c r="F326" i="18"/>
  <c r="F329" i="18"/>
  <c r="F317" i="18"/>
  <c r="F336" i="18"/>
  <c r="F311" i="18"/>
  <c r="F332" i="18"/>
  <c r="F333" i="18"/>
  <c r="F330" i="18"/>
  <c r="F337" i="18"/>
  <c r="F318" i="18"/>
  <c r="F334" i="18"/>
  <c r="F313" i="18"/>
  <c r="F314" i="18"/>
  <c r="F328" i="18"/>
  <c r="F335" i="18"/>
  <c r="F315" i="18"/>
  <c r="F319" i="18"/>
  <c r="F327" i="18"/>
  <c r="F34" i="6"/>
  <c r="F33" i="6"/>
  <c r="D5" i="6"/>
  <c r="D195" i="6"/>
  <c r="D194" i="6"/>
  <c r="D193" i="6"/>
  <c r="C159" i="18"/>
  <c r="C160" i="18"/>
  <c r="C161" i="18"/>
  <c r="C162" i="18"/>
  <c r="C164" i="18"/>
  <c r="C165" i="18"/>
  <c r="C166" i="18"/>
  <c r="C158" i="18"/>
  <c r="D189" i="6"/>
  <c r="D188" i="6"/>
  <c r="D187" i="6"/>
  <c r="D186" i="6"/>
  <c r="D185" i="6"/>
  <c r="B166" i="18"/>
  <c r="B165" i="18"/>
  <c r="B164" i="18"/>
  <c r="B162" i="18"/>
  <c r="B161" i="18"/>
  <c r="B160" i="18"/>
  <c r="B159" i="18"/>
  <c r="B158" i="18"/>
  <c r="E48" i="18"/>
  <c r="B48" i="18"/>
  <c r="E66" i="9"/>
  <c r="D59" i="9"/>
  <c r="D58" i="9"/>
  <c r="D57" i="9"/>
  <c r="D56" i="9"/>
  <c r="A59" i="9"/>
  <c r="A58" i="9"/>
  <c r="A57" i="9"/>
  <c r="A56" i="9"/>
  <c r="B38" i="18"/>
  <c r="B37" i="18"/>
  <c r="D51" i="9"/>
  <c r="D50" i="9"/>
  <c r="D49" i="9"/>
  <c r="E153" i="38" l="1"/>
  <c r="F153" i="38" s="1"/>
  <c r="E157" i="37"/>
  <c r="F157" i="37" s="1"/>
  <c r="E157" i="35"/>
  <c r="F157" i="35" s="1"/>
  <c r="E157" i="33"/>
  <c r="F157" i="33" s="1"/>
  <c r="E157" i="32"/>
  <c r="F157" i="32" s="1"/>
  <c r="E157" i="36"/>
  <c r="F157" i="36" s="1"/>
  <c r="E157" i="34"/>
  <c r="F157" i="34" s="1"/>
  <c r="E154" i="38"/>
  <c r="F154" i="38" s="1"/>
  <c r="E158" i="36"/>
  <c r="F158" i="36" s="1"/>
  <c r="E158" i="37"/>
  <c r="F158" i="37" s="1"/>
  <c r="E158" i="35"/>
  <c r="F158" i="35" s="1"/>
  <c r="E158" i="33"/>
  <c r="F158" i="33" s="1"/>
  <c r="E158" i="32"/>
  <c r="F158" i="32" s="1"/>
  <c r="E158" i="34"/>
  <c r="F158" i="34" s="1"/>
  <c r="E155" i="38"/>
  <c r="F155" i="38" s="1"/>
  <c r="E159" i="36"/>
  <c r="F159" i="36" s="1"/>
  <c r="E159" i="35"/>
  <c r="F159" i="35" s="1"/>
  <c r="E159" i="34"/>
  <c r="F159" i="34" s="1"/>
  <c r="E159" i="37"/>
  <c r="F159" i="37" s="1"/>
  <c r="E159" i="32"/>
  <c r="F159" i="32" s="1"/>
  <c r="E159" i="33"/>
  <c r="F159" i="33" s="1"/>
  <c r="E156" i="38"/>
  <c r="F156" i="38" s="1"/>
  <c r="E160" i="36"/>
  <c r="F160" i="36" s="1"/>
  <c r="E160" i="33"/>
  <c r="F160" i="33" s="1"/>
  <c r="E160" i="37"/>
  <c r="F160" i="37" s="1"/>
  <c r="E160" i="35"/>
  <c r="F160" i="35" s="1"/>
  <c r="E160" i="34"/>
  <c r="F160" i="34" s="1"/>
  <c r="E160" i="32"/>
  <c r="F160" i="32" s="1"/>
  <c r="E152" i="38"/>
  <c r="F152" i="38" s="1"/>
  <c r="E156" i="37"/>
  <c r="F156" i="37" s="1"/>
  <c r="E156" i="35"/>
  <c r="F156" i="35" s="1"/>
  <c r="E156" i="36"/>
  <c r="F156" i="36" s="1"/>
  <c r="E156" i="34"/>
  <c r="F156" i="34" s="1"/>
  <c r="E156" i="32"/>
  <c r="F156" i="32" s="1"/>
  <c r="E156" i="33"/>
  <c r="F156" i="33" s="1"/>
  <c r="E159" i="38"/>
  <c r="F159" i="38" s="1"/>
  <c r="E163" i="37"/>
  <c r="F163" i="37" s="1"/>
  <c r="E163" i="35"/>
  <c r="F163" i="35" s="1"/>
  <c r="E163" i="34"/>
  <c r="F163" i="34" s="1"/>
  <c r="E163" i="36"/>
  <c r="F163" i="36" s="1"/>
  <c r="E163" i="33"/>
  <c r="F163" i="33" s="1"/>
  <c r="E163" i="32"/>
  <c r="F163" i="32" s="1"/>
  <c r="E169" i="38"/>
  <c r="F169" i="38" s="1"/>
  <c r="E171" i="37"/>
  <c r="F171" i="37" s="1"/>
  <c r="E171" i="35"/>
  <c r="F171" i="35" s="1"/>
  <c r="E171" i="36"/>
  <c r="F171" i="36" s="1"/>
  <c r="E171" i="34"/>
  <c r="F171" i="34" s="1"/>
  <c r="E171" i="33"/>
  <c r="F171" i="33" s="1"/>
  <c r="E171" i="32"/>
  <c r="F171" i="32" s="1"/>
  <c r="E173" i="18"/>
  <c r="E158" i="38"/>
  <c r="F158" i="38" s="1"/>
  <c r="E162" i="37"/>
  <c r="F162" i="37" s="1"/>
  <c r="E162" i="35"/>
  <c r="F162" i="35" s="1"/>
  <c r="E162" i="36"/>
  <c r="F162" i="36" s="1"/>
  <c r="E162" i="33"/>
  <c r="F162" i="33" s="1"/>
  <c r="E162" i="32"/>
  <c r="F162" i="32" s="1"/>
  <c r="E162" i="34"/>
  <c r="F162" i="34" s="1"/>
  <c r="E346" i="38"/>
  <c r="F346" i="38" s="1"/>
  <c r="E334" i="37"/>
  <c r="F334" i="37" s="1"/>
  <c r="E335" i="36"/>
  <c r="F335" i="36" s="1"/>
  <c r="E333" i="35"/>
  <c r="F333" i="35" s="1"/>
  <c r="E333" i="32"/>
  <c r="F333" i="32" s="1"/>
  <c r="E334" i="33"/>
  <c r="F334" i="33" s="1"/>
  <c r="E333" i="34"/>
  <c r="F333" i="34" s="1"/>
  <c r="E166" i="18"/>
  <c r="E160" i="38"/>
  <c r="F160" i="38" s="1"/>
  <c r="E164" i="36"/>
  <c r="F164" i="36" s="1"/>
  <c r="E164" i="34"/>
  <c r="F164" i="34" s="1"/>
  <c r="E164" i="37"/>
  <c r="F164" i="37" s="1"/>
  <c r="E164" i="33"/>
  <c r="F164" i="33" s="1"/>
  <c r="E164" i="35"/>
  <c r="F164" i="35" s="1"/>
  <c r="E164" i="32"/>
  <c r="F164" i="32" s="1"/>
  <c r="E31" i="38"/>
  <c r="F31" i="38" s="1"/>
  <c r="E35" i="37"/>
  <c r="F35" i="37" s="1"/>
  <c r="E35" i="36"/>
  <c r="F35" i="36" s="1"/>
  <c r="E35" i="35"/>
  <c r="F35" i="35" s="1"/>
  <c r="E35" i="34"/>
  <c r="F35" i="34" s="1"/>
  <c r="E35" i="33"/>
  <c r="F35" i="33" s="1"/>
  <c r="E35" i="32"/>
  <c r="F35" i="32" s="1"/>
  <c r="E37" i="18"/>
  <c r="E32" i="38"/>
  <c r="F32" i="38" s="1"/>
  <c r="E36" i="37"/>
  <c r="F36" i="37" s="1"/>
  <c r="E36" i="36"/>
  <c r="F36" i="36" s="1"/>
  <c r="E36" i="35"/>
  <c r="F36" i="35" s="1"/>
  <c r="E36" i="34"/>
  <c r="F36" i="34" s="1"/>
  <c r="E36" i="33"/>
  <c r="F36" i="33" s="1"/>
  <c r="E36" i="32"/>
  <c r="F36" i="32" s="1"/>
  <c r="E38" i="18"/>
  <c r="E33" i="38"/>
  <c r="F33" i="38" s="1"/>
  <c r="E37" i="37"/>
  <c r="F37" i="37" s="1"/>
  <c r="E37" i="36"/>
  <c r="F37" i="36" s="1"/>
  <c r="E37" i="35"/>
  <c r="F37" i="35" s="1"/>
  <c r="E37" i="34"/>
  <c r="F37" i="34" s="1"/>
  <c r="E37" i="33"/>
  <c r="F37" i="33" s="1"/>
  <c r="E37" i="32"/>
  <c r="F37" i="32" s="1"/>
  <c r="E39" i="18"/>
  <c r="F39" i="18" s="1"/>
  <c r="B35" i="38"/>
  <c r="B39" i="37"/>
  <c r="B39" i="36"/>
  <c r="B39" i="35"/>
  <c r="B39" i="34"/>
  <c r="B39" i="33"/>
  <c r="B39" i="32"/>
  <c r="B36" i="38"/>
  <c r="B40" i="37"/>
  <c r="B40" i="36"/>
  <c r="B40" i="35"/>
  <c r="B40" i="34"/>
  <c r="B40" i="33"/>
  <c r="B40" i="32"/>
  <c r="B37" i="38"/>
  <c r="B41" i="37"/>
  <c r="B41" i="36"/>
  <c r="B41" i="35"/>
  <c r="B41" i="34"/>
  <c r="B41" i="33"/>
  <c r="B41" i="32"/>
  <c r="B38" i="38"/>
  <c r="B42" i="37"/>
  <c r="B42" i="36"/>
  <c r="B42" i="35"/>
  <c r="B42" i="34"/>
  <c r="B42" i="33"/>
  <c r="B42" i="32"/>
  <c r="E35" i="38"/>
  <c r="F35" i="38" s="1"/>
  <c r="E39" i="37"/>
  <c r="F39" i="37" s="1"/>
  <c r="E39" i="36"/>
  <c r="F39" i="36" s="1"/>
  <c r="E39" i="35"/>
  <c r="F39" i="35" s="1"/>
  <c r="E39" i="34"/>
  <c r="F39" i="34" s="1"/>
  <c r="E39" i="33"/>
  <c r="F39" i="33" s="1"/>
  <c r="E39" i="32"/>
  <c r="F39" i="32" s="1"/>
  <c r="E36" i="38"/>
  <c r="F36" i="38" s="1"/>
  <c r="E40" i="37"/>
  <c r="F40" i="37" s="1"/>
  <c r="E40" i="36"/>
  <c r="F40" i="36" s="1"/>
  <c r="E40" i="35"/>
  <c r="F40" i="35" s="1"/>
  <c r="E40" i="34"/>
  <c r="F40" i="34" s="1"/>
  <c r="E40" i="33"/>
  <c r="F40" i="33" s="1"/>
  <c r="E40" i="32"/>
  <c r="F40" i="32" s="1"/>
  <c r="E37" i="38"/>
  <c r="F37" i="38" s="1"/>
  <c r="E41" i="37"/>
  <c r="F41" i="37" s="1"/>
  <c r="E41" i="36"/>
  <c r="F41" i="36" s="1"/>
  <c r="E41" i="35"/>
  <c r="F41" i="35" s="1"/>
  <c r="E41" i="34"/>
  <c r="F41" i="34" s="1"/>
  <c r="E41" i="33"/>
  <c r="F41" i="33" s="1"/>
  <c r="E41" i="32"/>
  <c r="F41" i="32" s="1"/>
  <c r="E38" i="38"/>
  <c r="F38" i="38" s="1"/>
  <c r="E42" i="37"/>
  <c r="F42" i="37" s="1"/>
  <c r="E42" i="36"/>
  <c r="F42" i="36" s="1"/>
  <c r="E42" i="35"/>
  <c r="F42" i="35" s="1"/>
  <c r="E42" i="34"/>
  <c r="F42" i="34" s="1"/>
  <c r="E42" i="33"/>
  <c r="F42" i="33" s="1"/>
  <c r="E42" i="32"/>
  <c r="F42" i="32" s="1"/>
  <c r="F249" i="18"/>
  <c r="F87" i="18"/>
  <c r="F270" i="18"/>
  <c r="F185" i="18"/>
  <c r="F127" i="18"/>
  <c r="F136" i="18"/>
  <c r="F111" i="18"/>
  <c r="F153" i="18"/>
  <c r="F81" i="18"/>
  <c r="F94" i="18"/>
  <c r="F240" i="18"/>
  <c r="F152" i="18"/>
  <c r="F231" i="18"/>
  <c r="F90" i="18"/>
  <c r="F126" i="18"/>
  <c r="F215" i="18"/>
  <c r="F247" i="18"/>
  <c r="F251" i="18"/>
  <c r="F242" i="18"/>
  <c r="F217" i="18"/>
  <c r="E43" i="18"/>
  <c r="F43" i="18" s="1"/>
  <c r="E165" i="18"/>
  <c r="F165" i="18" s="1"/>
  <c r="B44" i="18"/>
  <c r="F112" i="18"/>
  <c r="E42" i="18"/>
  <c r="E159" i="18"/>
  <c r="F159" i="18" s="1"/>
  <c r="F89" i="18"/>
  <c r="F84" i="18"/>
  <c r="E160" i="18"/>
  <c r="E44" i="18"/>
  <c r="F78" i="18"/>
  <c r="B41" i="18"/>
  <c r="E162" i="18"/>
  <c r="E161" i="18"/>
  <c r="F138" i="18"/>
  <c r="B42" i="18"/>
  <c r="E164" i="18"/>
  <c r="F164" i="18" s="1"/>
  <c r="B43" i="18"/>
  <c r="E41" i="18"/>
  <c r="F41" i="18" s="1"/>
  <c r="E158" i="18"/>
  <c r="F256" i="18"/>
  <c r="F187" i="18"/>
  <c r="F241" i="18"/>
  <c r="F223" i="18"/>
  <c r="F276" i="18"/>
  <c r="F190" i="18"/>
  <c r="F210" i="18"/>
  <c r="F197" i="18"/>
  <c r="F235" i="18"/>
  <c r="F201" i="18"/>
  <c r="F174" i="18"/>
  <c r="F208" i="18"/>
  <c r="F278" i="18"/>
  <c r="F229" i="18"/>
  <c r="F234" i="18"/>
  <c r="F246" i="18"/>
  <c r="F212" i="18"/>
  <c r="F177" i="18"/>
  <c r="F213" i="18"/>
  <c r="F277" i="18"/>
  <c r="F244" i="18"/>
  <c r="F267" i="18"/>
  <c r="F175" i="18"/>
  <c r="F209" i="18"/>
  <c r="F186" i="18"/>
  <c r="F192" i="18"/>
  <c r="F214" i="18"/>
  <c r="F269" i="18"/>
  <c r="F132" i="18"/>
  <c r="F273" i="18"/>
  <c r="F253" i="18"/>
  <c r="F275" i="18"/>
  <c r="F238" i="18"/>
  <c r="F218" i="18"/>
  <c r="F255" i="18"/>
  <c r="F232" i="18"/>
  <c r="F266" i="18"/>
  <c r="F195" i="18"/>
  <c r="F236" i="18"/>
  <c r="F211" i="18"/>
  <c r="F188" i="18"/>
  <c r="F227" i="18"/>
  <c r="F191" i="18"/>
  <c r="F226" i="18"/>
  <c r="F272" i="18"/>
  <c r="F196" i="18"/>
  <c r="F268" i="18"/>
  <c r="F260" i="18"/>
  <c r="E346" i="18"/>
  <c r="F193" i="18"/>
  <c r="F181" i="18"/>
  <c r="F219" i="18"/>
  <c r="F100" i="18"/>
  <c r="F98" i="18"/>
  <c r="F103" i="18"/>
  <c r="F147" i="18"/>
  <c r="F146" i="18"/>
  <c r="F166" i="18"/>
  <c r="F205" i="18"/>
  <c r="F206" i="18"/>
  <c r="F48" i="18"/>
  <c r="F160" i="18" l="1"/>
  <c r="F158" i="18"/>
  <c r="F42" i="18"/>
  <c r="F38" i="18"/>
  <c r="F44" i="18"/>
  <c r="F162" i="18"/>
  <c r="F161" i="18"/>
  <c r="F346" i="18"/>
  <c r="F173" i="18"/>
  <c r="F37" i="18"/>
  <c r="F145" i="18"/>
  <c r="B32" i="18"/>
  <c r="B31" i="18"/>
  <c r="B19" i="18"/>
  <c r="D65" i="9" l="1"/>
  <c r="D64" i="9"/>
  <c r="A65" i="9"/>
  <c r="A64" i="9"/>
  <c r="B40" i="38" l="1"/>
  <c r="B44" i="37"/>
  <c r="B44" i="36"/>
  <c r="B44" i="35"/>
  <c r="B44" i="34"/>
  <c r="B44" i="33"/>
  <c r="B44" i="32"/>
  <c r="B41" i="38"/>
  <c r="B45" i="37"/>
  <c r="B45" i="36"/>
  <c r="B45" i="35"/>
  <c r="B45" i="34"/>
  <c r="B45" i="33"/>
  <c r="B45" i="32"/>
  <c r="E40" i="38"/>
  <c r="F40" i="38" s="1"/>
  <c r="E44" i="37"/>
  <c r="F44" i="37" s="1"/>
  <c r="E44" i="36"/>
  <c r="F44" i="36" s="1"/>
  <c r="E44" i="35"/>
  <c r="F44" i="35" s="1"/>
  <c r="E44" i="34"/>
  <c r="F44" i="34" s="1"/>
  <c r="E44" i="33"/>
  <c r="F44" i="33" s="1"/>
  <c r="E44" i="32"/>
  <c r="F44" i="32" s="1"/>
  <c r="E41" i="38"/>
  <c r="F41" i="38" s="1"/>
  <c r="E45" i="37"/>
  <c r="F45" i="37" s="1"/>
  <c r="E45" i="36"/>
  <c r="F45" i="36" s="1"/>
  <c r="E45" i="35"/>
  <c r="F45" i="35" s="1"/>
  <c r="E45" i="34"/>
  <c r="F45" i="34" s="1"/>
  <c r="E45" i="33"/>
  <c r="F45" i="33" s="1"/>
  <c r="E45" i="32"/>
  <c r="F45" i="32" s="1"/>
  <c r="B47" i="18"/>
  <c r="B46" i="18"/>
  <c r="E46" i="18"/>
  <c r="E65" i="9"/>
  <c r="E47" i="18"/>
  <c r="F46" i="18" l="1"/>
  <c r="F47" i="18"/>
  <c r="B28" i="5"/>
  <c r="B21" i="5"/>
  <c r="B14" i="5"/>
  <c r="B10" i="5"/>
  <c r="B340" i="4" s="1"/>
  <c r="B9" i="5"/>
  <c r="B339" i="4" s="1"/>
  <c r="B8" i="5"/>
  <c r="B338" i="4" s="1"/>
  <c r="C10" i="5"/>
  <c r="C340" i="4" s="1"/>
  <c r="C9" i="5"/>
  <c r="C339" i="4" s="1"/>
  <c r="C8" i="5"/>
  <c r="C338" i="4" s="1"/>
  <c r="B7" i="5"/>
  <c r="B337" i="4" s="1"/>
  <c r="D113" i="4"/>
  <c r="D47" i="4"/>
  <c r="B22" i="38" l="1"/>
  <c r="B15" i="38"/>
  <c r="B26" i="37"/>
  <c r="B15" i="37"/>
  <c r="B26" i="36"/>
  <c r="B15" i="36"/>
  <c r="B26" i="35"/>
  <c r="B15" i="35"/>
  <c r="B26" i="34"/>
  <c r="B15" i="34"/>
  <c r="B26" i="33"/>
  <c r="B15" i="33"/>
  <c r="B26" i="32"/>
  <c r="B15" i="32"/>
  <c r="B44" i="25"/>
  <c r="B57" i="25"/>
  <c r="B14" i="25"/>
  <c r="B16" i="5"/>
  <c r="B28" i="18"/>
  <c r="B15" i="18"/>
  <c r="E17" i="5"/>
  <c r="E14" i="5" s="1"/>
  <c r="E22" i="38" s="1"/>
  <c r="F22" i="38" s="1"/>
  <c r="E26" i="37" l="1"/>
  <c r="F26" i="37" s="1"/>
  <c r="E26" i="36"/>
  <c r="F26" i="36" s="1"/>
  <c r="E26" i="35"/>
  <c r="F26" i="35" s="1"/>
  <c r="E26" i="34"/>
  <c r="F26" i="34" s="1"/>
  <c r="E26" i="33"/>
  <c r="F26" i="33" s="1"/>
  <c r="E26" i="32"/>
  <c r="F26" i="32" s="1"/>
  <c r="E15" i="5"/>
  <c r="E15" i="38" s="1"/>
  <c r="F15" i="38" s="1"/>
  <c r="E31" i="5"/>
  <c r="E28" i="5" s="1"/>
  <c r="E24" i="38" s="1"/>
  <c r="F24" i="38" s="1"/>
  <c r="E24" i="5"/>
  <c r="E39" i="5" l="1"/>
  <c r="E38" i="5" s="1"/>
  <c r="E78" i="5"/>
  <c r="E28" i="37"/>
  <c r="F28" i="37" s="1"/>
  <c r="E28" i="36"/>
  <c r="F28" i="36" s="1"/>
  <c r="E28" i="35"/>
  <c r="F28" i="35" s="1"/>
  <c r="E28" i="34"/>
  <c r="F28" i="34" s="1"/>
  <c r="E28" i="33"/>
  <c r="F28" i="33" s="1"/>
  <c r="E28" i="32"/>
  <c r="F28" i="32" s="1"/>
  <c r="E44" i="25"/>
  <c r="F44" i="25" s="1"/>
  <c r="E15" i="37"/>
  <c r="F15" i="37" s="1"/>
  <c r="E15" i="36"/>
  <c r="F15" i="36" s="1"/>
  <c r="E15" i="35"/>
  <c r="F15" i="35" s="1"/>
  <c r="E15" i="34"/>
  <c r="F15" i="34" s="1"/>
  <c r="E15" i="33"/>
  <c r="F15" i="33" s="1"/>
  <c r="E15" i="32"/>
  <c r="F15" i="32" s="1"/>
  <c r="E28" i="18"/>
  <c r="E30" i="18"/>
  <c r="E15" i="18"/>
  <c r="E22" i="5"/>
  <c r="E16" i="38" s="1"/>
  <c r="F16" i="38" s="1"/>
  <c r="E23" i="5"/>
  <c r="E46" i="5"/>
  <c r="E21" i="5"/>
  <c r="E23" i="38" s="1"/>
  <c r="F23" i="38" s="1"/>
  <c r="E54" i="5" l="1"/>
  <c r="E62" i="5" s="1"/>
  <c r="E43" i="5"/>
  <c r="E75" i="5"/>
  <c r="E77" i="5"/>
  <c r="E76" i="5"/>
  <c r="F62" i="5"/>
  <c r="E70" i="5"/>
  <c r="E36" i="5"/>
  <c r="E25" i="38" s="1"/>
  <c r="F25" i="38" s="1"/>
  <c r="E27" i="37"/>
  <c r="F27" i="37" s="1"/>
  <c r="E27" i="36"/>
  <c r="F27" i="36" s="1"/>
  <c r="E27" i="35"/>
  <c r="F27" i="35" s="1"/>
  <c r="E27" i="34"/>
  <c r="F27" i="34" s="1"/>
  <c r="E27" i="33"/>
  <c r="F27" i="33" s="1"/>
  <c r="E27" i="32"/>
  <c r="F27" i="32" s="1"/>
  <c r="E16" i="37"/>
  <c r="F16" i="37" s="1"/>
  <c r="E16" i="36"/>
  <c r="F16" i="36" s="1"/>
  <c r="E16" i="35"/>
  <c r="F16" i="35" s="1"/>
  <c r="E16" i="34"/>
  <c r="F16" i="34" s="1"/>
  <c r="E16" i="33"/>
  <c r="F16" i="33" s="1"/>
  <c r="E16" i="32"/>
  <c r="F16" i="32" s="1"/>
  <c r="F28" i="18"/>
  <c r="F30" i="18"/>
  <c r="F15" i="18"/>
  <c r="E16" i="18"/>
  <c r="E29" i="18"/>
  <c r="E37" i="5"/>
  <c r="E18" i="38" s="1"/>
  <c r="F18" i="38" s="1"/>
  <c r="E29" i="36" l="1"/>
  <c r="F29" i="36" s="1"/>
  <c r="E29" i="37"/>
  <c r="F29" i="37" s="1"/>
  <c r="E23" i="32"/>
  <c r="F23" i="32" s="1"/>
  <c r="E23" i="18"/>
  <c r="F23" i="18" s="1"/>
  <c r="E23" i="37"/>
  <c r="F23" i="37" s="1"/>
  <c r="E23" i="35"/>
  <c r="F23" i="35" s="1"/>
  <c r="E23" i="33"/>
  <c r="F23" i="33" s="1"/>
  <c r="E23" i="36"/>
  <c r="F23" i="36" s="1"/>
  <c r="E23" i="34"/>
  <c r="F23" i="34" s="1"/>
  <c r="E29" i="32"/>
  <c r="F29" i="32" s="1"/>
  <c r="E29" i="33"/>
  <c r="F29" i="33" s="1"/>
  <c r="E29" i="34"/>
  <c r="F29" i="34" s="1"/>
  <c r="E29" i="35"/>
  <c r="F29" i="35" s="1"/>
  <c r="F70" i="5"/>
  <c r="F78" i="5"/>
  <c r="F54" i="5"/>
  <c r="E18" i="37"/>
  <c r="F18" i="37" s="1"/>
  <c r="E18" i="36"/>
  <c r="F18" i="36" s="1"/>
  <c r="E18" i="35"/>
  <c r="F18" i="35" s="1"/>
  <c r="E18" i="34"/>
  <c r="F18" i="34" s="1"/>
  <c r="E18" i="33"/>
  <c r="F18" i="33" s="1"/>
  <c r="E18" i="32"/>
  <c r="F18" i="32" s="1"/>
  <c r="F29" i="18"/>
  <c r="F16" i="18"/>
  <c r="E18" i="18"/>
  <c r="E31" i="18"/>
  <c r="F31" i="18" l="1"/>
  <c r="F18" i="18"/>
  <c r="E82" i="9" l="1"/>
  <c r="E83" i="9"/>
  <c r="E84" i="9"/>
  <c r="E85" i="9"/>
  <c r="E86" i="9"/>
  <c r="E80" i="9"/>
  <c r="E81" i="9"/>
  <c r="D74" i="9"/>
  <c r="E74" i="9" s="1"/>
  <c r="E73" i="9"/>
  <c r="E72" i="9"/>
  <c r="E51" i="9"/>
  <c r="E50" i="9"/>
  <c r="E49" i="9"/>
  <c r="E42" i="9"/>
  <c r="E44" i="9"/>
  <c r="E43" i="9"/>
  <c r="E35" i="9"/>
  <c r="E37" i="9"/>
  <c r="E36" i="9"/>
  <c r="E58" i="9" l="1"/>
  <c r="E64" i="9"/>
  <c r="E59" i="9"/>
  <c r="E57" i="9"/>
  <c r="E56" i="9"/>
  <c r="F5" i="6"/>
  <c r="H246" i="6"/>
  <c r="F199" i="6"/>
  <c r="F195" i="6"/>
  <c r="F194" i="6"/>
  <c r="F193" i="6"/>
  <c r="F186" i="6"/>
  <c r="F187" i="6"/>
  <c r="F188" i="6"/>
  <c r="F189" i="6"/>
  <c r="F185" i="6"/>
  <c r="F172" i="6"/>
  <c r="F173" i="6"/>
  <c r="F174" i="6"/>
  <c r="F175" i="6"/>
  <c r="F176" i="6"/>
  <c r="F171" i="6"/>
  <c r="F114" i="6"/>
  <c r="F115" i="6"/>
  <c r="F116" i="6"/>
  <c r="F117" i="6"/>
  <c r="F118" i="6"/>
  <c r="F119" i="6"/>
  <c r="F120" i="6"/>
  <c r="F121" i="6"/>
  <c r="F122" i="6"/>
  <c r="F123" i="6"/>
  <c r="F124" i="6"/>
  <c r="F126" i="6"/>
  <c r="F127" i="6"/>
  <c r="F129" i="6"/>
  <c r="F130" i="6"/>
  <c r="F131" i="6"/>
  <c r="F132" i="6"/>
  <c r="F133" i="6"/>
  <c r="F134" i="6"/>
  <c r="F136" i="6"/>
  <c r="F160" i="6"/>
  <c r="F161" i="6"/>
  <c r="F162" i="6"/>
  <c r="F163" i="6"/>
  <c r="F164" i="6"/>
  <c r="F165" i="6"/>
  <c r="F166" i="6"/>
  <c r="F167" i="6"/>
  <c r="F113" i="6"/>
  <c r="F109" i="6"/>
  <c r="F110" i="6"/>
  <c r="F111" i="6"/>
  <c r="F108" i="6"/>
  <c r="F48" i="6"/>
  <c r="F36" i="6"/>
  <c r="F37" i="6"/>
  <c r="F38" i="6"/>
  <c r="F39" i="6"/>
  <c r="F40" i="6"/>
  <c r="F41" i="6"/>
  <c r="F42" i="6"/>
  <c r="F43" i="6"/>
  <c r="F44" i="6"/>
  <c r="F45" i="6"/>
  <c r="F46" i="6"/>
  <c r="F47" i="6"/>
  <c r="F50" i="6"/>
  <c r="F51" i="6"/>
  <c r="F52" i="6"/>
  <c r="F53" i="6"/>
  <c r="F54" i="6"/>
  <c r="F55" i="6"/>
  <c r="F57" i="6"/>
  <c r="F58" i="6"/>
  <c r="F59" i="6"/>
  <c r="F60" i="6"/>
  <c r="F61" i="6"/>
  <c r="F62" i="6"/>
  <c r="F63" i="6"/>
  <c r="F64" i="6"/>
  <c r="F65" i="6"/>
  <c r="F66" i="6"/>
  <c r="F67" i="6"/>
  <c r="F68" i="6"/>
  <c r="F69" i="6"/>
  <c r="F70" i="6"/>
  <c r="F71" i="6"/>
  <c r="F72" i="6"/>
  <c r="F73" i="6"/>
  <c r="F74" i="6"/>
  <c r="F75" i="6"/>
  <c r="F76" i="6"/>
  <c r="F77" i="6"/>
  <c r="F78" i="6"/>
  <c r="F79" i="6"/>
  <c r="F80" i="6"/>
  <c r="F81" i="6"/>
  <c r="F82" i="6"/>
  <c r="F83" i="6"/>
  <c r="F85" i="6"/>
  <c r="F86" i="6"/>
  <c r="F87" i="6"/>
  <c r="F88" i="6"/>
  <c r="F89" i="6"/>
  <c r="F90" i="6"/>
  <c r="F92" i="6"/>
  <c r="F93" i="6"/>
  <c r="F94" i="6"/>
  <c r="F95" i="6"/>
  <c r="F96" i="6"/>
  <c r="F97" i="6"/>
  <c r="F98" i="6"/>
  <c r="F99" i="6"/>
  <c r="F101" i="6"/>
  <c r="F102" i="6"/>
  <c r="F103" i="6"/>
  <c r="F104" i="6"/>
  <c r="F35" i="6"/>
  <c r="F11" i="6"/>
  <c r="F12" i="6"/>
  <c r="F13" i="6"/>
  <c r="F14" i="6"/>
  <c r="F15" i="6"/>
  <c r="F16" i="6"/>
  <c r="F17" i="6"/>
  <c r="F18" i="6"/>
  <c r="F19" i="6"/>
  <c r="F20" i="6"/>
  <c r="F21" i="6"/>
  <c r="F22" i="6"/>
  <c r="F23" i="6"/>
  <c r="F24" i="6"/>
  <c r="F25" i="6"/>
  <c r="F26" i="6"/>
  <c r="F27" i="6"/>
  <c r="F28" i="6"/>
  <c r="F29" i="6"/>
  <c r="F30" i="6"/>
  <c r="F31" i="6"/>
  <c r="F10" i="6"/>
  <c r="F6" i="6"/>
  <c r="F7" i="6"/>
  <c r="F8" i="6"/>
  <c r="G240" i="6"/>
  <c r="G237" i="6"/>
  <c r="G235" i="6"/>
  <c r="B40" i="25" l="1"/>
  <c r="B39" i="25"/>
  <c r="B36" i="25"/>
  <c r="F35" i="25"/>
  <c r="I219" i="6"/>
  <c r="B100" i="5"/>
  <c r="B53" i="25" s="1"/>
  <c r="K246" i="6"/>
  <c r="B54" i="25" l="1"/>
  <c r="F70" i="25"/>
  <c r="F94" i="25"/>
  <c r="C240" i="6"/>
  <c r="F240" i="6" s="1"/>
  <c r="B110" i="5"/>
  <c r="B63" i="25" s="1"/>
  <c r="E254" i="4"/>
  <c r="F96" i="25" l="1"/>
  <c r="R68" i="1" s="1"/>
  <c r="C235" i="6"/>
  <c r="F235" i="6" s="1"/>
  <c r="C237" i="6"/>
  <c r="F237" i="6" s="1"/>
  <c r="C234" i="6" l="1"/>
  <c r="F234" i="6" s="1"/>
  <c r="G234" i="6" s="1"/>
  <c r="C231" i="6"/>
  <c r="F226" i="6"/>
  <c r="H253" i="6"/>
  <c r="L246" i="6"/>
  <c r="D247" i="6"/>
  <c r="D250" i="6"/>
  <c r="K248" i="6"/>
  <c r="L248" i="6" s="1"/>
  <c r="H251" i="6"/>
  <c r="K251" i="6" s="1"/>
  <c r="L251" i="6" s="1"/>
  <c r="H252" i="6"/>
  <c r="H249" i="6"/>
  <c r="K249" i="6" s="1"/>
  <c r="L249" i="6" s="1"/>
  <c r="D248" i="6"/>
  <c r="D249" i="6"/>
  <c r="D251" i="6"/>
  <c r="D252" i="6"/>
  <c r="D253" i="6"/>
  <c r="D246" i="6"/>
  <c r="F231" i="6" l="1"/>
  <c r="G231" i="6" s="1"/>
  <c r="K253" i="6"/>
  <c r="L253" i="6" s="1"/>
  <c r="K252" i="6"/>
  <c r="L252" i="6" s="1"/>
  <c r="E306" i="4" l="1"/>
  <c r="D306" i="4" s="1"/>
  <c r="C306" i="4"/>
  <c r="E305" i="4"/>
  <c r="D305" i="4" s="1"/>
  <c r="C305" i="4"/>
  <c r="E304" i="4"/>
  <c r="D304" i="4" s="1"/>
  <c r="C304" i="4"/>
  <c r="E303" i="4"/>
  <c r="D303" i="4" s="1"/>
  <c r="C303" i="4"/>
  <c r="E302" i="4"/>
  <c r="D302" i="4" s="1"/>
  <c r="C302" i="4"/>
  <c r="E301" i="4"/>
  <c r="D301" i="4" s="1"/>
  <c r="C301" i="4"/>
  <c r="E299" i="4"/>
  <c r="C299" i="4"/>
  <c r="C284" i="4"/>
  <c r="E284" i="4"/>
  <c r="D284" i="4" s="1"/>
  <c r="E260" i="4"/>
  <c r="D260" i="4" s="1"/>
  <c r="C260" i="4"/>
  <c r="E256" i="4"/>
  <c r="D256" i="4" s="1"/>
  <c r="C256" i="4"/>
  <c r="C280" i="4"/>
  <c r="E280" i="4"/>
  <c r="D280" i="4" s="1"/>
  <c r="C281" i="4"/>
  <c r="E281" i="4"/>
  <c r="D281" i="4" s="1"/>
  <c r="C282" i="4"/>
  <c r="E282" i="4"/>
  <c r="D282" i="4" s="1"/>
  <c r="C283" i="4"/>
  <c r="E283" i="4"/>
  <c r="D283" i="4" s="1"/>
  <c r="E279" i="4"/>
  <c r="D279" i="4" s="1"/>
  <c r="C279" i="4"/>
  <c r="E277" i="4"/>
  <c r="D277" i="4" s="1"/>
  <c r="C277" i="4"/>
  <c r="C254" i="4"/>
  <c r="D254" i="4"/>
  <c r="E259" i="4"/>
  <c r="F259" i="4" s="1"/>
  <c r="C259" i="4"/>
  <c r="E258" i="4"/>
  <c r="F258" i="4" s="1"/>
  <c r="C258" i="4"/>
  <c r="E257" i="4"/>
  <c r="F257" i="4" s="1"/>
  <c r="C257" i="4"/>
  <c r="B90" i="5"/>
  <c r="B89" i="5"/>
  <c r="B105" i="5"/>
  <c r="E101" i="9"/>
  <c r="E100" i="9"/>
  <c r="D299" i="4" l="1"/>
  <c r="E308" i="4"/>
  <c r="E103" i="5" s="1"/>
  <c r="B104" i="5"/>
  <c r="B103" i="5"/>
  <c r="C106" i="5" s="1"/>
  <c r="B40" i="5"/>
  <c r="B39" i="5"/>
  <c r="B91" i="5"/>
  <c r="C19" i="5"/>
  <c r="B23" i="5"/>
  <c r="B30" i="5"/>
  <c r="C308" i="4"/>
  <c r="D308" i="4"/>
  <c r="D309" i="4" s="1"/>
  <c r="D262" i="4"/>
  <c r="D263" i="4" s="1"/>
  <c r="E263" i="4" s="1"/>
  <c r="F329" i="4" s="1"/>
  <c r="F357" i="4" s="1"/>
  <c r="C286" i="4"/>
  <c r="D286" i="4"/>
  <c r="D287" i="4" s="1"/>
  <c r="C287" i="4" s="1"/>
  <c r="F286" i="4"/>
  <c r="E286" i="4"/>
  <c r="C262" i="4"/>
  <c r="F262" i="4"/>
  <c r="E262" i="4"/>
  <c r="B45" i="5"/>
  <c r="B53" i="5" s="1"/>
  <c r="B46" i="5"/>
  <c r="B54" i="5" s="1"/>
  <c r="B62" i="5" s="1"/>
  <c r="B70" i="5" s="1"/>
  <c r="B47" i="5"/>
  <c r="B55" i="5" s="1"/>
  <c r="B63" i="5" s="1"/>
  <c r="B71" i="5" s="1"/>
  <c r="B78" i="5" s="1"/>
  <c r="B38" i="5"/>
  <c r="E99" i="9"/>
  <c r="E106" i="9"/>
  <c r="E105" i="9"/>
  <c r="E104" i="9"/>
  <c r="E103" i="9"/>
  <c r="E98" i="9"/>
  <c r="E97" i="9"/>
  <c r="C56" i="5" l="1"/>
  <c r="B61" i="5"/>
  <c r="B58" i="25"/>
  <c r="B23" i="38"/>
  <c r="B16" i="38"/>
  <c r="B27" i="37"/>
  <c r="B27" i="36"/>
  <c r="B16" i="32"/>
  <c r="B16" i="35"/>
  <c r="B27" i="33"/>
  <c r="B16" i="33"/>
  <c r="B16" i="37"/>
  <c r="B16" i="36"/>
  <c r="B27" i="34"/>
  <c r="B27" i="32"/>
  <c r="B27" i="35"/>
  <c r="B16" i="34"/>
  <c r="B59" i="25"/>
  <c r="B24" i="38"/>
  <c r="B17" i="38"/>
  <c r="B28" i="37"/>
  <c r="B17" i="37"/>
  <c r="B28" i="36"/>
  <c r="B17" i="36"/>
  <c r="B28" i="35"/>
  <c r="B17" i="35"/>
  <c r="B28" i="34"/>
  <c r="B17" i="34"/>
  <c r="B28" i="33"/>
  <c r="B17" i="33"/>
  <c r="B28" i="32"/>
  <c r="B17" i="32"/>
  <c r="B16" i="25"/>
  <c r="B15" i="25"/>
  <c r="B17" i="18"/>
  <c r="B30" i="18"/>
  <c r="B29" i="18"/>
  <c r="B16" i="18"/>
  <c r="B37" i="25"/>
  <c r="E102" i="5"/>
  <c r="E101" i="5" s="1"/>
  <c r="F101" i="5" s="1"/>
  <c r="E54" i="25"/>
  <c r="F54" i="25" s="1"/>
  <c r="E53" i="25"/>
  <c r="F53" i="25" s="1"/>
  <c r="B38" i="25"/>
  <c r="F103" i="5"/>
  <c r="C41" i="5"/>
  <c r="C33" i="5"/>
  <c r="C26" i="5"/>
  <c r="C48" i="5"/>
  <c r="E309" i="4"/>
  <c r="C309" i="4"/>
  <c r="F263" i="4"/>
  <c r="C263" i="4"/>
  <c r="E287" i="4"/>
  <c r="C64" i="5" l="1"/>
  <c r="B69" i="5"/>
  <c r="F102" i="5"/>
  <c r="C92" i="5"/>
  <c r="F332" i="4"/>
  <c r="F360" i="4" s="1"/>
  <c r="F365" i="4" s="1"/>
  <c r="F309" i="4"/>
  <c r="F287" i="4"/>
  <c r="C72" i="5" l="1"/>
  <c r="B77" i="5"/>
  <c r="C80" i="5" s="1"/>
  <c r="F31" i="5"/>
  <c r="E30" i="5"/>
  <c r="F30" i="5" s="1"/>
  <c r="E29" i="5"/>
  <c r="E17" i="38" s="1"/>
  <c r="F17" i="38" s="1"/>
  <c r="E17" i="37" l="1"/>
  <c r="F17" i="37" s="1"/>
  <c r="E17" i="36"/>
  <c r="F17" i="36" s="1"/>
  <c r="E17" i="35"/>
  <c r="F17" i="35" s="1"/>
  <c r="E17" i="34"/>
  <c r="F17" i="34" s="1"/>
  <c r="E17" i="33"/>
  <c r="F17" i="33" s="1"/>
  <c r="E17" i="32"/>
  <c r="F17" i="32" s="1"/>
  <c r="E17" i="18"/>
  <c r="E38" i="25"/>
  <c r="F29" i="5"/>
  <c r="F28" i="5"/>
  <c r="F38" i="25" l="1"/>
  <c r="E16" i="25"/>
  <c r="F16" i="25" s="1"/>
  <c r="F17" i="18"/>
  <c r="E36" i="25"/>
  <c r="F39" i="5"/>
  <c r="F38" i="5"/>
  <c r="F36" i="25" l="1"/>
  <c r="E14" i="25"/>
  <c r="F14" i="25" s="1"/>
  <c r="E39" i="25"/>
  <c r="F37" i="5"/>
  <c r="F36" i="5"/>
  <c r="F39" i="25" l="1"/>
  <c r="E17" i="25"/>
  <c r="F17" i="25" s="1"/>
  <c r="E16" i="5"/>
  <c r="F16" i="5" s="1"/>
  <c r="F14" i="5"/>
  <c r="F15" i="5"/>
  <c r="F17" i="5"/>
  <c r="D239" i="4" l="1"/>
  <c r="D240" i="4" s="1"/>
  <c r="E237" i="4"/>
  <c r="F237" i="4" s="1"/>
  <c r="C237" i="4"/>
  <c r="E236" i="4"/>
  <c r="F236" i="4" s="1"/>
  <c r="C236" i="4"/>
  <c r="E235" i="4"/>
  <c r="F235" i="4" s="1"/>
  <c r="C235" i="4"/>
  <c r="E234" i="4"/>
  <c r="F234" i="4" s="1"/>
  <c r="C234" i="4"/>
  <c r="E233" i="4"/>
  <c r="F233" i="4" s="1"/>
  <c r="C233" i="4"/>
  <c r="E231" i="4"/>
  <c r="F231" i="4" s="1"/>
  <c r="C231" i="4"/>
  <c r="D218" i="4"/>
  <c r="D219" i="4" s="1"/>
  <c r="E216" i="4"/>
  <c r="F216" i="4" s="1"/>
  <c r="C216" i="4"/>
  <c r="E215" i="4"/>
  <c r="F215" i="4" s="1"/>
  <c r="C215" i="4"/>
  <c r="E214" i="4"/>
  <c r="F214" i="4" s="1"/>
  <c r="C214" i="4"/>
  <c r="E213" i="4"/>
  <c r="F213" i="4" s="1"/>
  <c r="C213" i="4"/>
  <c r="E212" i="4"/>
  <c r="F212" i="4" s="1"/>
  <c r="C212" i="4"/>
  <c r="E210" i="4"/>
  <c r="C210" i="4"/>
  <c r="D197" i="4"/>
  <c r="D198" i="4" s="1"/>
  <c r="E195" i="4"/>
  <c r="F195" i="4" s="1"/>
  <c r="C195" i="4"/>
  <c r="E194" i="4"/>
  <c r="F194" i="4" s="1"/>
  <c r="C194" i="4"/>
  <c r="E193" i="4"/>
  <c r="F193" i="4" s="1"/>
  <c r="C193" i="4"/>
  <c r="E192" i="4"/>
  <c r="F192" i="4" s="1"/>
  <c r="C192" i="4"/>
  <c r="E191" i="4"/>
  <c r="F191" i="4" s="1"/>
  <c r="C191" i="4"/>
  <c r="E189" i="4"/>
  <c r="F189" i="4" s="1"/>
  <c r="C189" i="4"/>
  <c r="D176" i="4"/>
  <c r="D177" i="4" s="1"/>
  <c r="E174" i="4"/>
  <c r="F174" i="4" s="1"/>
  <c r="C174" i="4"/>
  <c r="E173" i="4"/>
  <c r="F173" i="4" s="1"/>
  <c r="C173" i="4"/>
  <c r="E172" i="4"/>
  <c r="F172" i="4" s="1"/>
  <c r="C172" i="4"/>
  <c r="E171" i="4"/>
  <c r="F171" i="4" s="1"/>
  <c r="C171" i="4"/>
  <c r="E170" i="4"/>
  <c r="F170" i="4" s="1"/>
  <c r="C170" i="4"/>
  <c r="E168" i="4"/>
  <c r="F168" i="4" s="1"/>
  <c r="C168" i="4"/>
  <c r="D155" i="4"/>
  <c r="D156" i="4" s="1"/>
  <c r="E153" i="4"/>
  <c r="F153" i="4" s="1"/>
  <c r="C153" i="4"/>
  <c r="E152" i="4"/>
  <c r="F152" i="4" s="1"/>
  <c r="C152" i="4"/>
  <c r="E151" i="4"/>
  <c r="F151" i="4" s="1"/>
  <c r="C151" i="4"/>
  <c r="E150" i="4"/>
  <c r="F150" i="4" s="1"/>
  <c r="C150" i="4"/>
  <c r="E149" i="4"/>
  <c r="F149" i="4" s="1"/>
  <c r="C149" i="4"/>
  <c r="E147" i="4"/>
  <c r="F147" i="4" s="1"/>
  <c r="C147" i="4"/>
  <c r="D134" i="4"/>
  <c r="D135" i="4" s="1"/>
  <c r="E132" i="4"/>
  <c r="F132" i="4" s="1"/>
  <c r="C132" i="4"/>
  <c r="E131" i="4"/>
  <c r="F131" i="4" s="1"/>
  <c r="C131" i="4"/>
  <c r="E130" i="4"/>
  <c r="F130" i="4" s="1"/>
  <c r="C130" i="4"/>
  <c r="E129" i="4"/>
  <c r="F129" i="4" s="1"/>
  <c r="C129" i="4"/>
  <c r="E128" i="4"/>
  <c r="F128" i="4" s="1"/>
  <c r="C128" i="4"/>
  <c r="E126" i="4"/>
  <c r="F126" i="4" s="1"/>
  <c r="C126" i="4"/>
  <c r="E111" i="4"/>
  <c r="F111" i="4" s="1"/>
  <c r="C111" i="4"/>
  <c r="E89" i="4"/>
  <c r="F89" i="4" s="1"/>
  <c r="C89" i="4"/>
  <c r="E67" i="4"/>
  <c r="F67" i="4" s="1"/>
  <c r="C67" i="4"/>
  <c r="E45" i="4"/>
  <c r="F45" i="4" s="1"/>
  <c r="C45" i="4"/>
  <c r="C23" i="4"/>
  <c r="E23" i="4"/>
  <c r="F23" i="4" s="1"/>
  <c r="E110" i="4"/>
  <c r="F110" i="4" s="1"/>
  <c r="C110" i="4"/>
  <c r="E109" i="4"/>
  <c r="F109" i="4" s="1"/>
  <c r="C109" i="4"/>
  <c r="E108" i="4"/>
  <c r="F108" i="4" s="1"/>
  <c r="C108" i="4"/>
  <c r="E107" i="4"/>
  <c r="F107" i="4" s="1"/>
  <c r="C107" i="4"/>
  <c r="D114" i="4"/>
  <c r="E114" i="4" s="1"/>
  <c r="F322" i="4" s="1"/>
  <c r="E105" i="4"/>
  <c r="F105" i="4" s="1"/>
  <c r="C105" i="4"/>
  <c r="E88" i="4"/>
  <c r="F88" i="4" s="1"/>
  <c r="C88" i="4"/>
  <c r="E87" i="4"/>
  <c r="F87" i="4" s="1"/>
  <c r="C87" i="4"/>
  <c r="E86" i="4"/>
  <c r="F86" i="4" s="1"/>
  <c r="C86" i="4"/>
  <c r="E85" i="4"/>
  <c r="F85" i="4" s="1"/>
  <c r="C85" i="4"/>
  <c r="E83" i="4"/>
  <c r="F83" i="4" s="1"/>
  <c r="C83" i="4"/>
  <c r="E66" i="4"/>
  <c r="F66" i="4" s="1"/>
  <c r="C66" i="4"/>
  <c r="E65" i="4"/>
  <c r="F65" i="4" s="1"/>
  <c r="C65" i="4"/>
  <c r="E64" i="4"/>
  <c r="F64" i="4" s="1"/>
  <c r="C64" i="4"/>
  <c r="E63" i="4"/>
  <c r="F63" i="4" s="1"/>
  <c r="C63" i="4"/>
  <c r="E61" i="4"/>
  <c r="F61" i="4" s="1"/>
  <c r="C61" i="4"/>
  <c r="D48" i="4"/>
  <c r="C48" i="4" s="1"/>
  <c r="E44" i="4"/>
  <c r="F44" i="4" s="1"/>
  <c r="C44" i="4"/>
  <c r="E43" i="4"/>
  <c r="F43" i="4" s="1"/>
  <c r="C43" i="4"/>
  <c r="E42" i="4"/>
  <c r="F42" i="4" s="1"/>
  <c r="C42" i="4"/>
  <c r="E41" i="4"/>
  <c r="F41" i="4" s="1"/>
  <c r="C41" i="4"/>
  <c r="C22" i="4"/>
  <c r="E22" i="4"/>
  <c r="F22" i="4" s="1"/>
  <c r="C20" i="4"/>
  <c r="E20" i="4"/>
  <c r="F20" i="4" s="1"/>
  <c r="C21" i="4"/>
  <c r="E21" i="4"/>
  <c r="F21" i="4" s="1"/>
  <c r="E19" i="4"/>
  <c r="F19" i="4" s="1"/>
  <c r="D26" i="4"/>
  <c r="E26" i="4" s="1"/>
  <c r="E39" i="4"/>
  <c r="F39" i="4" s="1"/>
  <c r="C39" i="4"/>
  <c r="E17" i="4"/>
  <c r="F17" i="4" s="1"/>
  <c r="C17" i="4"/>
  <c r="F26" i="4" l="1"/>
  <c r="F315" i="4"/>
  <c r="E218" i="4"/>
  <c r="C197" i="4"/>
  <c r="C176" i="4"/>
  <c r="C239" i="4"/>
  <c r="F239" i="4"/>
  <c r="E240" i="4"/>
  <c r="C240" i="4"/>
  <c r="E239" i="4"/>
  <c r="C218" i="4"/>
  <c r="F210" i="4"/>
  <c r="F218" i="4" s="1"/>
  <c r="C219" i="4"/>
  <c r="E219" i="4"/>
  <c r="F219" i="4" s="1"/>
  <c r="F197" i="4"/>
  <c r="E198" i="4"/>
  <c r="F198" i="4" s="1"/>
  <c r="C198" i="4"/>
  <c r="E197" i="4"/>
  <c r="F176" i="4"/>
  <c r="E177" i="4"/>
  <c r="C177" i="4"/>
  <c r="E176" i="4"/>
  <c r="C155" i="4"/>
  <c r="F155" i="4"/>
  <c r="E156" i="4"/>
  <c r="F156" i="4" s="1"/>
  <c r="C156" i="4"/>
  <c r="E155" i="4"/>
  <c r="C134" i="4"/>
  <c r="F134" i="4"/>
  <c r="E135" i="4"/>
  <c r="F135" i="4" s="1"/>
  <c r="C135" i="4"/>
  <c r="E134" i="4"/>
  <c r="F113" i="4"/>
  <c r="F91" i="4"/>
  <c r="C114" i="4"/>
  <c r="F114" i="4"/>
  <c r="E113" i="4"/>
  <c r="D91" i="4"/>
  <c r="D92" i="4" s="1"/>
  <c r="E92" i="4" s="1"/>
  <c r="E91" i="4"/>
  <c r="E69" i="4"/>
  <c r="D69" i="4"/>
  <c r="D70" i="4" s="1"/>
  <c r="E70" i="4" s="1"/>
  <c r="F70" i="4" s="1"/>
  <c r="F69" i="4" s="1"/>
  <c r="C47" i="4"/>
  <c r="E48" i="4"/>
  <c r="D25" i="4"/>
  <c r="C26" i="4"/>
  <c r="F343" i="4" s="1"/>
  <c r="E63" i="25" s="1"/>
  <c r="F25" i="4"/>
  <c r="E25" i="4"/>
  <c r="C19" i="4"/>
  <c r="F324" i="4" l="1"/>
  <c r="F352" i="4" s="1"/>
  <c r="C113" i="4"/>
  <c r="F350" i="4"/>
  <c r="F364" i="4" s="1"/>
  <c r="E109" i="5" s="1"/>
  <c r="F177" i="4"/>
  <c r="F240" i="4"/>
  <c r="F326" i="4"/>
  <c r="F354" i="4" s="1"/>
  <c r="F92" i="4"/>
  <c r="F317" i="4"/>
  <c r="F319" i="4"/>
  <c r="F347" i="4" s="1"/>
  <c r="C25" i="4"/>
  <c r="C70" i="4"/>
  <c r="C69" i="4" s="1"/>
  <c r="C92" i="4"/>
  <c r="F48" i="4"/>
  <c r="F47" i="4" s="1"/>
  <c r="E47" i="4"/>
  <c r="H58" i="25" l="1"/>
  <c r="H57" i="25"/>
  <c r="I57" i="25" s="1"/>
  <c r="H60" i="25"/>
  <c r="I60" i="25" s="1"/>
  <c r="H59" i="25"/>
  <c r="I59" i="25" s="1"/>
  <c r="E110" i="5"/>
  <c r="F63" i="25"/>
  <c r="G66" i="25" s="1"/>
  <c r="F109" i="5"/>
  <c r="C91" i="4"/>
  <c r="F345" i="4"/>
  <c r="E111" i="5" l="1"/>
  <c r="F111" i="5" s="1"/>
  <c r="F110" i="5"/>
  <c r="F21" i="5"/>
  <c r="E37" i="25"/>
  <c r="F37" i="25" l="1"/>
  <c r="E15" i="25"/>
  <c r="F24" i="5"/>
  <c r="F46" i="5"/>
  <c r="F23" i="5"/>
  <c r="F22" i="5"/>
  <c r="F26" i="25" l="1"/>
  <c r="E90" i="5"/>
  <c r="E44" i="5"/>
  <c r="E19" i="34" s="1"/>
  <c r="F19" i="34" s="1"/>
  <c r="E45" i="5"/>
  <c r="F45" i="5" l="1"/>
  <c r="E53" i="5"/>
  <c r="E19" i="38"/>
  <c r="F19" i="38" s="1"/>
  <c r="E52" i="5"/>
  <c r="E26" i="38"/>
  <c r="F26" i="38" s="1"/>
  <c r="E51" i="5"/>
  <c r="E19" i="37"/>
  <c r="F19" i="37" s="1"/>
  <c r="E19" i="36"/>
  <c r="F19" i="36" s="1"/>
  <c r="E19" i="35"/>
  <c r="F19" i="35" s="1"/>
  <c r="E19" i="33"/>
  <c r="F19" i="33" s="1"/>
  <c r="E19" i="32"/>
  <c r="F19" i="32" s="1"/>
  <c r="E30" i="37"/>
  <c r="F30" i="37" s="1"/>
  <c r="E30" i="36"/>
  <c r="F30" i="36" s="1"/>
  <c r="E30" i="35"/>
  <c r="F30" i="35" s="1"/>
  <c r="E30" i="34"/>
  <c r="F30" i="34" s="1"/>
  <c r="E30" i="33"/>
  <c r="F30" i="33" s="1"/>
  <c r="E30" i="32"/>
  <c r="F30" i="32" s="1"/>
  <c r="E19" i="18"/>
  <c r="E32" i="18"/>
  <c r="F44" i="5"/>
  <c r="E40" i="25"/>
  <c r="E87" i="5"/>
  <c r="F87" i="5" s="1"/>
  <c r="F90" i="5"/>
  <c r="E88" i="5"/>
  <c r="F88" i="5" s="1"/>
  <c r="E89" i="5"/>
  <c r="F89" i="5" s="1"/>
  <c r="F43" i="5"/>
  <c r="E20" i="37" l="1"/>
  <c r="F20" i="37" s="1"/>
  <c r="E20" i="36"/>
  <c r="F20" i="36" s="1"/>
  <c r="E20" i="35"/>
  <c r="F20" i="35" s="1"/>
  <c r="E20" i="34"/>
  <c r="F20" i="34" s="1"/>
  <c r="E20" i="18"/>
  <c r="F20" i="18" s="1"/>
  <c r="E20" i="33"/>
  <c r="F20" i="33" s="1"/>
  <c r="E20" i="32"/>
  <c r="F20" i="32" s="1"/>
  <c r="E59" i="5"/>
  <c r="F51" i="5"/>
  <c r="E60" i="5"/>
  <c r="F52" i="5"/>
  <c r="F914" i="38"/>
  <c r="F921" i="38" s="1"/>
  <c r="E61" i="5"/>
  <c r="F53" i="5"/>
  <c r="F40" i="25"/>
  <c r="E18" i="25"/>
  <c r="F18" i="25" s="1"/>
  <c r="F32" i="18"/>
  <c r="E21" i="37" l="1"/>
  <c r="F21" i="37" s="1"/>
  <c r="E21" i="36"/>
  <c r="F21" i="36" s="1"/>
  <c r="E21" i="33"/>
  <c r="F21" i="33" s="1"/>
  <c r="E21" i="32"/>
  <c r="F21" i="32" s="1"/>
  <c r="E21" i="35"/>
  <c r="F21" i="35" s="1"/>
  <c r="E21" i="34"/>
  <c r="F21" i="34" s="1"/>
  <c r="E21" i="18"/>
  <c r="F21" i="18" s="1"/>
  <c r="F60" i="5"/>
  <c r="E68" i="5"/>
  <c r="F61" i="5"/>
  <c r="E69" i="5"/>
  <c r="F59" i="5"/>
  <c r="E67" i="5"/>
  <c r="E22" i="36" l="1"/>
  <c r="F22" i="36" s="1"/>
  <c r="F931" i="36" s="1"/>
  <c r="F938" i="36" s="1"/>
  <c r="R47" i="1" s="1"/>
  <c r="E22" i="35"/>
  <c r="F22" i="35" s="1"/>
  <c r="F845" i="35" s="1"/>
  <c r="F852" i="35" s="1"/>
  <c r="R41" i="1" s="1"/>
  <c r="E22" i="34"/>
  <c r="F22" i="34" s="1"/>
  <c r="F853" i="34" s="1"/>
  <c r="F860" i="34" s="1"/>
  <c r="R35" i="1" s="1"/>
  <c r="E22" i="33"/>
  <c r="F22" i="33" s="1"/>
  <c r="F847" i="33" s="1"/>
  <c r="F854" i="33" s="1"/>
  <c r="R29" i="1" s="1"/>
  <c r="E22" i="32"/>
  <c r="F22" i="32" s="1"/>
  <c r="F846" i="32" s="1"/>
  <c r="F853" i="32" s="1"/>
  <c r="R23" i="1" s="1"/>
  <c r="E22" i="18"/>
  <c r="F22" i="18" s="1"/>
  <c r="E22" i="37"/>
  <c r="F22" i="37" s="1"/>
  <c r="F876" i="37" s="1"/>
  <c r="F883" i="37" s="1"/>
  <c r="R53" i="1" s="1"/>
  <c r="F69" i="5"/>
  <c r="F77" i="5"/>
  <c r="F67" i="5"/>
  <c r="F75" i="5"/>
  <c r="F68" i="5"/>
  <c r="F76" i="5"/>
  <c r="F19" i="18"/>
  <c r="F901" i="18" l="1"/>
  <c r="F908" i="18" s="1"/>
  <c r="R16" i="1" s="1"/>
  <c r="R64" i="1" s="1"/>
  <c r="G58" i="25"/>
  <c r="I58" i="25" s="1"/>
  <c r="I66" i="25" s="1"/>
  <c r="Q68" i="1" l="1"/>
  <c r="G94" i="25" s="1"/>
  <c r="F15" i="25"/>
  <c r="F19" i="25" s="1"/>
  <c r="F27" i="25" s="1"/>
  <c r="D71" i="25"/>
  <c r="F71" i="25" s="1"/>
  <c r="F89" i="25" l="1"/>
  <c r="R67" i="1" s="1"/>
  <c r="Q67" i="1" s="1"/>
  <c r="R70" i="1" l="1"/>
  <c r="R72" i="1" s="1"/>
  <c r="Q73" i="1"/>
  <c r="R74" i="1" l="1"/>
  <c r="S59" i="1" s="1"/>
  <c r="N59" i="1" s="1"/>
  <c r="S41" i="1" l="1"/>
  <c r="N41" i="1" s="1"/>
  <c r="S47" i="1"/>
  <c r="N47" i="1" s="1"/>
  <c r="S53" i="1"/>
  <c r="N53" i="1" s="1"/>
  <c r="S23" i="1"/>
  <c r="N23" i="1" s="1"/>
  <c r="S29" i="1"/>
  <c r="N29" i="1" s="1"/>
  <c r="S35" i="1"/>
  <c r="N35" i="1" s="1"/>
  <c r="S16" i="1"/>
  <c r="N16" i="1" s="1"/>
  <c r="N64" i="1" l="1"/>
  <c r="S64" i="1"/>
  <c r="N66" i="1" l="1"/>
  <c r="N6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tc={A74C1A7C-9638-4AE2-9FE6-C2EF5A478650}</author>
    <author>tc={028A786A-EE1F-48FA-AC2C-473D4AE43BB1}</author>
    <author>tc={2BE31E6C-47DB-480E-A9DE-42A600788BF9}</author>
    <author>tc={FED4BC67-6783-4685-823B-7A677547982C}</author>
    <author>tc={CA0826C8-4240-4045-8088-C35494655E84}</author>
    <author>tc={F98834A3-8C63-4CB1-81ED-910B3CEFE2DA}</author>
    <author>tc={768D8D72-9CA2-427C-B91C-CE2280F1DB63}</author>
    <author>tc={16B9C916-0145-4659-A31A-58A35C91ACD4}</author>
  </authors>
  <commentList>
    <comment ref="V10" authorId="0" shapeId="0" xr:uid="{A74C1A7C-9638-4AE2-9FE6-C2EF5A478650}">
      <text>
        <t xml:space="preserve">[Threaded comment]
Your version of Excel allows you to read this threaded comment; however, any edits to it will get removed if the file is opened in a newer version of Excel. Learn more: https://go.microsoft.com/fwlink/?linkid=870924
Comment:
    Nquote OT AVAILABLE </t>
      </text>
    </comment>
    <comment ref="W17" authorId="1" shapeId="0" xr:uid="{028A786A-EE1F-48FA-AC2C-473D4AE43BB1}">
      <text>
        <t>[Threaded comment]
Your version of Excel allows you to read this threaded comment; however, any edits to it will get removed if the file is opened in a newer version of Excel. Learn more: https://go.microsoft.com/fwlink/?linkid=870924
Comment:
    GUESS</t>
      </text>
    </comment>
    <comment ref="AC21" authorId="2" shapeId="0" xr:uid="{2BE31E6C-47DB-480E-A9DE-42A600788BF9}">
      <text>
        <t>[Threaded comment]
Your version of Excel allows you to read this threaded comment; however, any edits to it will get removed if the file is opened in a newer version of Excel. Learn more: https://go.microsoft.com/fwlink/?linkid=870924
Comment:
    Tradelink</t>
      </text>
    </comment>
    <comment ref="W49" authorId="3" shapeId="0" xr:uid="{FED4BC67-6783-4685-823B-7A677547982C}">
      <text>
        <t>[Threaded comment]
Your version of Excel allows you to read this threaded comment; however, any edits to it will get removed if the file is opened in a newer version of Excel. Learn more: https://go.microsoft.com/fwlink/?linkid=870924
Comment:
    guess</t>
      </text>
    </comment>
    <comment ref="W83" authorId="4" shapeId="0" xr:uid="{CA0826C8-4240-4045-8088-C35494655E84}">
      <text>
        <t xml:space="preserve">[Threaded comment]
Your version of Excel allows you to read this threaded comment; however, any edits to it will get removed if the file is opened in a newer version of Excel. Learn more: https://go.microsoft.com/fwlink/?linkid=870924
Comment:
    aps </t>
      </text>
    </comment>
    <comment ref="AC83" authorId="5" shapeId="0" xr:uid="{F98834A3-8C63-4CB1-81ED-910B3CEFE2DA}">
      <text>
        <t>[Threaded comment]
Your version of Excel allows you to read this threaded comment; however, any edits to it will get removed if the file is opened in a newer version of Excel. Learn more: https://go.microsoft.com/fwlink/?linkid=870924
Comment:
    guess</t>
      </text>
    </comment>
    <comment ref="AC97" authorId="6" shapeId="0" xr:uid="{768D8D72-9CA2-427C-B91C-CE2280F1DB63}">
      <text>
        <t>[Threaded comment]
Your version of Excel allows you to read this threaded comment; however, any edits to it will get removed if the file is opened in a newer version of Excel. Learn more: https://go.microsoft.com/fwlink/?linkid=870924
Comment:
    guess</t>
      </text>
    </comment>
    <comment ref="Z115" authorId="7" shapeId="0" xr:uid="{16B9C916-0145-4659-A31A-58A35C91ACD4}">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tc={5EA503FF-7CF6-42E2-8709-E95A5C40240D}</author>
    <author>tc={A463E13D-E83C-401D-BEB8-E36AFEB099C6}</author>
    <author>tc={4C5AB6B2-B570-4835-B2DE-64C09D258DDB}</author>
    <author>tc={9D13DDD7-B3D2-48D3-8E06-11ED2026917D}</author>
    <author>tc={169A215E-2ED1-4297-A1B4-4E5FEE966752}</author>
    <author>tc={BE27EDF5-EBA3-4708-A689-8D72779E7D6F}</author>
  </authors>
  <commentList>
    <comment ref="D194" authorId="0" shapeId="0" xr:uid="{5EA503FF-7CF6-42E2-8709-E95A5C40240D}">
      <text>
        <t>[Threaded comment]
Your version of Excel allows you to read this threaded comment; however, any edits to it will get removed if the file is opened in a newer version of Excel. Learn more: https://go.microsoft.com/fwlink/?linkid=870924
Comment:
    guess</t>
      </text>
    </comment>
    <comment ref="E217" authorId="1" shapeId="0" xr:uid="{A463E13D-E83C-401D-BEB8-E36AFEB099C6}">
      <text>
        <t>[Threaded comment]
Your version of Excel allows you to read this threaded comment; however, any edits to it will get removed if the file is opened in a newer version of Excel. Learn more: https://go.microsoft.com/fwlink/?linkid=870924
Comment:
    guess</t>
      </text>
    </comment>
    <comment ref="E218" authorId="2" shapeId="0" xr:uid="{4C5AB6B2-B570-4835-B2DE-64C09D258DDB}">
      <text>
        <t>[Threaded comment]
Your version of Excel allows you to read this threaded comment; however, any edits to it will get removed if the file is opened in a newer version of Excel. Learn more: https://go.microsoft.com/fwlink/?linkid=870924
Comment:
    guess</t>
      </text>
    </comment>
    <comment ref="F705" authorId="3" shapeId="0" xr:uid="{9D13DDD7-B3D2-48D3-8E06-11ED2026917D}">
      <text>
        <t>[Threaded comment]
Your version of Excel allows you to read this threaded comment; however, any edits to it will get removed if the file is opened in a newer version of Excel. Learn more: https://go.microsoft.com/fwlink/?linkid=870924
Comment:
    guess</t>
      </text>
    </comment>
    <comment ref="E896" authorId="4" shapeId="0" xr:uid="{169A215E-2ED1-4297-A1B4-4E5FEE966752}">
      <text>
        <t>[Threaded comment]
Your version of Excel allows you to read this threaded comment; however, any edits to it will get removed if the file is opened in a newer version of Excel. Learn more: https://go.microsoft.com/fwlink/?linkid=870924
Comment:
    guess</t>
      </text>
    </comment>
    <comment ref="E900" authorId="5" shapeId="0" xr:uid="{BE27EDF5-EBA3-4708-A689-8D72779E7D6F}">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tc={9AC7C949-FED9-49A2-AA35-59108F6DEF69}</author>
    <author>tc={D9217949-F364-4B44-AF6E-C51788055FA8}</author>
    <author>tc={C1F99736-BB68-4534-9A75-4B49BABE8C71}</author>
    <author>tc={9914B3AA-CDAA-4C19-8868-35F1D030F32B}</author>
    <author>tc={70EFB8A8-58D0-4783-8F4B-095EAA941194}</author>
    <author>tc={BCF688AF-9B51-4414-B94E-1AB5B256D524}</author>
  </authors>
  <commentList>
    <comment ref="D198" authorId="0" shapeId="0" xr:uid="{9AC7C949-FED9-49A2-AA35-59108F6DEF69}">
      <text>
        <t>[Threaded comment]
Your version of Excel allows you to read this threaded comment; however, any edits to it will get removed if the file is opened in a newer version of Excel. Learn more: https://go.microsoft.com/fwlink/?linkid=870924
Comment:
    guess</t>
      </text>
    </comment>
    <comment ref="E221" authorId="1" shapeId="0" xr:uid="{D9217949-F364-4B44-AF6E-C51788055FA8}">
      <text>
        <t>[Threaded comment]
Your version of Excel allows you to read this threaded comment; however, any edits to it will get removed if the file is opened in a newer version of Excel. Learn more: https://go.microsoft.com/fwlink/?linkid=870924
Comment:
    guess</t>
      </text>
    </comment>
    <comment ref="E222" authorId="2" shapeId="0" xr:uid="{C1F99736-BB68-4534-9A75-4B49BABE8C71}">
      <text>
        <t>[Threaded comment]
Your version of Excel allows you to read this threaded comment; however, any edits to it will get removed if the file is opened in a newer version of Excel. Learn more: https://go.microsoft.com/fwlink/?linkid=870924
Comment:
    guess</t>
      </text>
    </comment>
    <comment ref="F704" authorId="3" shapeId="0" xr:uid="{9914B3AA-CDAA-4C19-8868-35F1D030F32B}">
      <text>
        <t>[Threaded comment]
Your version of Excel allows you to read this threaded comment; however, any edits to it will get removed if the file is opened in a newer version of Excel. Learn more: https://go.microsoft.com/fwlink/?linkid=870924
Comment:
    guess</t>
      </text>
    </comment>
    <comment ref="E883" authorId="4" shapeId="0" xr:uid="{70EFB8A8-58D0-4783-8F4B-095EAA941194}">
      <text>
        <t>[Threaded comment]
Your version of Excel allows you to read this threaded comment; however, any edits to it will get removed if the file is opened in a newer version of Excel. Learn more: https://go.microsoft.com/fwlink/?linkid=870924
Comment:
    guess</t>
      </text>
    </comment>
    <comment ref="E887" authorId="5" shapeId="0" xr:uid="{BCF688AF-9B51-4414-B94E-1AB5B256D524}">
      <text>
        <t>[Threaded comment]
Your version of Excel allows you to read this threaded comment; however, any edits to it will get removed if the file is opened in a newer version of Excel. Learn more: https://go.microsoft.com/fwlink/?linkid=870924
Comment:
    guess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tc={346D4CDC-32B9-443A-A5FA-F14226D27B06}</author>
  </authors>
  <commentList>
    <comment ref="E687" authorId="0" shapeId="0" xr:uid="{346D4CDC-32B9-443A-A5FA-F14226D27B06}">
      <text>
        <t xml:space="preserve">[Threaded comment]
Your version of Excel allows you to read this threaded comment; however, any edits to it will get removed if the file is opened in a newer version of Excel. Learn more: https://go.microsoft.com/fwlink/?linkid=870924
Comment:
    guess presum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tc={0F8BD45D-C53A-4C78-BE72-DF69FE1F29C2}</author>
    <author>tc={CA528D76-1B2F-4FD7-B659-94CCA1E42C37}</author>
  </authors>
  <commentList>
    <comment ref="E746" authorId="0" shapeId="0" xr:uid="{0F8BD45D-C53A-4C78-BE72-DF69FE1F29C2}">
      <text>
        <t>[Threaded comment]
Your version of Excel allows you to read this threaded comment; however, any edits to it will get removed if the file is opened in a newer version of Excel. Learn more: https://go.microsoft.com/fwlink/?linkid=870924
Comment:
    guess</t>
      </text>
    </comment>
    <comment ref="B829" authorId="1" shapeId="0" xr:uid="{CA528D76-1B2F-4FD7-B659-94CCA1E42C37}">
      <text>
        <t xml:space="preserve">[Threaded comment]
Your version of Excel allows you to read this threaded comment; however, any edits to it will get removed if the file is opened in a newer version of Excel. Learn more: https://go.microsoft.com/fwlink/?linkid=870924
Comment:
    flag up , need to replacing amentities fixuture on Building 36 level 1 </t>
      </text>
    </comment>
  </commentList>
</comments>
</file>

<file path=xl/sharedStrings.xml><?xml version="1.0" encoding="utf-8"?>
<sst xmlns="http://schemas.openxmlformats.org/spreadsheetml/2006/main" count="13383" uniqueCount="1249">
  <si>
    <t xml:space="preserve"> </t>
  </si>
  <si>
    <t xml:space="preserve">SUMMARY </t>
  </si>
  <si>
    <t>BIG TICKET ITEMS</t>
  </si>
  <si>
    <t xml:space="preserve">JOB DESCRIPTION: </t>
  </si>
  <si>
    <t xml:space="preserve">DATE: </t>
  </si>
  <si>
    <t>ROK 092</t>
  </si>
  <si>
    <t>SITE ADDRESS:</t>
  </si>
  <si>
    <t>CQU ROK</t>
  </si>
  <si>
    <t>TCS Quote #:  **</t>
  </si>
  <si>
    <t>Cost</t>
  </si>
  <si>
    <t>(Cost + O/H) + Profit</t>
  </si>
  <si>
    <t>TRADE WASTE
HOLDING TANK HOL(1)</t>
  </si>
  <si>
    <t>ROK 092 - Sanitary Drainage Pump Station SDPS</t>
  </si>
  <si>
    <t>ROK 092 - OIL/WATER SEPARATOR (OWS 2)</t>
  </si>
  <si>
    <t>TOTALS</t>
  </si>
  <si>
    <t>Purchase Cost Total</t>
  </si>
  <si>
    <t>TPS Markup</t>
  </si>
  <si>
    <t>ROK092</t>
  </si>
  <si>
    <t xml:space="preserve">Qty </t>
  </si>
  <si>
    <t xml:space="preserve">Freight </t>
  </si>
  <si>
    <t>A</t>
  </si>
  <si>
    <t>.</t>
  </si>
  <si>
    <t>Installation_MH</t>
  </si>
  <si>
    <t>TOTAL</t>
  </si>
  <si>
    <t>ROK021A</t>
  </si>
  <si>
    <t>ROK 092 - Rainwater Pump 1(Dave KRB4 )</t>
  </si>
  <si>
    <t>B</t>
  </si>
  <si>
    <t>ROK 092 - Rainwater Harvesting Filters - RWF (1)</t>
  </si>
  <si>
    <t>RAIN WATER
HARVESTING
TANK RWHT (1)</t>
  </si>
  <si>
    <t>ROK019</t>
  </si>
  <si>
    <t>C</t>
  </si>
  <si>
    <t>ROK033</t>
  </si>
  <si>
    <t>D</t>
  </si>
  <si>
    <t>ROK034</t>
  </si>
  <si>
    <t>ROK 092 - Boiling/ Chilled /Hot Water Unit BCHWU (1)</t>
  </si>
  <si>
    <t>ROK 092 - Boiling Chilled water unit BCWU (1)</t>
  </si>
  <si>
    <t>ROK 092 - HWU 4 DHE27</t>
  </si>
  <si>
    <t>E</t>
  </si>
  <si>
    <t xml:space="preserve">FONT KID </t>
  </si>
  <si>
    <t>ROK036</t>
  </si>
  <si>
    <t>F</t>
  </si>
  <si>
    <t>ROK076</t>
  </si>
  <si>
    <t xml:space="preserve">ROK 092 - HWU 5 DEL 27 PLUS </t>
  </si>
  <si>
    <t>ROK 092 - HWU 6 DEL 18</t>
  </si>
  <si>
    <t>ROK 092 - HWU 7 DHB-E 13 LCD</t>
  </si>
  <si>
    <t>G</t>
  </si>
  <si>
    <t>SUB-TOTAL</t>
  </si>
  <si>
    <t>10% GST</t>
  </si>
  <si>
    <t>Prelim</t>
  </si>
  <si>
    <t>of total cost</t>
  </si>
  <si>
    <t>GRAND TOTAL</t>
  </si>
  <si>
    <t>O/H</t>
  </si>
  <si>
    <t xml:space="preserve">ROK 092 - Lift Pump Sump </t>
  </si>
  <si>
    <t>Sub Total</t>
  </si>
  <si>
    <t>total cost + Prelim + O/H</t>
  </si>
  <si>
    <t>Profit</t>
  </si>
  <si>
    <t>Gross</t>
  </si>
  <si>
    <t>Total Markup</t>
  </si>
  <si>
    <t>Grand Total</t>
  </si>
  <si>
    <t xml:space="preserve">ROK 21 A </t>
  </si>
  <si>
    <t>ROK 21A - HWU 7 DHB-E 13 LCD</t>
  </si>
  <si>
    <t xml:space="preserve">ROK 19 </t>
  </si>
  <si>
    <t xml:space="preserve">ROK 19 - HWU 2 RHEEM  315 Liter  7.2kw </t>
  </si>
  <si>
    <t>ROK 19 - HWU 3 RHEEM 50 LITTER  10.8KW</t>
  </si>
  <si>
    <t>ROK 19 - Boiling Chilled water unit BCWU (1)</t>
  </si>
  <si>
    <t>ROK 33</t>
  </si>
  <si>
    <t>ROK 33 - HWCP  2   Grundfos circulator Model UPS 20-60N pumps</t>
  </si>
  <si>
    <t>ROK 33 - HWU 1 RHEEM 10.8KW</t>
  </si>
  <si>
    <t xml:space="preserve">ROK 033 - Lift Pump Sump </t>
  </si>
  <si>
    <t xml:space="preserve">Friehgt </t>
  </si>
  <si>
    <t>ROK 34</t>
  </si>
  <si>
    <t>ROK 34 - Boiling Chilled water unit BCWU (1)</t>
  </si>
  <si>
    <t>ROK 36</t>
  </si>
  <si>
    <t>ROK 36 - GIT(1)GREASE INTERCEPTOR
TRAP</t>
  </si>
  <si>
    <t>ROK 36 - Boiling Chilled water unit BCWU (1)</t>
  </si>
  <si>
    <t>ROK 36 - HWCP 1 HOT WATER
CIRCULATION
PUMPS GRUNDFOS UPS 20-60N</t>
  </si>
  <si>
    <t xml:space="preserve">FRIEGHT </t>
  </si>
  <si>
    <t>ROK 36 - HWU 1  RHEEM  613-315</t>
  </si>
  <si>
    <t xml:space="preserve">ROK 036 - Lift Pump Sump </t>
  </si>
  <si>
    <t>ROK 76</t>
  </si>
  <si>
    <t>ROK 76 - RWHT2  BUSHMAN TANKS  15,000 EACH</t>
  </si>
  <si>
    <t>ROK 76 -RWP 2</t>
  </si>
  <si>
    <t xml:space="preserve">ROK 76 -RWF 2 </t>
  </si>
  <si>
    <t xml:space="preserve">FRIGHT </t>
  </si>
  <si>
    <t>ROK 076 - HWU 6 DEL 18</t>
  </si>
  <si>
    <t>ROK 076 - HWU 7 DHB-E 13 LCD</t>
  </si>
  <si>
    <t xml:space="preserve">Project: </t>
  </si>
  <si>
    <t>Tricore   -</t>
  </si>
  <si>
    <t>Stage 1 Version 1</t>
  </si>
  <si>
    <t xml:space="preserve">Item  </t>
  </si>
  <si>
    <t>PRELIMINARIES</t>
  </si>
  <si>
    <t>SUMMARY (Not added in prelim$)</t>
  </si>
  <si>
    <t>Breakdown as per program</t>
  </si>
  <si>
    <t>Day</t>
  </si>
  <si>
    <t>Total Labour</t>
  </si>
  <si>
    <t>Total as per stage boq</t>
  </si>
  <si>
    <t>Total Part A Labour</t>
  </si>
  <si>
    <t>Total Stage 1 Labour</t>
  </si>
  <si>
    <t>Total Stage 2 Labour</t>
  </si>
  <si>
    <t>Total Stage 3 Labour</t>
  </si>
  <si>
    <t>Total Stage 4 Labour</t>
  </si>
  <si>
    <t>Difference</t>
  </si>
  <si>
    <t>Unit</t>
  </si>
  <si>
    <t>REQ</t>
  </si>
  <si>
    <t>Cost ex GST</t>
  </si>
  <si>
    <t>Total ex GST</t>
  </si>
  <si>
    <t>Labour</t>
  </si>
  <si>
    <t>Contingencies; Wet Weather ?</t>
  </si>
  <si>
    <t>Superviser; Return Trip, 2 day stay - Inclusive</t>
  </si>
  <si>
    <t>item</t>
  </si>
  <si>
    <t>Management Labour</t>
  </si>
  <si>
    <t>Included within stages?</t>
  </si>
  <si>
    <t>MH / DQ</t>
  </si>
  <si>
    <t>Refer Program for approx attendance on site. Technically covered in overheads. E/O for meals etc?</t>
  </si>
  <si>
    <t>MH / DQ - FLIGHTS</t>
  </si>
  <si>
    <t>ea</t>
  </si>
  <si>
    <t>ACCOMODATION (Refer Program)</t>
  </si>
  <si>
    <t>Per Month - Full Project (6 Persons)</t>
  </si>
  <si>
    <t>Month</t>
  </si>
  <si>
    <t>** 1 x 4Bed House (@650/Wk) fully kitted, +Consumable, +Cleaner etc</t>
  </si>
  <si>
    <t>Individual Night Stay - Private Room/Suite</t>
  </si>
  <si>
    <t>Avrg Nightly Book (LONG STAY)</t>
  </si>
  <si>
    <t>Per Night - Extra-Over, Per Person.</t>
  </si>
  <si>
    <t>TOTAL ACCOM ALLOWANCE</t>
  </si>
  <si>
    <t>Equipment, Hire, Subbies</t>
  </si>
  <si>
    <t>Vehicle - UTE - SUPERVISER</t>
  </si>
  <si>
    <t>Vehicle - UTE - TRADESMAN</t>
  </si>
  <si>
    <t>Vehicle - UTE - TRADESMAN / TA</t>
  </si>
  <si>
    <t>Site Vehicle - Ute/Buggy</t>
  </si>
  <si>
    <t>BUY</t>
  </si>
  <si>
    <t>Skip Bin</t>
  </si>
  <si>
    <t>Changeover</t>
  </si>
  <si>
    <t>Misc.</t>
  </si>
  <si>
    <t xml:space="preserve">Total TCS Prelims </t>
  </si>
  <si>
    <t>OverHeads</t>
  </si>
  <si>
    <t>Percentage across Project COST</t>
  </si>
  <si>
    <t>TriCore Overheads - COMPLETE…PER MONTH</t>
  </si>
  <si>
    <t>Total TCS O/H</t>
  </si>
  <si>
    <t xml:space="preserve">Complete - </t>
  </si>
  <si>
    <t>DAY</t>
  </si>
  <si>
    <t>april 2026 direct impact Increase % (not contigency)</t>
  </si>
  <si>
    <t>PE Pipe &amp; Fitting</t>
  </si>
  <si>
    <t>PVC Pipe &amp; Fittings</t>
  </si>
  <si>
    <t>Subby Rates</t>
  </si>
  <si>
    <t>Delivey Rate</t>
  </si>
  <si>
    <t>HOUR</t>
  </si>
  <si>
    <t>HR</t>
  </si>
  <si>
    <t>Demolition &amp; Reinstatement</t>
  </si>
  <si>
    <t>DEMO</t>
  </si>
  <si>
    <t>m</t>
  </si>
  <si>
    <t>Con Cut Establishemnt Fee</t>
  </si>
  <si>
    <t>REINSTATE - CONCRETE</t>
  </si>
  <si>
    <t>lm</t>
  </si>
  <si>
    <t>REINSTATE - ASPHALT</t>
  </si>
  <si>
    <t>m2</t>
  </si>
  <si>
    <t>Ea</t>
  </si>
  <si>
    <t>Equipment &amp; Hire - INCL WET PLANT HIRE</t>
  </si>
  <si>
    <t>PLANT HIRE - WET</t>
  </si>
  <si>
    <t>1.8T Excavator</t>
  </si>
  <si>
    <t>Hr</t>
  </si>
  <si>
    <t xml:space="preserve"> 3-5 ton Excavator</t>
  </si>
  <si>
    <t>3-5T Combo</t>
  </si>
  <si>
    <t>Hammer attachment 3.5-4T</t>
  </si>
  <si>
    <t>Ripper 3.5-4T</t>
  </si>
  <si>
    <t>5t Excavator</t>
  </si>
  <si>
    <t>Hammer attachment 5T</t>
  </si>
  <si>
    <t>Skid steer</t>
  </si>
  <si>
    <t>8T Excavator</t>
  </si>
  <si>
    <t>Hammer attachment 8T</t>
  </si>
  <si>
    <t>Ripper 8T</t>
  </si>
  <si>
    <t>13-15T Excavator</t>
  </si>
  <si>
    <t>Hammer attachment 14T</t>
  </si>
  <si>
    <t>Ripper 14T</t>
  </si>
  <si>
    <t>3000L Hydro Excavation Truck</t>
  </si>
  <si>
    <t xml:space="preserve">4500L Hydro Excavation Truck </t>
  </si>
  <si>
    <t>6300L Hydro Excavation Truck</t>
  </si>
  <si>
    <t xml:space="preserve">Water Truck allow for water at cost </t>
  </si>
  <si>
    <t>12t Body Truck Tipper</t>
  </si>
  <si>
    <t>HIRE - DRY</t>
  </si>
  <si>
    <t>Skid Steer Loader_Tracked (CAT249+)</t>
  </si>
  <si>
    <t>Skid Steer Loader_Wheeled (CAT226+)</t>
  </si>
  <si>
    <t>Mini Loader, Stand-on Type</t>
  </si>
  <si>
    <t>1.5-1.8 Ton_Excavator</t>
  </si>
  <si>
    <t>1.7-2Ton_Excavator</t>
  </si>
  <si>
    <t>3-5Ton_Excavator</t>
  </si>
  <si>
    <t>8Ton_Excavator</t>
  </si>
  <si>
    <t>10-12Ton_Excavator</t>
  </si>
  <si>
    <t>13-16Ton_Excavator</t>
  </si>
  <si>
    <t>20-24Ton_Excavator</t>
  </si>
  <si>
    <t>Ripper_1.7-2T</t>
  </si>
  <si>
    <t>Ripper_1.5-4T</t>
  </si>
  <si>
    <t>Ripper_3-5T</t>
  </si>
  <si>
    <t>Ripper_8T</t>
  </si>
  <si>
    <t>Breaker_1.7-2T</t>
  </si>
  <si>
    <t>Breaker_3-5T</t>
  </si>
  <si>
    <t>Breaker_8T</t>
  </si>
  <si>
    <t>Breaker_10-12T</t>
  </si>
  <si>
    <t>Breaker_13-15T</t>
  </si>
  <si>
    <t>Auger Drive_10-12T</t>
  </si>
  <si>
    <t>300Dia Auger Drill</t>
  </si>
  <si>
    <t xml:space="preserve">1.25T_Tipper Truck </t>
  </si>
  <si>
    <t>2-4T_Tipper Truck</t>
  </si>
  <si>
    <t>&lt;6T_Tipper Truck</t>
  </si>
  <si>
    <t>&lt;10T_Articulated Site Tipper</t>
  </si>
  <si>
    <t>Upright Rammer_Wacker</t>
  </si>
  <si>
    <t>Trench Roller_Dbl Drum_Remote</t>
  </si>
  <si>
    <t>&lt;26Ft_Scissor Lift - Diesel</t>
  </si>
  <si>
    <t>&lt;26Ft_Scissor Lift - Elec</t>
  </si>
  <si>
    <t>&lt;34Ft_Boom Lift - Diesel</t>
  </si>
  <si>
    <t>&lt;34Ft_Boom Lift - Elec</t>
  </si>
  <si>
    <t>Porta Loo_No Tank</t>
  </si>
  <si>
    <t>6*3m Demantable Lunchroom - COMPLETE</t>
  </si>
  <si>
    <t>6*3m Demantable Office - COMPLETE</t>
  </si>
  <si>
    <t>20Ft Shipping Container</t>
  </si>
  <si>
    <t>Quick Cut Demo Saw</t>
  </si>
  <si>
    <t>Sngl Ph_6KVA Genset</t>
  </si>
  <si>
    <t>Diesel Air Compressor_Trailer</t>
  </si>
  <si>
    <t>Air Breaker - Heavy</t>
  </si>
  <si>
    <t>Air Hose &lt;10m</t>
  </si>
  <si>
    <t>Elec Breaker/Jachammer</t>
  </si>
  <si>
    <t>Flexdrive Motor Unit</t>
  </si>
  <si>
    <t>Flexdrive_Pump Shaft</t>
  </si>
  <si>
    <t>Temporary Power Board</t>
  </si>
  <si>
    <t>Dual CabUte</t>
  </si>
  <si>
    <t xml:space="preserve">3m3 Skip Bbin </t>
  </si>
  <si>
    <t>per serive</t>
  </si>
  <si>
    <t xml:space="preserve">plus disposal </t>
  </si>
  <si>
    <t xml:space="preserve">Tonne </t>
  </si>
  <si>
    <t xml:space="preserve">site fee </t>
  </si>
  <si>
    <t>Week</t>
  </si>
  <si>
    <t>~4m3_Skip Bin</t>
  </si>
  <si>
    <t xml:space="preserve">per change over </t>
  </si>
  <si>
    <t>~6m3_Skip Bin</t>
  </si>
  <si>
    <t xml:space="preserve">Plus disposal </t>
  </si>
  <si>
    <t xml:space="preserve">Site fee </t>
  </si>
  <si>
    <t>Vacuum Excavator - Vermeer VT250D</t>
  </si>
  <si>
    <t>Vac Trailer – Dry Hire</t>
  </si>
  <si>
    <t>TRANSPORT_Ex BRIS - Return</t>
  </si>
  <si>
    <t>TRANSPORT_Ex ROK - Return</t>
  </si>
  <si>
    <t>Hour</t>
  </si>
  <si>
    <t>0-4T Per Hour Delivery Rate</t>
  </si>
  <si>
    <t xml:space="preserve">5 - 9t Transport Hourly Rate </t>
  </si>
  <si>
    <t>10 - 19t Low Loader Hourly rate - Minimum 2 Hour Charge</t>
  </si>
  <si>
    <t>HIDDEN:</t>
  </si>
  <si>
    <t>FUEL - Average_Candle</t>
  </si>
  <si>
    <t xml:space="preserve">Subbies &amp; Misc </t>
  </si>
  <si>
    <t>Surveyor</t>
  </si>
  <si>
    <t>Services Locator</t>
  </si>
  <si>
    <t>Compaction Testing - TEST</t>
  </si>
  <si>
    <t>Compaction Testing - Site Establishment</t>
  </si>
  <si>
    <t>FIRE TESTING / CERT</t>
  </si>
  <si>
    <t>FULL Hydro Test - Per Test (6.5Hr 1 x fitter, 1 x apprentice, 1 day Test gear)</t>
  </si>
  <si>
    <t>Provision of Form 72</t>
  </si>
  <si>
    <r>
      <t xml:space="preserve">Material - </t>
    </r>
    <r>
      <rPr>
        <b/>
        <sz val="8"/>
        <color rgb="FFFF0000"/>
        <rFont val="Arial"/>
        <family val="2"/>
      </rPr>
      <t>Quarry, Misc</t>
    </r>
  </si>
  <si>
    <t>Valve Margin strips; Concrete slab, 1 directions sign, 3 x valve No sign.</t>
  </si>
  <si>
    <t>FIRE SERVICES - INGROUND</t>
  </si>
  <si>
    <t>200 HDPE PN16 SDR11 - REDLINE</t>
  </si>
  <si>
    <t>180 HDPE PN16 SDR11 - REDLINE</t>
  </si>
  <si>
    <t>125 HDPE PN16 SDR11 - REDLINE</t>
  </si>
  <si>
    <t>75 HDPE PN16 SDR11 - REDLINE</t>
  </si>
  <si>
    <t>32 HDPE PN16 SDR11 - BLUELINE</t>
  </si>
  <si>
    <t>200 EF Coupler</t>
  </si>
  <si>
    <t>180 EF Coupler</t>
  </si>
  <si>
    <t>125 EF Coupler</t>
  </si>
  <si>
    <t>200 EF 45DFeg Bend</t>
  </si>
  <si>
    <t>180 EF 45DFeg Bend</t>
  </si>
  <si>
    <t>125 EF 45DFeg Bend</t>
  </si>
  <si>
    <t>200 EF 90DFeg Bend</t>
  </si>
  <si>
    <t>180 EF 90DFeg Bend</t>
  </si>
  <si>
    <t>125 EF 90DFeg Bend</t>
  </si>
  <si>
    <t>200 EF TEE</t>
  </si>
  <si>
    <t>180 EF TEE</t>
  </si>
  <si>
    <t>125 EF TEE</t>
  </si>
  <si>
    <t>200*180 EF TEE</t>
  </si>
  <si>
    <t>200*125 EF TEE</t>
  </si>
  <si>
    <t>180*125 EF TEE</t>
  </si>
  <si>
    <t>200*180 EF Reducer</t>
  </si>
  <si>
    <t>180*125 EF Reducer</t>
  </si>
  <si>
    <t>180*32 EF Reducer</t>
  </si>
  <si>
    <t>200PE*8"(200m) - MaxiStub W/Backing Ring</t>
  </si>
  <si>
    <t>180PE*6"(150mm) - MaxiStub W/Backing Ring</t>
  </si>
  <si>
    <t>125PE*4" (100mm) - MaxiStub W/Backing Ring</t>
  </si>
  <si>
    <t xml:space="preserve">180mm PE x 150mm GALV ADAPTER - PLASSON Brand </t>
  </si>
  <si>
    <t xml:space="preserve">125mm PE x 100mm GALV ADAPTER - PLASSON Brand </t>
  </si>
  <si>
    <t>180mm PE x 150mm GALV ADAPTER</t>
  </si>
  <si>
    <t>125mm PE x 100mm GALV ADAPTER</t>
  </si>
  <si>
    <t>200 Long SPIG 45DFeg Bend</t>
  </si>
  <si>
    <t>180 Long SPIG 45DFeg Bend</t>
  </si>
  <si>
    <t>125 Long SPIG 45DFeg Bend</t>
  </si>
  <si>
    <t>200 Long SPIG 90DFeg Bend</t>
  </si>
  <si>
    <t>180 Long SPIG 90DFeg Bend</t>
  </si>
  <si>
    <t>125 Long SPIG 90DFeg Bend</t>
  </si>
  <si>
    <t>200 Long SPIG TEE</t>
  </si>
  <si>
    <t>180 Long SPIG TEE</t>
  </si>
  <si>
    <t>125 Long SPIG TEE</t>
  </si>
  <si>
    <t>200*180 Long SPIG TEE</t>
  </si>
  <si>
    <t>200*125 Long SPIG TEE</t>
  </si>
  <si>
    <t>180*125 Long SPIG TEE</t>
  </si>
  <si>
    <t>200*180 Long SPIG Reducer</t>
  </si>
  <si>
    <t>180*125 Long SPIG Reducer</t>
  </si>
  <si>
    <t>75PE 50 CU TRANSITION</t>
  </si>
  <si>
    <t xml:space="preserve">32 PE 25 CU TRANSITION </t>
  </si>
  <si>
    <t>200 FL DICL Sluice Valve</t>
  </si>
  <si>
    <t>150 FL DICL Sluice Valve</t>
  </si>
  <si>
    <t>100 FL DICL Sluice Valve</t>
  </si>
  <si>
    <t>Valve Spindle Riser - 600Long</t>
  </si>
  <si>
    <t>Valve Box - Cast Iron Trafficable - Rectangle Type "V"</t>
  </si>
  <si>
    <t>Valve Box - Non-Trafficable - Plastic Surround with CI Drop In "V"</t>
  </si>
  <si>
    <t>200*150mm DICL FL Reducer</t>
  </si>
  <si>
    <t>200*100mm DICL FL Reducer</t>
  </si>
  <si>
    <t>150*100mm DICL FL Reducer</t>
  </si>
  <si>
    <t>150mm DICL FL * SP Adapter</t>
  </si>
  <si>
    <t>100mm DICL FL * SP Adapter</t>
  </si>
  <si>
    <t>200mm DICL FL 90Deg Bend</t>
  </si>
  <si>
    <t>150mm DICL FL 90Deg Bend</t>
  </si>
  <si>
    <t>100mm DICL FL 90Deg Bend</t>
  </si>
  <si>
    <t>200mm DICL FL TEE</t>
  </si>
  <si>
    <t>150mm DICL FL TEE</t>
  </si>
  <si>
    <t>100mm DICL FL TEE</t>
  </si>
  <si>
    <t>200*150*200 DICL FL TEE</t>
  </si>
  <si>
    <t>200*100*200 DICL FL TEE</t>
  </si>
  <si>
    <t>150-100-150 DICL FL TEE</t>
  </si>
  <si>
    <t>200mm DICL FL Pipe @ 1000</t>
  </si>
  <si>
    <t>200mm DICL FL Pipe @ 600</t>
  </si>
  <si>
    <t>200mm DICL FL Pipe @ 300</t>
  </si>
  <si>
    <t>150mm DICL FL Pipe @ 1000</t>
  </si>
  <si>
    <t>150mm DICL FL Pipe @ 600</t>
  </si>
  <si>
    <t>150mm DICL FL Pipe @ 450</t>
  </si>
  <si>
    <t>150mm DICL FL Pipe @ 300</t>
  </si>
  <si>
    <t>100mm DICL FL Pipe @ 1000</t>
  </si>
  <si>
    <t>100mm DICL FL Pipe @ 600</t>
  </si>
  <si>
    <t>100mm DICL FL Pipe @ 450</t>
  </si>
  <si>
    <t>100mm DICL FL Pipe @ 300</t>
  </si>
  <si>
    <t>150mm DICL FL Deadplate</t>
  </si>
  <si>
    <t xml:space="preserve">100mm DICL FL Deadplate </t>
  </si>
  <si>
    <t>200mm PE*DI Gasket Kit Complete</t>
  </si>
  <si>
    <t>200mm DI*DI Gasket Kit Complete</t>
  </si>
  <si>
    <t>150mm PE*DI Gasket Kit Complete</t>
  </si>
  <si>
    <t>150mm DI*DI Gasket Kit Complete</t>
  </si>
  <si>
    <t>100mm PE*DI Gasket Kit Complete</t>
  </si>
  <si>
    <t>100mm DI*DI Gasket Kit Complete</t>
  </si>
  <si>
    <t>150mm SS Gibault Adapter Coupling</t>
  </si>
  <si>
    <t>100mm SS Gibault Adapter Coupling</t>
  </si>
  <si>
    <t>180mm PE GRIPPER Adapter Coupling</t>
  </si>
  <si>
    <t>125mm PE GRIPPER Adapter Coupling</t>
  </si>
  <si>
    <t>180mm PE GRIPPER * 150FL Adapter Coupling</t>
  </si>
  <si>
    <t>125mm PE GRIPPER * 100FL Adapter Coupling</t>
  </si>
  <si>
    <t>180mm PE GRIPPER Sluice Valve</t>
  </si>
  <si>
    <t>125mm PE GRIPPER Sluice Valve</t>
  </si>
  <si>
    <t>Detectable Tape - Fire x 250m</t>
  </si>
  <si>
    <t>Alcohol Weld Wipes</t>
  </si>
  <si>
    <t>Denzo Tape 100mm roll</t>
  </si>
  <si>
    <t>Black over-wrap tape - roll</t>
  </si>
  <si>
    <t>FIRE SERVICES - ABOVE GROUND</t>
  </si>
  <si>
    <t>Description</t>
  </si>
  <si>
    <t>150mm MED DUTY Galv Pipe</t>
  </si>
  <si>
    <t>100mm MED DUTY Galv Pipe w/RG Ends</t>
  </si>
  <si>
    <t>100mm Class B Copper Pipe</t>
  </si>
  <si>
    <t>25mm Class B Copper Pipe</t>
  </si>
  <si>
    <t>150mm Galv RG Coupling</t>
  </si>
  <si>
    <t>100mm Galv RG Coupling</t>
  </si>
  <si>
    <t>150mm Galv RG TEE</t>
  </si>
  <si>
    <t>100mm Galv RG TEE</t>
  </si>
  <si>
    <t>150mm Galv RG BEND 90Deg</t>
  </si>
  <si>
    <t>100mm Galv RG BEND 90Deg</t>
  </si>
  <si>
    <t>150mm Galv RG BEND 45Deg</t>
  </si>
  <si>
    <t>100mm Galv RG BEND 45Deg</t>
  </si>
  <si>
    <t>150mm Galv RG x 100mm FLANGE Adapt</t>
  </si>
  <si>
    <t>100mm Galv RG x 100mm FLANGE Adapt</t>
  </si>
  <si>
    <t>150mm RG Butterfly Valve Geared Wheel</t>
  </si>
  <si>
    <t>100mm RG Butterfly Valve Geared Wheel</t>
  </si>
  <si>
    <t>150mm H-Pattern Booster Assembly Complete</t>
  </si>
  <si>
    <t>Booster Cabinet - Compl with doors and stickers</t>
  </si>
  <si>
    <t>100mm Dual Pillar Hydrant Complete_ Flanged Base 1500 High w/landing Valves</t>
  </si>
  <si>
    <t>100mm Dual Pillar Hydrant Complete_ RG Base 1500 High w/landing Valves_OPTION</t>
  </si>
  <si>
    <t xml:space="preserve">65mm RG Landing Valve </t>
  </si>
  <si>
    <t>Red caps and chain - suit 65mm QLD Landing valve</t>
  </si>
  <si>
    <t>36m Fire Hose Reel w/25mm isolation valve</t>
  </si>
  <si>
    <t>25mm Isolation Ball Valve (for fire hose reel) valve only, with hose nozzle latch</t>
  </si>
  <si>
    <t>150mm FL Testable Double Check Valve - Compl. w/Valves</t>
  </si>
  <si>
    <t>150mm FL RPZD Valve - Compl. w/Valves</t>
  </si>
  <si>
    <t>100mm FL Levered Butterfly Vlave</t>
  </si>
  <si>
    <t>100mm Copper Crimp - TEE</t>
  </si>
  <si>
    <t>100mm Copper Crimp - 90Deg Bend</t>
  </si>
  <si>
    <t>100mm Copper Crimp - 45Deg Bend</t>
  </si>
  <si>
    <t>100mm Copper Crimp - Straight Socket</t>
  </si>
  <si>
    <t>100mm Copper Crimp - 100mm FL Adapter</t>
  </si>
  <si>
    <t>80mm Copper Crimp - TEE</t>
  </si>
  <si>
    <t>100mm*80mm Copper Crimp - REDUCER</t>
  </si>
  <si>
    <t xml:space="preserve">50mm Cu Tube Type B </t>
  </si>
  <si>
    <t>Elbow 90 Deg 50mm Water Kembla Kempress</t>
  </si>
  <si>
    <t>Equal Tee 50mm Water Kembla Kempress</t>
  </si>
  <si>
    <t xml:space="preserve">Reducer 50mm 25mm Water CU </t>
  </si>
  <si>
    <t>32mm Fi Lockable Ball Valve</t>
  </si>
  <si>
    <t>32mm Cu Crimp * 32mi Adapt</t>
  </si>
  <si>
    <t>32mm Cu Crimp Coupling Straight</t>
  </si>
  <si>
    <t>32mm Cu Crimp 90Deg Bend</t>
  </si>
  <si>
    <t>32mm Cu Crimp 45Deg Bend</t>
  </si>
  <si>
    <t xml:space="preserve">25mm Cu Tube Type B </t>
  </si>
  <si>
    <t>32mm*25mm Cu Crimp Reducer</t>
  </si>
  <si>
    <t>25mm Fi Lockable Ball Valve</t>
  </si>
  <si>
    <t>25mm Cu Crimp * 25mi Adapt</t>
  </si>
  <si>
    <t>25mm Cu Crimp Coupling Straight</t>
  </si>
  <si>
    <t>25mm Cu Crimp 90Deg Bend</t>
  </si>
  <si>
    <t>25mm Cu Crimp 45Deg Bend</t>
  </si>
  <si>
    <t>150mm Galv 2 Piece Weld-nut Bracket M12</t>
  </si>
  <si>
    <t>100mm Galv 2 Piece Weld-nut Bracket M12</t>
  </si>
  <si>
    <t>150 Galv 2 Piece Channel Clip</t>
  </si>
  <si>
    <t>100 Galv 2 Piece Channel Clip</t>
  </si>
  <si>
    <t>12mm Galv Threaded Rod</t>
  </si>
  <si>
    <t>Galv Braced Counter Lever Bracket - 450Long</t>
  </si>
  <si>
    <t>003 Padlock</t>
  </si>
  <si>
    <t xml:space="preserve">FIRE SERVICES - Misc. </t>
  </si>
  <si>
    <t>Decommisioning Material</t>
  </si>
  <si>
    <t>Electrofusion PE Welder 25-250mmPE. Please detail Spec</t>
  </si>
  <si>
    <t>PE Butt Welder. Automatic. 125-250mmPE. Please detail Spec - HIRE</t>
  </si>
  <si>
    <t>WEEK</t>
  </si>
  <si>
    <t>Hand Roll Groover. 65-150mm.</t>
  </si>
  <si>
    <t>Delivery - To Rockhampton PIPE LENGTHS as quoted</t>
  </si>
  <si>
    <t>Delivery - To Rockhampton Standard/Palletised items</t>
  </si>
  <si>
    <t>POTABLE WATER_MAINS &amp; R'Ins</t>
  </si>
  <si>
    <t>125 HDPE PN16 SDR11 - BLUELINE</t>
  </si>
  <si>
    <t>90 HDPE PN16 SDR11 - BLUELINE</t>
  </si>
  <si>
    <t xml:space="preserve">75 HDPE PE100 PN 16 -Blueline </t>
  </si>
  <si>
    <t xml:space="preserve">63 HDPE PE100 PN 16 -Blueline </t>
  </si>
  <si>
    <t>63 HDPE PN12.5 SDR11 - BLUELINE</t>
  </si>
  <si>
    <t>50 HDPE PE100 PN 16 - BLUELINE</t>
  </si>
  <si>
    <t xml:space="preserve">40 HDPE PE100 PN16 Blue Line </t>
  </si>
  <si>
    <t>40 HDPE PN12.5 SDR11 - BLUELINE</t>
  </si>
  <si>
    <t xml:space="preserve">32 HDPE PE100 PN 16 -Blueline </t>
  </si>
  <si>
    <t xml:space="preserve">25 HDPE PE100 PN16 - BLUELINE </t>
  </si>
  <si>
    <t>25 HDPE PN12.5 SDR11 - BLUELINE</t>
  </si>
  <si>
    <t>EF COUPLER                 125MM (EA)</t>
  </si>
  <si>
    <t>TEE EQUAL PE100 E/F 125MM</t>
  </si>
  <si>
    <t>TEE PE100 E/F 125*63MM</t>
  </si>
  <si>
    <t>EF REDUCER      125 X 90MM</t>
  </si>
  <si>
    <t>EF REDUCER      125 X 63MM</t>
  </si>
  <si>
    <t>EF REDUCER      75 X 63MM</t>
  </si>
  <si>
    <t>EF REDUCER      63 X 50MM</t>
  </si>
  <si>
    <t>EF REDUCER      50 X 40MM</t>
  </si>
  <si>
    <t>EF REDUCER      40 X 32MM</t>
  </si>
  <si>
    <t>EF REDUCER      40 X 25MM</t>
  </si>
  <si>
    <t>EF REDUCER      32 X 25MM</t>
  </si>
  <si>
    <t>ELBOW PE100 E/F 125MM X 45D</t>
  </si>
  <si>
    <t>ELBOW PE100 E/F 125MM X 90D</t>
  </si>
  <si>
    <t xml:space="preserve">HDPE 75mm X 90 D ELBOW </t>
  </si>
  <si>
    <t xml:space="preserve">HDPE 63MM X 90 D ELBOW </t>
  </si>
  <si>
    <t xml:space="preserve">HDPE 50MM X 90 D ELBOW </t>
  </si>
  <si>
    <t xml:space="preserve">HDPE 40MM X 90 D ELBOW </t>
  </si>
  <si>
    <t>Reducing Tee 125mm x 90mm</t>
  </si>
  <si>
    <t>Reducing Tee 125mm x 32mm</t>
  </si>
  <si>
    <t>Reducing Tee 75mm x 63mm</t>
  </si>
  <si>
    <t>Reducing Tee 75mm x 50mm</t>
  </si>
  <si>
    <t>Reducing Tee 75mm x 32mm</t>
  </si>
  <si>
    <t>Reducing Tee 63mm x 32mm</t>
  </si>
  <si>
    <t>Reducing Tee 50mm x 40mm</t>
  </si>
  <si>
    <t>Reducing Tee 40mm x 25mm</t>
  </si>
  <si>
    <t>Reducing Tee 32mm x 25mm</t>
  </si>
  <si>
    <t>EF Reducer 50mm x 25mm</t>
  </si>
  <si>
    <t>50mm Tee</t>
  </si>
  <si>
    <t>40mm Tee</t>
  </si>
  <si>
    <t xml:space="preserve">32mm Tee </t>
  </si>
  <si>
    <t xml:space="preserve">HDPE 32mm X 90 D ELBOW </t>
  </si>
  <si>
    <t xml:space="preserve">HDPE 25mm X 90 D ELBOW </t>
  </si>
  <si>
    <t xml:space="preserve">HDPE 25mm X 45 D ELBOW </t>
  </si>
  <si>
    <t>25mm Tee</t>
  </si>
  <si>
    <t>PE MAXI STUB FLANGE W/SS BK RING 125X 4" (EA)</t>
  </si>
  <si>
    <t>SLUICE VALVE PN16 T/D ACC FLNGD 100MM</t>
  </si>
  <si>
    <t>Valve Box - Cast Iron - Rectangle - Large - HD</t>
  </si>
  <si>
    <t>SADDLE TAPPING EF 125PE X 25PE</t>
  </si>
  <si>
    <t>SADDLE TAPPING EF 125PE X 32PE</t>
  </si>
  <si>
    <t>SADDLE TAPPING EF 125PE X 63PE</t>
  </si>
  <si>
    <t xml:space="preserve">90mm PE X 80mm Copper Transition </t>
  </si>
  <si>
    <t>Detectable WATER Marker Tape - 250m</t>
  </si>
  <si>
    <t>WIPES WELDING PLASSON XL (120 PK)</t>
  </si>
  <si>
    <t>Paint Pen - WHITE</t>
  </si>
  <si>
    <t xml:space="preserve">100 Cu Above Grnd </t>
  </si>
  <si>
    <t xml:space="preserve">80 CU Above Grnd </t>
  </si>
  <si>
    <t xml:space="preserve">65 CU Above Grnd </t>
  </si>
  <si>
    <t>50 Cu Above Grnd</t>
  </si>
  <si>
    <t>32 Cu Above Grnd</t>
  </si>
  <si>
    <t>32mm x25mm reducing tee</t>
  </si>
  <si>
    <t>25 Cu Above Grnd</t>
  </si>
  <si>
    <t>B-PRESS WATER EQUAL TEE  32MM (EA)</t>
  </si>
  <si>
    <t>B-PRESS WATER EQUAL TEE  25MM (EA)</t>
  </si>
  <si>
    <t>20 Cu Above Grnd</t>
  </si>
  <si>
    <t>B-PRESS WATER EQUAL TEE  20MM (EA)</t>
  </si>
  <si>
    <t>50mm Cu 10mm Nut Clip</t>
  </si>
  <si>
    <t>32mm Cu 10mm Nut Clip</t>
  </si>
  <si>
    <t>25mm Cu 10mm Nut Clip</t>
  </si>
  <si>
    <t>20mm Cu 10mm Nut Clip</t>
  </si>
  <si>
    <t>10mm Zinc Threaded Rod</t>
  </si>
  <si>
    <t>Kembla copper  WATER ELBOW         90DEG X 80MM (EA)</t>
  </si>
  <si>
    <t>Kembla copper  WATER ELBOW         90DEG X 65MM (EA)</t>
  </si>
  <si>
    <t>Kembla copper  WATER ELBOW         90DEG X 50MM (EA)</t>
  </si>
  <si>
    <t>Kembla copper  WATER ELBOW         90DEG X 32MM (EA)</t>
  </si>
  <si>
    <t xml:space="preserve">Kembla copper  WATER ELBOW        90DEG X 25MM </t>
  </si>
  <si>
    <t xml:space="preserve">Kembla copper  WATER ELBOW        90DEG X 20MM </t>
  </si>
  <si>
    <t>HIDDEN</t>
  </si>
  <si>
    <t>63mm E/F PE 90 Deg Elb</t>
  </si>
  <si>
    <t>63mm E/F PE 45 Deg Elb</t>
  </si>
  <si>
    <t>63mm E/F PE TEE</t>
  </si>
  <si>
    <t>63x40x63 E/F PE TEE</t>
  </si>
  <si>
    <t>63x32x63 E/F PE TEE</t>
  </si>
  <si>
    <t>63x25x63 E/F PE TEE</t>
  </si>
  <si>
    <t>63mm E/F PE Coupling</t>
  </si>
  <si>
    <t>63x40 E/F PE Reducer Coupling</t>
  </si>
  <si>
    <t>63x32 E/F PE Reducer Coupling</t>
  </si>
  <si>
    <t>63x25 E/F PE Reducer Coupling</t>
  </si>
  <si>
    <t>63PEx50Fi E/F PE Adapter</t>
  </si>
  <si>
    <t>63PEx50Mi E/F PE Adapter</t>
  </si>
  <si>
    <t>63PEx50Fi E/F PE Tramsiton Union</t>
  </si>
  <si>
    <t>63PEx50Mi E/F PE Transition Union</t>
  </si>
  <si>
    <t>40mm E/F PE 90 Deg Elb</t>
  </si>
  <si>
    <t>40mm E/F PE 45 Deg Elb</t>
  </si>
  <si>
    <t>40mm E/F PE TEE</t>
  </si>
  <si>
    <t>40x32x40 E/F PE TEE</t>
  </si>
  <si>
    <t>40x25x40 E/F PE TEE</t>
  </si>
  <si>
    <t>40mm E/F PE Coupling</t>
  </si>
  <si>
    <t>40x32 E/F PE Reducer Coupling</t>
  </si>
  <si>
    <t>40x25 E/F PE Reducer Coupling</t>
  </si>
  <si>
    <t>40PEx32Fi E/F PE Adapter</t>
  </si>
  <si>
    <t>40PEx32Mi E/F PE Adapter</t>
  </si>
  <si>
    <t>40PEx32Fi E/F PE Tramsiton Union</t>
  </si>
  <si>
    <t>40PEx32Mi E/F PE Transition Union</t>
  </si>
  <si>
    <t>32mm E/F PE 90 Deg Elb</t>
  </si>
  <si>
    <t>32mm E/F PE 45 Deg Elb</t>
  </si>
  <si>
    <t>32mm E/F PE TEE</t>
  </si>
  <si>
    <t>32x25x32 E/F PE TEE</t>
  </si>
  <si>
    <t>32mm E/F PE Coupling</t>
  </si>
  <si>
    <t>32x25 E/F PE Reducer Coupling</t>
  </si>
  <si>
    <t>32PEx25Fi E/F PE Adapter</t>
  </si>
  <si>
    <t>32PEx25Mi E/F PE Adapter</t>
  </si>
  <si>
    <t>32mm E/F PE End Cap</t>
  </si>
  <si>
    <t>32mm E/F PE End Plug</t>
  </si>
  <si>
    <t>25mm E/F PE 90 Deg Elb</t>
  </si>
  <si>
    <t>25mm E/F PE 45 Deg Elb</t>
  </si>
  <si>
    <t>25mm E/F PE TEE</t>
  </si>
  <si>
    <t>25mm E/F PE Coupling</t>
  </si>
  <si>
    <t>25PEx25Fi E/F PE Adapter</t>
  </si>
  <si>
    <t>25PEx25Mi E/F PE Adapter</t>
  </si>
  <si>
    <t>25PEx20Fi E/F PE Adapter</t>
  </si>
  <si>
    <t>25PEx20Mi E/F PE Adapter</t>
  </si>
  <si>
    <t>25mm E/F PE End Cap</t>
  </si>
  <si>
    <t>25mm E/F PE End Plug</t>
  </si>
  <si>
    <t>100mm CU Crimp 90 DEG FxF Elbow</t>
  </si>
  <si>
    <t>100mm CU Crimp 45 DEG FxF Elbow</t>
  </si>
  <si>
    <t>100mm CU Crimp Tee</t>
  </si>
  <si>
    <t>100x50x100 CU Crimp Tee</t>
  </si>
  <si>
    <t>100x50 CU Crimp Reducer</t>
  </si>
  <si>
    <t>100mm CU Crimp Repair Coupling</t>
  </si>
  <si>
    <t>100mm CU Crimp Coupling</t>
  </si>
  <si>
    <t>100Cu x 100Flange CU Crimp Coupling</t>
  </si>
  <si>
    <t xml:space="preserve">80mm x 65mm Cu Reducer </t>
  </si>
  <si>
    <t xml:space="preserve">65mm Cu Crimp Tee </t>
  </si>
  <si>
    <t>65mmX 50 Cu WAT Crimp Reducer</t>
  </si>
  <si>
    <t>65mmX 32 Cu WAT Crimp Reducer</t>
  </si>
  <si>
    <t>65 mmX 20 Cu WAT Crimp Reducer</t>
  </si>
  <si>
    <t>50mm CU Crimp 90 DEG FxF Elbow</t>
  </si>
  <si>
    <t>50mm CU Crimp 45 DEG FxF Elbow</t>
  </si>
  <si>
    <t>50mm CU Crimp Tee</t>
  </si>
  <si>
    <t>50x40x50 CU Crimp Tee</t>
  </si>
  <si>
    <t>50x40x40 CU Crimp Tee</t>
  </si>
  <si>
    <t>50x32x50 CU Crimp Tee</t>
  </si>
  <si>
    <t>50x32x32 CU Crimp Tee</t>
  </si>
  <si>
    <t>50x32x40 CU Crimp Tee</t>
  </si>
  <si>
    <t>50x25x50 CU Crimp Tee</t>
  </si>
  <si>
    <t>50x20x50 CU Crimp Tee</t>
  </si>
  <si>
    <t>50x15x50 CU Crimp Tee</t>
  </si>
  <si>
    <t>50x40 CU Crimp Reducer</t>
  </si>
  <si>
    <t>50x32 CU Crimp Reducer</t>
  </si>
  <si>
    <t>50x25 CU Crimp Reducer</t>
  </si>
  <si>
    <t>50x20 CU Crimp Reducer</t>
  </si>
  <si>
    <t>50x15 CU Crimp Reducer</t>
  </si>
  <si>
    <t>50Cu x 50Mi CU Crimp Adapter</t>
  </si>
  <si>
    <t>50Cu x 50Fi CU Crimp Adapter</t>
  </si>
  <si>
    <t>50mm CU Crimp Repair Coupling</t>
  </si>
  <si>
    <t>50mm CU Crimp Coupling</t>
  </si>
  <si>
    <t>50Cu x 50Flange CU Crimp Coupling</t>
  </si>
  <si>
    <t>50mm CU Crimp Cap</t>
  </si>
  <si>
    <t>50Cu x W69/Barrell Barrell Union CU Crimp</t>
  </si>
  <si>
    <t>40mm CU Crimp 90 DEG FxF Elbow</t>
  </si>
  <si>
    <t>40mm CU Crimp 45 DEG FxF Elbow</t>
  </si>
  <si>
    <t>40mm CU Crimp 90 DEG MxF Elbow</t>
  </si>
  <si>
    <t>40mm CU Crimp 45 DEG MxF Elbow</t>
  </si>
  <si>
    <t>40mm CU Crimp Tee</t>
  </si>
  <si>
    <t>40x32x40 CU Crimp Tee</t>
  </si>
  <si>
    <t>40x32x32 CU Crimp Tee</t>
  </si>
  <si>
    <t>40x32x25 CU Crimp Tee</t>
  </si>
  <si>
    <t>40x25x40 CU Crimp Tee</t>
  </si>
  <si>
    <t>40x25x20 CU Crimp Tee</t>
  </si>
  <si>
    <t>40x20x40 CU Crimp Tee</t>
  </si>
  <si>
    <t>40x15x40 CU Crimp Tee</t>
  </si>
  <si>
    <t>40x32 CU Crimp Reducer</t>
  </si>
  <si>
    <t>40x25 CU Crimp Reducer</t>
  </si>
  <si>
    <t>40x20 CU Crimp Reducer</t>
  </si>
  <si>
    <t>40x15 CU Crimp Reducer</t>
  </si>
  <si>
    <t>40Cu x 40Mi CU Crimp Adapter</t>
  </si>
  <si>
    <t>40Cu x 40Fi CU Crimp Adapter</t>
  </si>
  <si>
    <t>40mm CU Crimp Repair Coupling</t>
  </si>
  <si>
    <t>40mm CU Crimp Coupling</t>
  </si>
  <si>
    <t>40Cu x 40Flange CU Crimp Coupling</t>
  </si>
  <si>
    <t>40mm CU Crimp Cap</t>
  </si>
  <si>
    <t>40Cu x W69/Barrell Barrell Union CU Crimp</t>
  </si>
  <si>
    <t>32mm CU Crimp 90 DEG FxF Elbow</t>
  </si>
  <si>
    <t>32mm CU Crimp 45 DEG FxF Elbow</t>
  </si>
  <si>
    <t>32mm CU Crimp 90 DEG MxF Elbow</t>
  </si>
  <si>
    <t>32mm CU Crimp 45 DEG MxF Elbow</t>
  </si>
  <si>
    <t>32mm CU Crimp Tee</t>
  </si>
  <si>
    <t>32x25x32 CU Crimp Tee</t>
  </si>
  <si>
    <t>32x25x20 CU Crimp Tee</t>
  </si>
  <si>
    <t>32x20x32 CU Crimp Tee</t>
  </si>
  <si>
    <t>32x20x20 CU Crimp Tee</t>
  </si>
  <si>
    <t>32x20x15 CU Crimp Tee</t>
  </si>
  <si>
    <t>32x15x32 CU Crimp Tee</t>
  </si>
  <si>
    <t>32x15x25 CU Crimp Tee</t>
  </si>
  <si>
    <t>32x15x20 CU Crimp Tee</t>
  </si>
  <si>
    <t>32x15x15 CU Crimp Tee</t>
  </si>
  <si>
    <t>COUPLING RED CU KEMPRESS WATER 32MM X 25MM</t>
  </si>
  <si>
    <t>32x20 CU Crimp Reducer</t>
  </si>
  <si>
    <t>32x15 CU Crimp Reducer</t>
  </si>
  <si>
    <t>32Cu x 32Mi CU Crimp Adapter</t>
  </si>
  <si>
    <t>32Cu x 32Fi CU Crimp Adapter</t>
  </si>
  <si>
    <t>32mm CU Crimp Repair Coupling</t>
  </si>
  <si>
    <t>32mm CU Crimp Coupling</t>
  </si>
  <si>
    <t>32mm CU Crimp Cap</t>
  </si>
  <si>
    <t>32Cu x W69/Barrell Barrell Union CU Crimp</t>
  </si>
  <si>
    <t>25mm CU Crimp 90 DEG FxF Elbow</t>
  </si>
  <si>
    <t>25mm CU Crimp 45 DEG FxF Elbow</t>
  </si>
  <si>
    <t>25mm CU Crimp 90 DEG MxF Elbow</t>
  </si>
  <si>
    <t>25mm CU Crimp 45 DEG MxF Elbow</t>
  </si>
  <si>
    <t>25mm CU Crimp Tee</t>
  </si>
  <si>
    <t>25x20x25 CU Crimp Tee</t>
  </si>
  <si>
    <t>25x20x20 CU Crimp Tee</t>
  </si>
  <si>
    <t>25x20x15 CU Crimp Tee</t>
  </si>
  <si>
    <t>25x15x25 CU Crimp Tee</t>
  </si>
  <si>
    <t>25x15x20 CU Crimp Tee</t>
  </si>
  <si>
    <t>25x15x15 CU Crimp Tee</t>
  </si>
  <si>
    <t>25x20 CU Crimp Reducer</t>
  </si>
  <si>
    <t>25x15 CU Crimp Reducer</t>
  </si>
  <si>
    <t>25Cu x 25Mi CU Crimp Adapter</t>
  </si>
  <si>
    <t>25Cu x 25Fi CU Crimp Adapter</t>
  </si>
  <si>
    <t>25mm CU Crimp Repair Coupling</t>
  </si>
  <si>
    <t>25mm CU Crimp Coupling</t>
  </si>
  <si>
    <t>25mm CU Crimp Cap</t>
  </si>
  <si>
    <t>25Cu x W69/Barrell Barrell Union CU Crimp</t>
  </si>
  <si>
    <t>20mm CU Crimp 90 DEG FxF Elbow</t>
  </si>
  <si>
    <t>20mm CU Crimp 45 DEG FxF Elbow</t>
  </si>
  <si>
    <t>20mm CU Crimp 90 DEG MxF Elbow</t>
  </si>
  <si>
    <t>20mm CU Crimp 45 DEG MxF Elbow</t>
  </si>
  <si>
    <t>20mm CU Crimp Tee</t>
  </si>
  <si>
    <t>20x15x20 CU Crimp Tee</t>
  </si>
  <si>
    <t>20x15x15 CU Crimp Tee</t>
  </si>
  <si>
    <t>20x15 CU Crimp Reducer</t>
  </si>
  <si>
    <t>20Cu x 20Mi CU Crimp Adapter</t>
  </si>
  <si>
    <t>20Cu x 20Fi CU Crimp Adapter</t>
  </si>
  <si>
    <t>20mm CU Crimp Repair Coupling</t>
  </si>
  <si>
    <t>20mm CU Crimp Coupling</t>
  </si>
  <si>
    <t>20mm CU Crimp Cap</t>
  </si>
  <si>
    <t>20Cu x W69/Barrell Barrell Union CU Crimp</t>
  </si>
  <si>
    <t>15mm CU Crimp 90 DEG FxF Elbow</t>
  </si>
  <si>
    <t>15mm CU Crimp 45 DEG FxF Elbow</t>
  </si>
  <si>
    <t>15mm CU Crimp 90 DEG MxF Elbow</t>
  </si>
  <si>
    <t>15mm CU Crimp 45 DEG MxF Elbow</t>
  </si>
  <si>
    <t>15mm CU Crimp Tee</t>
  </si>
  <si>
    <t>15Cu x 15Mi CU Crimp Adapter</t>
  </si>
  <si>
    <t>15Cu x 15Fi CU Crimp Adapter</t>
  </si>
  <si>
    <t>15Cu Fi BP, wall elbow</t>
  </si>
  <si>
    <t>15Cu Mi BP, Wall elbow  - 90 Long</t>
  </si>
  <si>
    <t>15Cu Mi BP, Wall elbow  - 120+ Long</t>
  </si>
  <si>
    <t>15mm CU Crimp Repair Coupling</t>
  </si>
  <si>
    <t>15mm CU Crimp Coupling</t>
  </si>
  <si>
    <t>15mm CU Crimp Cap</t>
  </si>
  <si>
    <t>15Cu x W69/Barrell Barrell Union CU Crimp</t>
  </si>
  <si>
    <t>50mm Ball Valve Fi</t>
  </si>
  <si>
    <t>40mm Ball Valve Fi</t>
  </si>
  <si>
    <t>32mm Ball Valve Fi</t>
  </si>
  <si>
    <t>25mm Ball Valve Fi</t>
  </si>
  <si>
    <t>20mm Ball Valve Fi</t>
  </si>
  <si>
    <t>15mm Ball Valve Fi</t>
  </si>
  <si>
    <t>50mm Mi BRS Nipple</t>
  </si>
  <si>
    <t>50mm Fi BRS Socket</t>
  </si>
  <si>
    <t>50mm Mi BRS Union</t>
  </si>
  <si>
    <t>50mm Fi BRS Union</t>
  </si>
  <si>
    <t>50mm BRS Plug</t>
  </si>
  <si>
    <t>50mm BRS Cap</t>
  </si>
  <si>
    <t>40mm Mi BRS Nipple</t>
  </si>
  <si>
    <t>40mm Fi BRS Socket</t>
  </si>
  <si>
    <t>40mm Mi BRS Union</t>
  </si>
  <si>
    <t>40mm Fi BRS Union</t>
  </si>
  <si>
    <t>40mm BRS Plug</t>
  </si>
  <si>
    <t>40mm BRS Cap</t>
  </si>
  <si>
    <t>32mm Mi BRS Nipple</t>
  </si>
  <si>
    <t>32mm Fi BRS Socket</t>
  </si>
  <si>
    <t>32mm Mi BRS Union</t>
  </si>
  <si>
    <t>32mm Fi BRS Union</t>
  </si>
  <si>
    <t>32mm BRS Plug</t>
  </si>
  <si>
    <t>32mm BRS Cap</t>
  </si>
  <si>
    <t>25mm Mi BRS Nipple</t>
  </si>
  <si>
    <t>25mm Fi BRS Socket</t>
  </si>
  <si>
    <t>25mm Mi BRS Union</t>
  </si>
  <si>
    <t>25mm Fi BRS Union</t>
  </si>
  <si>
    <t>25mm BRS Plug</t>
  </si>
  <si>
    <t>25mm BRS Cap</t>
  </si>
  <si>
    <t>20mm pex Pipe - Black</t>
  </si>
  <si>
    <t>15mm Pex pipe - Black</t>
  </si>
  <si>
    <t>15mm Pex pipe - Red</t>
  </si>
  <si>
    <t>20 pex Elbow</t>
  </si>
  <si>
    <t>20 Pex TEE</t>
  </si>
  <si>
    <t>20x15 Pex TEE</t>
  </si>
  <si>
    <t>20 PEX Mi Adapter</t>
  </si>
  <si>
    <t>20 PEX Fi Adapter</t>
  </si>
  <si>
    <t>20x15 Pex Reducer</t>
  </si>
  <si>
    <t>20 PEXxCU Crimp conversion coupling</t>
  </si>
  <si>
    <t>20 PEX Straight coupling</t>
  </si>
  <si>
    <t>15 Pex Elbow</t>
  </si>
  <si>
    <t>15 Pex TEE</t>
  </si>
  <si>
    <t>15 PEXMi Adapter</t>
  </si>
  <si>
    <t>15 PEX Fi Adapter</t>
  </si>
  <si>
    <t>15 PEX Fi BP, wall elbow</t>
  </si>
  <si>
    <t>15 PEX Mi BP, Wall elbow  - 90 Long</t>
  </si>
  <si>
    <t>15 PEX Mi BP, Wall elbow  - 120+ Long</t>
  </si>
  <si>
    <t>15 PEXxCU Crimp conversion coupling</t>
  </si>
  <si>
    <t>15 PEX Straight coupling</t>
  </si>
  <si>
    <t>Hose Taps Complete</t>
  </si>
  <si>
    <t xml:space="preserve">100 FL DICL SLUICE VALVE </t>
  </si>
  <si>
    <t xml:space="preserve"> 125PE*4" (100mm) - MaxiStub W/Stainless Steel Backing Ring</t>
  </si>
  <si>
    <t>100mm PE*DI Gasket Kit Complete  Parts &amp; Labour</t>
  </si>
  <si>
    <t>125mm PE x 100mm GALV ADAPTER - Acutech Brand</t>
  </si>
  <si>
    <t>RPZD  32mm</t>
  </si>
  <si>
    <t>RPZD  20mm</t>
  </si>
  <si>
    <t>RPZD 100mm</t>
  </si>
  <si>
    <t>Office - Water &amp; Rough IN</t>
  </si>
  <si>
    <t>Ofice - NOGINS &amp; Fixings</t>
  </si>
  <si>
    <t>Safety shr fittings</t>
  </si>
  <si>
    <t>In Grnd Fittings misc</t>
  </si>
  <si>
    <t>Abv Grnd Fittings misc</t>
  </si>
  <si>
    <t>HWU quickie kit</t>
  </si>
  <si>
    <t>TMV</t>
  </si>
  <si>
    <t xml:space="preserve">20mm Isolavtive valve </t>
  </si>
  <si>
    <t xml:space="preserve">25mm Isolavtive valve </t>
  </si>
  <si>
    <t xml:space="preserve">50mm Isolavtive valve </t>
  </si>
  <si>
    <t>450 SQ PIT</t>
  </si>
  <si>
    <t>Dock Office Water Mat</t>
  </si>
  <si>
    <t xml:space="preserve">25mm RPZD </t>
  </si>
  <si>
    <t xml:space="preserve">misc. </t>
  </si>
  <si>
    <t>150mm isolation valve in valve pit (connect to authority watermain )</t>
  </si>
  <si>
    <t xml:space="preserve">25mm DCW Isolation vlave in valve pit with path box cover </t>
  </si>
  <si>
    <t xml:space="preserve">	25mm water meter in tamper steel cage with isolative valves in both side </t>
  </si>
  <si>
    <t>TMV in Box</t>
  </si>
  <si>
    <t xml:space="preserve">100 mm Water meter </t>
  </si>
  <si>
    <t xml:space="preserve">90 valve in pit </t>
  </si>
  <si>
    <t xml:space="preserve">32 valve in pit </t>
  </si>
  <si>
    <t xml:space="preserve">50mm control valve </t>
  </si>
  <si>
    <t xml:space="preserve">TLV under basin </t>
  </si>
  <si>
    <t xml:space="preserve">AUTOMATIC TRAP PRIMER </t>
  </si>
  <si>
    <t xml:space="preserve">water meter and sub meter did not take off on drawing and spready as could not find it , and not even in equipment schedule list </t>
  </si>
  <si>
    <t xml:space="preserve">flag up :acoustic lagging, thermal lagging and condensate lagging not included , pls see the lsit below </t>
  </si>
  <si>
    <t xml:space="preserve"> THERMOTEC 4-ZERO (HOT WATER CIRCULATION PIPEWORK &amp; DEADLEGS)</t>
  </si>
  <si>
    <t>THERMOTEC 4-ZERO ( EXTERNAL HOT WATER CIRCULATION PIPEWORK)</t>
  </si>
  <si>
    <t xml:space="preserve"> SOUNDLAG 4525C ( ALL SANITARY AND STORMWATER DRAINAGE ABOVE
HABITABLE/RETAIL AREAS)</t>
  </si>
  <si>
    <t>ARMAFLEX (MECHANICAL TUNDISH TO FLOOR WASTE (INCLUSIVE)
OR TRAPPED TUNDISH TO DOWNSTREAM BRANCH OF
SANITARY PLUMBING)</t>
  </si>
  <si>
    <t xml:space="preserve">SEWER DRAINAGE - </t>
  </si>
  <si>
    <t xml:space="preserve">PIPE DWV PVC S/WELD  150MM - In Grnd </t>
  </si>
  <si>
    <t>PIPE DWV SN8 PVC S/WELD  100MM</t>
  </si>
  <si>
    <t xml:space="preserve">150MM * 45D PVC JUNCTION </t>
  </si>
  <si>
    <t xml:space="preserve">100MM * 45D PVC JUNCTION </t>
  </si>
  <si>
    <t xml:space="preserve">150MM X 100MM 45D PVC JUNCTION </t>
  </si>
  <si>
    <t xml:space="preserve">100*50 PVC DWV JUNCTION </t>
  </si>
  <si>
    <t xml:space="preserve">100MM * 65 PVC PVC JUNCTION </t>
  </si>
  <si>
    <t xml:space="preserve">150MM X 45 Deg Bend </t>
  </si>
  <si>
    <t xml:space="preserve">150MM X 90 Deg Bend </t>
  </si>
  <si>
    <t>100MM X 90Deg Bend</t>
  </si>
  <si>
    <t>100MM X 45Deg Bend</t>
  </si>
  <si>
    <t>DWV PIPE REDUCER 150X100mm</t>
  </si>
  <si>
    <t>DWV PIPE REDUCER 100 X 50mm</t>
  </si>
  <si>
    <t xml:space="preserve">PIPE DWV PVC S/WELD  100MM - In Grnd </t>
  </si>
  <si>
    <t xml:space="preserve">PIPE DWV PVC S/WELD  65MM - In Grnd </t>
  </si>
  <si>
    <t xml:space="preserve">63 HDPE PN12.5 SDR11 - BLACK or CREAM - In Grnd </t>
  </si>
  <si>
    <t>PIPE DWV PVC S/WELD  50mm</t>
  </si>
  <si>
    <t>PIPE DWV PVC S/WELD  40mm</t>
  </si>
  <si>
    <t xml:space="preserve">65MM * 45D PVC JUNCTION </t>
  </si>
  <si>
    <t xml:space="preserve">50MM * 45D PVC JUNCTION </t>
  </si>
  <si>
    <t>DWV BEND 65X 90 DEG</t>
  </si>
  <si>
    <t>DWV BEND 40 X 85 DEG</t>
  </si>
  <si>
    <t>DWV BEND 50 X 45 DEG</t>
  </si>
  <si>
    <t xml:space="preserve">DWV BEND 50 X85 DEG </t>
  </si>
  <si>
    <t>50mm Condensate INSULATION</t>
  </si>
  <si>
    <t>100mm Condensate INSULATION</t>
  </si>
  <si>
    <t>150mm - Gas Tight H/D Cast Iron Clearout (Peepeye)</t>
  </si>
  <si>
    <t>150mm Clear Out Cover - L/D - Brass</t>
  </si>
  <si>
    <t>100mm - Gas Tight H/D Cast Iron Clearout (Peepeye)</t>
  </si>
  <si>
    <t>100mm Clear Out Cover - L/D - Brass</t>
  </si>
  <si>
    <t xml:space="preserve">100 mm Inspection Opening </t>
  </si>
  <si>
    <t>100mm Trapped point - 100mm Gully Trap</t>
  </si>
  <si>
    <t>FWG - 100mm Gully Trap</t>
  </si>
  <si>
    <t>FWG - 100mm 4-way Riser</t>
  </si>
  <si>
    <t>FWG - Grate - Tile Insert 100*100 Chrome Plated</t>
  </si>
  <si>
    <t>In-Wall TD &amp; View Panel - SS</t>
  </si>
  <si>
    <t>100mm PVC 10mm nut hanging clip</t>
  </si>
  <si>
    <t>50mm PVC 10mm nut hanging clip</t>
  </si>
  <si>
    <t>Glue - Blue - 4Ltr</t>
  </si>
  <si>
    <t>Primer - Red - 4Ltr</t>
  </si>
  <si>
    <t>Detectable SEWER Marker Tape - 250m</t>
  </si>
  <si>
    <t xml:space="preserve">100mm AbleFlex Roll </t>
  </si>
  <si>
    <t>Concrete Mix bag</t>
  </si>
  <si>
    <t>External Sewer Mains fitting</t>
  </si>
  <si>
    <t>Vents Complete</t>
  </si>
  <si>
    <t>Office Drainage mat</t>
  </si>
  <si>
    <t>Dock Office Drainage Mat</t>
  </si>
  <si>
    <t xml:space="preserve">Overflow Gully </t>
  </si>
  <si>
    <t>Tundish with HT</t>
  </si>
  <si>
    <t>COS</t>
  </si>
  <si>
    <t xml:space="preserve">Tundish </t>
  </si>
  <si>
    <t>SIVEL EXPANSION JOINT</t>
  </si>
  <si>
    <t>FWG-130x130 STAINLESS STEEL GRATE WITH 80Ø VERTICAL OUTLET. SPS MODEL Q130/80SR</t>
  </si>
  <si>
    <t>FWG/BT - 200x200 PUSH IN BASKET TRAP WITH 316 STAINLESS STEEL GRATE CLASS 'C' SPS MODEL
Q200 SR6-BT WITH FIXED SECONDARY STRAINER</t>
  </si>
  <si>
    <t>Fire Collars &amp; Misc</t>
  </si>
  <si>
    <t xml:space="preserve">plaster /slip trap </t>
  </si>
  <si>
    <t xml:space="preserve"> Basket Arrestors for Floor Drains</t>
  </si>
  <si>
    <t xml:space="preserve">flag up 2 not on drawing but on schedule list ( neutralized tank ) tradelink quote </t>
  </si>
  <si>
    <t xml:space="preserve">mabl chips </t>
  </si>
  <si>
    <t xml:space="preserve">frieght </t>
  </si>
  <si>
    <t xml:space="preserve">Trade Waste </t>
  </si>
  <si>
    <t xml:space="preserve">	110 HDPE (TRADE WASTE DRAIN )</t>
  </si>
  <si>
    <t xml:space="preserve">	110 HDPE 90 Deg Bend ( TRADE WASTE )</t>
  </si>
  <si>
    <t xml:space="preserve">	110 HDPE X 45 DEG (TRADE WASTE )</t>
  </si>
  <si>
    <t xml:space="preserve">	JUNCTION 110 HDPE X 45 DEG</t>
  </si>
  <si>
    <t>100 HDPE (TRADE WASTE DRAIN )</t>
  </si>
  <si>
    <t>JUNCTION 100 HDPE X 45 DEG</t>
  </si>
  <si>
    <t>110 HDPE  X 100 HDPE REDUCER</t>
  </si>
  <si>
    <t>100 HDPE 90 Deg Bend ( TRADE WASTE )</t>
  </si>
  <si>
    <t xml:space="preserve">	100 HDPE X 45 DEG (TRADE WASTE )</t>
  </si>
  <si>
    <t xml:space="preserve">	65 HDPE (TRADE WASTE DRAIN )</t>
  </si>
  <si>
    <t xml:space="preserve">	65 HDPE X 45 DEG (TRADE WASTE )</t>
  </si>
  <si>
    <t xml:space="preserve">	65 HDPE X 90 DEG (TRADE WASTE )</t>
  </si>
  <si>
    <t xml:space="preserve">	50 HDPE (TRADE WASTE DRAIN )</t>
  </si>
  <si>
    <t xml:space="preserve">	50 HDPE X 90 DEG (TRADE WASTE )</t>
  </si>
  <si>
    <t xml:space="preserve">	BUCKEY TRAP /SILT TRAP</t>
  </si>
  <si>
    <t xml:space="preserve">IOS TRADE WASTE </t>
  </si>
  <si>
    <t>STORMWATER DRAINAGE</t>
  </si>
  <si>
    <t>PIPE 600MM - RIBBED</t>
  </si>
  <si>
    <t>PIPE 450MM - RIBBED</t>
  </si>
  <si>
    <t xml:space="preserve">PIPE 375MM - RIBBED BLACK MAX </t>
  </si>
  <si>
    <t xml:space="preserve">PIPE 300MM - RIBBED BLACK MAX </t>
  </si>
  <si>
    <t>PIPE DWV SN8 PVC S/WELD  375MM</t>
  </si>
  <si>
    <t>PIPE DWV SN8 PVC S/WELD  300MM</t>
  </si>
  <si>
    <t>PIPE DWV SN4 PVC S/WELD  300MM</t>
  </si>
  <si>
    <t>PIPE SW H/D PVC S/WELD  300MM</t>
  </si>
  <si>
    <t>PIPE DWV SN8 PVC S/WELD  225MM</t>
  </si>
  <si>
    <t>PIPE DWV SN4 PVC S/WELD  225MM</t>
  </si>
  <si>
    <t>PIPE SW H/D PVC S/WELD  225MM</t>
  </si>
  <si>
    <t>PIPE DWV SN8 PVC S/WELD  150MM</t>
  </si>
  <si>
    <t>PIPE DWV SN4 PVC S/WELD  150MM</t>
  </si>
  <si>
    <t>PIPE DWV SN8 PVC S/WELD  150MM - Suspended</t>
  </si>
  <si>
    <t>PIPE DWV SN4 PVC S/WELD  100MM</t>
  </si>
  <si>
    <t>PIPE DWV SN8 PVC S/WELD  50MM</t>
  </si>
  <si>
    <t>DWV Grade Option</t>
  </si>
  <si>
    <t>600*225 Ribbed Saddle</t>
  </si>
  <si>
    <t>600*45Deg RIBBED Bend</t>
  </si>
  <si>
    <t>600*450 Ribbed Reducer</t>
  </si>
  <si>
    <t>450*375 Ribbed*PVC Reducer</t>
  </si>
  <si>
    <t>450 45 Deg ribbed Bend</t>
  </si>
  <si>
    <t>450 * 225 Ribbed Saddle</t>
  </si>
  <si>
    <t>375mm X 45Deg Junction</t>
  </si>
  <si>
    <t>375X300X45D PVC JUNCTION</t>
  </si>
  <si>
    <t>375X225X45D PVC JUNCTION</t>
  </si>
  <si>
    <t>375MM X 300MM Reducer</t>
  </si>
  <si>
    <t>375MM X 225MM Reducer</t>
  </si>
  <si>
    <t>375MM X 90Deg Bend</t>
  </si>
  <si>
    <t>375MM X 45Deg Bend</t>
  </si>
  <si>
    <t>300MM * 45D PVC JUNCTION</t>
  </si>
  <si>
    <t>300X225X45D PVC JUNCTION</t>
  </si>
  <si>
    <t>300MM X 225MM Reducer</t>
  </si>
  <si>
    <t>300MM X 90Deg Bend</t>
  </si>
  <si>
    <t>300MM X 45Deg Bend</t>
  </si>
  <si>
    <t>300MM X 150 Junction</t>
  </si>
  <si>
    <t>225MM * 45D PVC JUNCTION</t>
  </si>
  <si>
    <t>225X150X45D PVC JUNCTION</t>
  </si>
  <si>
    <t>225MM X 90Deg Bend</t>
  </si>
  <si>
    <t>225MM X 45Deg Bend</t>
  </si>
  <si>
    <t>225MM X 150MM Reducer</t>
  </si>
  <si>
    <t>150 PVC DWV 45Deg Junct</t>
  </si>
  <si>
    <t>150MM X 90Deg Bend</t>
  </si>
  <si>
    <t>150MM X 45Deg Bend</t>
  </si>
  <si>
    <t>150X100X45D PVC JUNCTION</t>
  </si>
  <si>
    <t>PVC PIPE REDUCER 150X 100 mm</t>
  </si>
  <si>
    <t>100X50 X45D PVC JUNCTION</t>
  </si>
  <si>
    <t>PVC PIPE REDUCER 100X 50 mm</t>
  </si>
  <si>
    <t>50 PVC X 45D PVC JUNCTION</t>
  </si>
  <si>
    <t>50MM X 90Deg  PVC Bend</t>
  </si>
  <si>
    <t>50MM X 45Deg  PVC Bend</t>
  </si>
  <si>
    <t>150mm PVC 10mm nut hanging clip</t>
  </si>
  <si>
    <t>SW_RRJ (RIBBED) Fittings</t>
  </si>
  <si>
    <t>375MM X 45Deg  Bend</t>
  </si>
  <si>
    <t>DN 375 X DN150 45 DEG BLACKMAX REDUCING JUNCTION (PVC FAB)</t>
  </si>
  <si>
    <t>DN375 x dn225 BlackMax® Reducing Adaptor FF RRJ x DWV SWJ (PVC Fab)</t>
  </si>
  <si>
    <t>DN 300 X DN150 45 DEG BLACKMAX REDUCING JUNCTION (PVC FAB)</t>
  </si>
  <si>
    <t xml:space="preserve">DN300 BLACK MAX 45 DEG BEND </t>
  </si>
  <si>
    <t>DN300 x dn225 BlackMax® Reducing Adaptor FF RRJ x DWV SWJ (PVC Fab)</t>
  </si>
  <si>
    <t xml:space="preserve">SW IOS </t>
  </si>
  <si>
    <t xml:space="preserve">SWGP 1 300 x300 x450 </t>
  </si>
  <si>
    <t xml:space="preserve">SWGP 2 600x600 x600 </t>
  </si>
  <si>
    <t>SWGP 4  450x450x600</t>
  </si>
  <si>
    <t>BTGP FOX ENVIRONMENTAL PT600/100</t>
  </si>
  <si>
    <t xml:space="preserve">150mm Cap </t>
  </si>
  <si>
    <t xml:space="preserve">	150mm expansion coupler</t>
  </si>
  <si>
    <t xml:space="preserve">	450X450 GRATED SW GULLY</t>
  </si>
  <si>
    <t>FITOFF</t>
  </si>
  <si>
    <t>Fit-Off Material; Ground &amp; First Floor -</t>
  </si>
  <si>
    <t>SUB TOTALS</t>
  </si>
  <si>
    <t>Contingency</t>
  </si>
  <si>
    <t>Deliveries</t>
  </si>
  <si>
    <t>Excavation/Quarry/Misc/ Takeoff.</t>
  </si>
  <si>
    <t>Qty</t>
  </si>
  <si>
    <t>Avrg Trench = .900D*.450W</t>
  </si>
  <si>
    <t>L/M Of Asphalt Reinstate</t>
  </si>
  <si>
    <t>M2 Of Asphalt Reinstate</t>
  </si>
  <si>
    <t>L/M Of CBR Reinstate</t>
  </si>
  <si>
    <t>L/M of Inground Pipe (Average Depth)</t>
  </si>
  <si>
    <t>L/M of Inground Pipe (Deeper Than Average Depth)</t>
  </si>
  <si>
    <t>Avergage of trtenches 'Shared'…. Shared trench Factor</t>
  </si>
  <si>
    <t>SEWER / SW / TW - InGrnd</t>
  </si>
  <si>
    <t>WAT / FIRE - InGrnd</t>
  </si>
  <si>
    <t>SPK - InGrnd</t>
  </si>
  <si>
    <t>W</t>
  </si>
  <si>
    <t>L</t>
  </si>
  <si>
    <t>Spoil/Compact Factor;</t>
  </si>
  <si>
    <t>Shared Trench Factor</t>
  </si>
  <si>
    <t>Total m3 - EXCAVATED</t>
  </si>
  <si>
    <t>Total M3 - Bed, Pipe, Cover reduction</t>
  </si>
  <si>
    <t>Total M3 - Backfill Req (Less Bed&amp;Pipe)</t>
  </si>
  <si>
    <t>Total M3 - Spoil - REMOVE</t>
  </si>
  <si>
    <t>TCS Load - Haulage &amp; dump rate only</t>
  </si>
  <si>
    <t>L/M of Bed, Pipe, Cover material reduction (Average Depth)</t>
  </si>
  <si>
    <t>L/M of Bed, Pipe, Cover material reduction (Deeper Than Average Depth)</t>
  </si>
  <si>
    <t>L/M of BACKFILL required (Average Depth)</t>
  </si>
  <si>
    <t>L/M of BACKFILL required (Deeper Than Average Depth)</t>
  </si>
  <si>
    <t>QTY</t>
  </si>
  <si>
    <t>Rate</t>
  </si>
  <si>
    <t>Total</t>
  </si>
  <si>
    <t>Thrust Block Concrete</t>
  </si>
  <si>
    <t>m3/TB</t>
  </si>
  <si>
    <t>Total m3</t>
  </si>
  <si>
    <t>Total Cost</t>
  </si>
  <si>
    <t>Quarry &amp; Concrete Product</t>
  </si>
  <si>
    <t>Unit/LM</t>
  </si>
  <si>
    <t>Rate/LM</t>
  </si>
  <si>
    <t>Total Req.</t>
  </si>
  <si>
    <t>Drainage Use</t>
  </si>
  <si>
    <t>Fire/WAT Use</t>
  </si>
  <si>
    <t>SPK Use</t>
  </si>
  <si>
    <t>5-7mm Stone</t>
  </si>
  <si>
    <t>Ton</t>
  </si>
  <si>
    <t>m3</t>
  </si>
  <si>
    <t>10-12mm Stone</t>
  </si>
  <si>
    <t>80-110mm Stone</t>
  </si>
  <si>
    <t>Medium River / Bed Sand</t>
  </si>
  <si>
    <t>CBR15 Road Base</t>
  </si>
  <si>
    <t>CBR45</t>
  </si>
  <si>
    <t>LEANMIX</t>
  </si>
  <si>
    <t>TCS</t>
  </si>
  <si>
    <t>Q2</t>
  </si>
  <si>
    <t>T</t>
  </si>
  <si>
    <t>LEANMIX_20mm-12:1</t>
  </si>
  <si>
    <t>M3</t>
  </si>
  <si>
    <t>Concrete_25/20/80</t>
  </si>
  <si>
    <t>CONTRACTOR TO LOCATE AND ASSESS EXISTING SEWER PUMP STATION PERFORMANCE, CONDITION AND CAPACITY. CONTRACTOR TO ALLOW ALL COSTS TO RELOCATE AND REINSTATE SEWER PUMP STATION AND ALL ASSOCIATED EQUIPMENT AWAY FROM NEW TRADES BUILDING'S FOOTPRINT (ROK 92 )</t>
  </si>
  <si>
    <t>Reducing Tee 63mm x 50mm</t>
  </si>
  <si>
    <t>63MM HDPE X 50MM COPPER TRANSITION</t>
  </si>
  <si>
    <t>B-PRESS WATER ELBOW         90DEG X 25MM (EA)</t>
  </si>
  <si>
    <t>EA</t>
  </si>
  <si>
    <t xml:space="preserve">63 Valve in Pit </t>
  </si>
  <si>
    <t xml:space="preserve">100mm Cu Copper Pipe </t>
  </si>
  <si>
    <t>TMV1  AQUABLEND 1000
(ATM710</t>
  </si>
  <si>
    <t>TMV 2   AQUABLEND 1000
(ATMS710H-350)</t>
  </si>
  <si>
    <t>Flag up replacing existing cold water booster pump (lvl 3)</t>
  </si>
  <si>
    <t>40 Cu Above Grnd</t>
  </si>
  <si>
    <t>32mmX 15  Cu WAT Crimp Reducer</t>
  </si>
  <si>
    <t>15 Cu Above Grnd</t>
  </si>
  <si>
    <t xml:space="preserve">20MM TEMPERING VALVE </t>
  </si>
  <si>
    <t xml:space="preserve">32mm Isolavtive valve </t>
  </si>
  <si>
    <t>DWV BEND 65X 45 DEG</t>
  </si>
  <si>
    <t xml:space="preserve">B33 dark room neutralisation box + RPZDs  ( rok 33 drainage on ground ) did not see any equipment needed on drawing </t>
  </si>
  <si>
    <t>DWV PIPE REDUCER 100 X 65mm</t>
  </si>
  <si>
    <t xml:space="preserve">25mm Cu Copper Above Ground </t>
  </si>
  <si>
    <t xml:space="preserve">25mm CU Tee </t>
  </si>
  <si>
    <t xml:space="preserve">75 PE 65 Copper Transition </t>
  </si>
  <si>
    <t>65 Cu Above Grnd</t>
  </si>
  <si>
    <t>B-PRESS WATER EQUAL TEE  65MM (EA)</t>
  </si>
  <si>
    <t>B-PRESS WATER EQUAL TEE  50MM (EA)</t>
  </si>
  <si>
    <t>B-PRESS WATER EQUAL TEE  40MM (EA)</t>
  </si>
  <si>
    <t>B-PRESS WATER EQUAL TEE  15MM (EA)</t>
  </si>
  <si>
    <t xml:space="preserve">65 x 50 Cu reducer </t>
  </si>
  <si>
    <t>50mmX 40 Cu WAT Crimp Reducer</t>
  </si>
  <si>
    <t xml:space="preserve">	50mmX 32 Cu WAT Crimp Reducer</t>
  </si>
  <si>
    <t xml:space="preserve">	50mmX 25 Cu WAT Crimp Reducer</t>
  </si>
  <si>
    <t xml:space="preserve">	50mmX 20 Cu WAT Crimp Reducer</t>
  </si>
  <si>
    <t xml:space="preserve">	50mmX 15 Cu WAT Crimp Reducer</t>
  </si>
  <si>
    <t>40mmX 32  Cu WAT Crimp Reducer</t>
  </si>
  <si>
    <t>40mmX 20  Cu WAT Crimp Reducer</t>
  </si>
  <si>
    <t>32mmX 20  Cu WAT Crimp Reducer</t>
  </si>
  <si>
    <t>25mmX 20  Cu WAT Crimp Reducer</t>
  </si>
  <si>
    <t>Kembla copper  WATER ELBOW         90DEG X 40MM (EA)</t>
  </si>
  <si>
    <t>TMV 2  AQUABLEND 1000
(ATMS710H-350)</t>
  </si>
  <si>
    <t>TV1 Tempering Valve sized to suit the nominated pipe size.</t>
  </si>
  <si>
    <t>TV2 	Tempering Valve sized to suit the nominated pipe size. Does not require a wall box.</t>
  </si>
  <si>
    <t xml:space="preserve">Allow for filter </t>
  </si>
  <si>
    <t xml:space="preserve">Gas Service  - </t>
  </si>
  <si>
    <t xml:space="preserve">80mm COPPER Pipe </t>
  </si>
  <si>
    <t>80mm Cu tee</t>
  </si>
  <si>
    <t xml:space="preserve">	80mmX 65 Cu REDUCER</t>
  </si>
  <si>
    <t xml:space="preserve">80mm cu 90 deg elbow </t>
  </si>
  <si>
    <t xml:space="preserve">65mm Copper Pipe </t>
  </si>
  <si>
    <t>65mm Cu tee</t>
  </si>
  <si>
    <t xml:space="preserve">65mm cu 90 deg elbow </t>
  </si>
  <si>
    <t xml:space="preserve">	65mmX 50 Cu REDUCER</t>
  </si>
  <si>
    <t xml:space="preserve">50mm Coper Pipe </t>
  </si>
  <si>
    <t xml:space="preserve">50mm cu 90 deg elbow </t>
  </si>
  <si>
    <t>50mm Cu tee</t>
  </si>
  <si>
    <t xml:space="preserve">40mm Ciper pipe </t>
  </si>
  <si>
    <t>40mmX 32 Cu WAT Crimp Reducer</t>
  </si>
  <si>
    <t>40mm Cu tee</t>
  </si>
  <si>
    <t xml:space="preserve">40mm cu 90 deg elbow </t>
  </si>
  <si>
    <t xml:space="preserve">32mm Copper pipe </t>
  </si>
  <si>
    <t>32mm Cu tee</t>
  </si>
  <si>
    <t xml:space="preserve">32mm cu 90 deg elbow </t>
  </si>
  <si>
    <t xml:space="preserve">25mm Copper pipe </t>
  </si>
  <si>
    <t xml:space="preserve">25mm cu 90 deg elbow </t>
  </si>
  <si>
    <t>25mm Cu tee</t>
  </si>
  <si>
    <t>GAS EMERGENCYU SHUT OFF VALVE</t>
  </si>
  <si>
    <t xml:space="preserve">LEVER BALL VALVE F-F AGA 15MM NON DR BRASS						
</t>
  </si>
  <si>
    <t>LEVER BALL VALVE F-F AGA 20MM NON DR BRASS</t>
  </si>
  <si>
    <t>LEVER BALL VALVE F-F AGA 25MM NON DR BRASS</t>
  </si>
  <si>
    <t>LEVER BALL VALVE F-F AGA 32MM NON DR BRASS</t>
  </si>
  <si>
    <t>LEVER BALL VALVE F-F AGA 40MM NON DR BRASS</t>
  </si>
  <si>
    <t>LEVER BALL VALVE F-F AGA 50MM NON DR BRASS</t>
  </si>
  <si>
    <t>LEVER BALL VALVE F-F AGA 65MM NON DR BRASS</t>
  </si>
  <si>
    <t>LEVER BALL VALVE F-F AGA 80MM NON DR BRASS</t>
  </si>
  <si>
    <t xml:space="preserve">GIV 100mm gas valve </t>
  </si>
  <si>
    <t>LEVER BALL VALVE F-F AGA 10MM BRASS</t>
  </si>
  <si>
    <t xml:space="preserve">65mm 45 Deg PVC JUNCTIONM </t>
  </si>
  <si>
    <t>110 HDPE (TRADE WASTE DRAIN )</t>
  </si>
  <si>
    <t>110 HDPE 90 Deg Bend ( TRADE WASTE )</t>
  </si>
  <si>
    <t>100mm HDPE (Trde waste drain )</t>
  </si>
  <si>
    <t>100mm 90 deg bend (trade waste drain )</t>
  </si>
  <si>
    <t>100mm 45 deg (trade wasste drain )</t>
  </si>
  <si>
    <t xml:space="preserve">IOS </t>
  </si>
  <si>
    <t>REPLACING EXIXING FIXTURES  REINSTAITE CONNECTION (BUIDING 36 DRANAGE L 1)</t>
  </si>
  <si>
    <t>Grease interceptor, pretreatment, RPZD, washdown n and final authority sizing likely still fluid.</t>
  </si>
  <si>
    <t>(only grease interceptor capterueed on front page )</t>
  </si>
  <si>
    <t>AS2000 SS Edge Polymer Concrete 
Channel</t>
  </si>
  <si>
    <t>223mm Cl B 304 Stainless Steel HG 
Grate</t>
  </si>
  <si>
    <t>ASC/LSC 2000 End Cap SS#304</t>
  </si>
  <si>
    <t xml:space="preserve">32mm cu copper line </t>
  </si>
  <si>
    <t xml:space="preserve">90 HDPE PE100 PN 16 -Blueline </t>
  </si>
  <si>
    <t>63MM PE X 50MM COPPER TRANSITION</t>
  </si>
  <si>
    <t>63MM PE X 20MM COPPER TRANSITION</t>
  </si>
  <si>
    <t>EF Reducer 63mm x 32mm</t>
  </si>
  <si>
    <t>63mm Tee</t>
  </si>
  <si>
    <t>32mmX 25 Cu WAT Crimp Reducer</t>
  </si>
  <si>
    <t>32mmX 20 Cu WAT Crimp Reducer</t>
  </si>
  <si>
    <t xml:space="preserve">63 valve in pit </t>
  </si>
  <si>
    <t xml:space="preserve">flag up 1 : pre-fab amenitties and drainage to them </t>
  </si>
  <si>
    <t xml:space="preserve">flag up 2 : allow all cost to new drainage to new store area , has alrady allowed extra </t>
  </si>
  <si>
    <t>SWGP (1) 300 X300 x450</t>
  </si>
  <si>
    <t xml:space="preserve">SWGP (3) 600mm x 600mm x
900mm (DEEP) allow for 1 riser </t>
  </si>
  <si>
    <t>flag up for RWHT 2 (RAIWNATER TANK ) ,tank in front page captured , so allow for 150 mm mosquito</t>
  </si>
  <si>
    <t xml:space="preserve">flag up : allow for first flush system to tanks inlet </t>
  </si>
  <si>
    <t xml:space="preserve">flag up draiange providon for out planting area ,allow for cost </t>
  </si>
  <si>
    <t xml:space="preserve">allow for drainage providison for shade green hosue planting area </t>
  </si>
  <si>
    <t xml:space="preserve">allwof for drainage provisionfor propagation area </t>
  </si>
  <si>
    <t xml:space="preserve">allow for drainage provision for green house and out door planting area </t>
  </si>
  <si>
    <t>Misc</t>
  </si>
  <si>
    <t>FIRE SERVICES - IN GROUND</t>
  </si>
  <si>
    <t>COMPLETED don’t edit</t>
  </si>
  <si>
    <t>PE Pipe Scraper/Peeler - 125-250mmPE.Please detail Spec</t>
  </si>
  <si>
    <t>PE Butt Welder. Automatic. 125-250mmPE. Please detail Spec</t>
  </si>
  <si>
    <t>Quarry / Gravels / Landscape</t>
  </si>
  <si>
    <t>Bedding / Fill Sand</t>
  </si>
  <si>
    <t>CBR 45/2.5 Roadbase</t>
  </si>
  <si>
    <t>Turf Underlay/Topsoil</t>
  </si>
  <si>
    <t>Standard Garden Woodchip</t>
  </si>
  <si>
    <t>Turf - Standard Couch or Similar</t>
  </si>
  <si>
    <t>Slab (.5m2)</t>
  </si>
  <si>
    <t>Concrete Product</t>
  </si>
  <si>
    <t>Cement Stabalized Sand (3-5%)</t>
  </si>
  <si>
    <t>Exposed Agg Concrete - Standard/Cheapest Exposed Agg Stone</t>
  </si>
  <si>
    <t>N25 20mm 80 Slump Concrete</t>
  </si>
  <si>
    <t>Asphalt</t>
  </si>
  <si>
    <t>50mm Thick Roadway</t>
  </si>
  <si>
    <t>Avrg Trench = .900D*.500W</t>
  </si>
  <si>
    <t>L/M of Inground Pipe</t>
  </si>
  <si>
    <t>L/M of Tunnel Bore</t>
  </si>
  <si>
    <t>Spoil Removal</t>
  </si>
  <si>
    <t>Spoil Factor;</t>
  </si>
  <si>
    <t>Average Trench Dimensions</t>
  </si>
  <si>
    <t>Bollard Concrete</t>
  </si>
  <si>
    <t>m3/B</t>
  </si>
  <si>
    <t>Set</t>
  </si>
  <si>
    <t>Fill</t>
  </si>
  <si>
    <t>Base Slab Concrete</t>
  </si>
  <si>
    <t>m3/Base</t>
  </si>
  <si>
    <t>Above Grnd Pole-Bracket Concrete</t>
  </si>
  <si>
    <t>TCS PROJECT USE</t>
  </si>
  <si>
    <t>DESCRIPTION</t>
  </si>
  <si>
    <t>WEEKLY (5 day)</t>
  </si>
  <si>
    <t>DENIS - Cells highlighted GREEN are complete (By Me).</t>
  </si>
  <si>
    <t>Hr Rate</t>
  </si>
  <si>
    <t xml:space="preserve"> Ripper 3.5-4T</t>
  </si>
  <si>
    <t xml:space="preserve">     5t Excavator</t>
  </si>
  <si>
    <t>SURVEYOR</t>
  </si>
  <si>
    <t>Hr Rate?</t>
  </si>
  <si>
    <t>Site Field Surveyor for all works preformed</t>
  </si>
  <si>
    <t>SERVICES LOCATOR</t>
  </si>
  <si>
    <t xml:space="preserve">Standard Rate (includes wand, GPR) </t>
  </si>
  <si>
    <t>CONCRETE CUTTER</t>
  </si>
  <si>
    <t>Lm Rate</t>
  </si>
  <si>
    <t>Asphalt Cutting</t>
  </si>
  <si>
    <t>Concrete Cutting</t>
  </si>
  <si>
    <t>Site Establishment Fee (2 per stage)</t>
  </si>
  <si>
    <t>CONCRETING SERVICES</t>
  </si>
  <si>
    <t>ASPHALT SERVICES</t>
  </si>
  <si>
    <t>Establishment Fee (1 per stage)</t>
  </si>
  <si>
    <t>SOIL TESTING &amp; GEO</t>
  </si>
  <si>
    <t>Compaction Testing</t>
  </si>
  <si>
    <t>Site Establishment (3 per stage)</t>
  </si>
  <si>
    <t>FIRE TESTING / CERTIFICATION</t>
  </si>
  <si>
    <t>Sprinkler Fitter</t>
  </si>
  <si>
    <t>Sprinkler Apprentice</t>
  </si>
  <si>
    <t>Hydrostatic Test Equip</t>
  </si>
  <si>
    <t>Booster Pump Appliance</t>
  </si>
  <si>
    <t>FULL Boost Test - Per Test (8.5Hr - 2 x fitter, 1 x apprentice, 1 day Pump)</t>
  </si>
  <si>
    <r>
      <t xml:space="preserve">Misc. Project Rates (ROCHAMPTON) </t>
    </r>
    <r>
      <rPr>
        <b/>
        <sz val="10"/>
        <color rgb="FFFF0000"/>
        <rFont val="Arial"/>
        <family val="2"/>
      </rPr>
      <t>- Master</t>
    </r>
  </si>
  <si>
    <t>All EX GST</t>
  </si>
  <si>
    <t>Total EX GST</t>
  </si>
  <si>
    <r>
      <rPr>
        <b/>
        <sz val="8"/>
        <rFont val="Arial"/>
        <family val="2"/>
      </rPr>
      <t>Flight Costs</t>
    </r>
    <r>
      <rPr>
        <sz val="8"/>
        <rFont val="Arial"/>
        <family val="2"/>
      </rPr>
      <t>; Qantas, 1-Way, No Check in Luggage</t>
    </r>
  </si>
  <si>
    <t>Ea.</t>
  </si>
  <si>
    <t>Average $220 Incl GST per flight</t>
  </si>
  <si>
    <r>
      <t xml:space="preserve">Hire Car; </t>
    </r>
    <r>
      <rPr>
        <sz val="8"/>
        <rFont val="Arial"/>
        <family val="2"/>
      </rPr>
      <t>Budget, Airport Pick/Drop,</t>
    </r>
    <r>
      <rPr>
        <b/>
        <sz val="8"/>
        <rFont val="Arial"/>
        <family val="2"/>
      </rPr>
      <t xml:space="preserve"> NOT UTE,</t>
    </r>
    <r>
      <rPr>
        <sz val="8"/>
        <rFont val="Arial"/>
        <family val="2"/>
      </rPr>
      <t xml:space="preserve"> No Fuel</t>
    </r>
  </si>
  <si>
    <r>
      <rPr>
        <b/>
        <sz val="8"/>
        <rFont val="Arial"/>
        <family val="2"/>
      </rPr>
      <t>Transport (TCS Cost);</t>
    </r>
    <r>
      <rPr>
        <sz val="8"/>
        <rFont val="Arial"/>
        <family val="2"/>
      </rPr>
      <t xml:space="preserve"> Airport-Site/Accom, Cab/Staff Pickup</t>
    </r>
  </si>
  <si>
    <t>Avg</t>
  </si>
  <si>
    <t>HD</t>
  </si>
  <si>
    <r>
      <rPr>
        <b/>
        <sz val="8"/>
        <rFont val="Arial"/>
        <family val="2"/>
      </rPr>
      <t>TCS Fuel;</t>
    </r>
    <r>
      <rPr>
        <sz val="8"/>
        <rFont val="Arial"/>
        <family val="2"/>
      </rPr>
      <t xml:space="preserve"> $/Km</t>
    </r>
  </si>
  <si>
    <t>Km</t>
  </si>
  <si>
    <r>
      <rPr>
        <b/>
        <sz val="8"/>
        <rFont val="Arial"/>
        <family val="2"/>
      </rPr>
      <t>TCS Vehicle Running Costs;</t>
    </r>
    <r>
      <rPr>
        <sz val="8"/>
        <rFont val="Arial"/>
        <family val="2"/>
      </rPr>
      <t xml:space="preserve"> $/Km ($3,800/Yr, 35,000Kms/Yr)</t>
    </r>
  </si>
  <si>
    <t>Bris -&gt; Rok - Courier - UTE</t>
  </si>
  <si>
    <t>Bris -&gt; Rok - Courier - Std Truck</t>
  </si>
  <si>
    <t>Bris -&gt; Rok - Courier - Flat Bed (Container/Machine)</t>
  </si>
  <si>
    <t>BASED ON:</t>
  </si>
  <si>
    <t>STAFF</t>
  </si>
  <si>
    <t>** for Roster Examples # 3</t>
  </si>
  <si>
    <t>MONTH</t>
  </si>
  <si>
    <t>QTY Staff in Crew</t>
  </si>
  <si>
    <t>`</t>
  </si>
  <si>
    <t>FULL team, FULL Duration, as per Program</t>
  </si>
  <si>
    <t>ACCOMODATION</t>
  </si>
  <si>
    <t>*Changed to ex GST</t>
  </si>
  <si>
    <t>NIGHT</t>
  </si>
  <si>
    <t>Individual - PER PERSON</t>
  </si>
  <si>
    <t>INCLUDING GST (UNLESS NOTED OTHERWISE)</t>
  </si>
  <si>
    <t>TCS Accomodation Rates &amp; Costs</t>
  </si>
  <si>
    <t xml:space="preserve">Hotel / Motel </t>
  </si>
  <si>
    <t>Sngl Night</t>
  </si>
  <si>
    <t>Qtr</t>
  </si>
  <si>
    <t>1 x Unit, 1 x Room</t>
  </si>
  <si>
    <t>Motel Unit</t>
  </si>
  <si>
    <t>Private Unit</t>
  </si>
  <si>
    <t>Hidden</t>
  </si>
  <si>
    <t>No. of persons stayng;</t>
  </si>
  <si>
    <t>Furnished</t>
  </si>
  <si>
    <t>YES</t>
  </si>
  <si>
    <t>*Serviced</t>
  </si>
  <si>
    <t>Individual/Private BATHROOM</t>
  </si>
  <si>
    <t>Individual/Private KITCHEN (Cooking) Faciliities Available - Microwave min.</t>
  </si>
  <si>
    <t>Individual/Private LAUNDRY Facilities Available</t>
  </si>
  <si>
    <t>Individual/Private LOUNGE ROOM Facilities Available</t>
  </si>
  <si>
    <t xml:space="preserve">Total Booking Cost </t>
  </si>
  <si>
    <t>TCS Housing Consumables; …..</t>
  </si>
  <si>
    <t>TCS Laundry Allowance..?</t>
  </si>
  <si>
    <t>TCS Additional Meals Allowance (If no cooking Facilities?)</t>
  </si>
  <si>
    <t>TCS Furnishings?</t>
  </si>
  <si>
    <t>TCS Cleaning/Servincing Allowance?</t>
  </si>
  <si>
    <t>Total TCS Cost</t>
  </si>
  <si>
    <t>Total Cost Per Person</t>
  </si>
  <si>
    <t>Share Rooms</t>
  </si>
  <si>
    <t>NO</t>
  </si>
  <si>
    <t>Share with Unit</t>
  </si>
  <si>
    <t>1 x Unit, 2 x Room</t>
  </si>
  <si>
    <t>Share House'</t>
  </si>
  <si>
    <t>Full Apartment / Cabin / Villa (Tourist/Caravan Park)</t>
  </si>
  <si>
    <t>*CABIN</t>
  </si>
  <si>
    <t>** Pool, BBQ, Games etc etc?</t>
  </si>
  <si>
    <t>*UNIT/VILLA</t>
  </si>
  <si>
    <t>1 x Unit, 3 x Room</t>
  </si>
  <si>
    <t>Full Apartment / TownHouse (Private/AirBnB)</t>
  </si>
  <si>
    <t>T'House</t>
  </si>
  <si>
    <t>Fortnightly</t>
  </si>
  <si>
    <t>2 of</t>
  </si>
  <si>
    <t>Full Apartment / TownHouse / Unit - VIA AGENT</t>
  </si>
  <si>
    <t>House</t>
  </si>
  <si>
    <t>TCS Cost - Labour to set up, Fitout etc?</t>
  </si>
  <si>
    <t>1 x Unit, 4 x Room</t>
  </si>
  <si>
    <r>
      <t xml:space="preserve">OPTION AVERAGES - Per Person, Per </t>
    </r>
    <r>
      <rPr>
        <b/>
        <u/>
        <sz val="8"/>
        <rFont val="Arial"/>
        <family val="2"/>
      </rPr>
      <t>MONTH</t>
    </r>
    <r>
      <rPr>
        <b/>
        <sz val="8"/>
        <rFont val="Arial"/>
        <family val="2"/>
      </rPr>
      <t xml:space="preserve"> (No Project Roster Imapct)</t>
    </r>
  </si>
  <si>
    <r>
      <t xml:space="preserve">Single Hotel/Motel, </t>
    </r>
    <r>
      <rPr>
        <b/>
        <sz val="8"/>
        <color rgb="FFFF0000"/>
        <rFont val="Arial"/>
        <family val="2"/>
      </rPr>
      <t>Single Room - NO SHARE</t>
    </r>
  </si>
  <si>
    <r>
      <t xml:space="preserve">Single Hotel/Motel, </t>
    </r>
    <r>
      <rPr>
        <b/>
        <sz val="8"/>
        <color rgb="FFFF0000"/>
        <rFont val="Arial"/>
        <family val="2"/>
      </rPr>
      <t>Individual Rooms - SHARE HOUSE</t>
    </r>
  </si>
  <si>
    <r>
      <t xml:space="preserve">Single Hotel/Motel, </t>
    </r>
    <r>
      <rPr>
        <b/>
        <sz val="8"/>
        <color rgb="FFFF0000"/>
        <rFont val="Arial"/>
        <family val="2"/>
      </rPr>
      <t>ANY ROOM - SHARE ROOM</t>
    </r>
  </si>
  <si>
    <r>
      <t>Cabin/Flat/Unit_Tourist Park Type</t>
    </r>
    <r>
      <rPr>
        <b/>
        <sz val="8"/>
        <color rgb="FFFF0000"/>
        <rFont val="Arial"/>
        <family val="2"/>
      </rPr>
      <t>, Single Room - NO SHARE</t>
    </r>
  </si>
  <si>
    <r>
      <t>Cabin/Flat/Unit_Tourist Park Type,</t>
    </r>
    <r>
      <rPr>
        <b/>
        <sz val="8"/>
        <color rgb="FFFF0000"/>
        <rFont val="Arial"/>
        <family val="2"/>
      </rPr>
      <t xml:space="preserve"> Individual Rooms - SHARE HOUSE</t>
    </r>
  </si>
  <si>
    <r>
      <t xml:space="preserve">Cabin/Flat/Unit_Tourist Park Type, </t>
    </r>
    <r>
      <rPr>
        <b/>
        <sz val="8"/>
        <color rgb="FFFF0000"/>
        <rFont val="Arial"/>
        <family val="2"/>
      </rPr>
      <t>ANY ROOM - SHARE ROOM</t>
    </r>
  </si>
  <si>
    <r>
      <t>Unit / T'House / House_Serviced / Air BnB,</t>
    </r>
    <r>
      <rPr>
        <b/>
        <sz val="8"/>
        <color rgb="FFFF0000"/>
        <rFont val="Arial"/>
        <family val="2"/>
      </rPr>
      <t xml:space="preserve"> Individual Rooms - SHARE HOUSE</t>
    </r>
  </si>
  <si>
    <r>
      <t>Unit / T'House / House_Private / TCS Rental,</t>
    </r>
    <r>
      <rPr>
        <b/>
        <sz val="8"/>
        <color rgb="FFFF0000"/>
        <rFont val="Arial"/>
        <family val="2"/>
      </rPr>
      <t xml:space="preserve"> Individual Rooms - SHARE HOUSE</t>
    </r>
  </si>
  <si>
    <t>(Add 2.5 days for non-work days spent in accom)</t>
  </si>
  <si>
    <r>
      <t xml:space="preserve">OPTION AVERAGES - Per Person, Per </t>
    </r>
    <r>
      <rPr>
        <b/>
        <u/>
        <sz val="8"/>
        <rFont val="Arial"/>
        <family val="2"/>
      </rPr>
      <t>NIGHT</t>
    </r>
    <r>
      <rPr>
        <b/>
        <sz val="8"/>
        <rFont val="Arial"/>
        <family val="2"/>
      </rPr>
      <t xml:space="preserve"> (As Per Project Roster)</t>
    </r>
  </si>
  <si>
    <r>
      <t xml:space="preserve">Single Hotel/Motel, </t>
    </r>
    <r>
      <rPr>
        <b/>
        <sz val="8"/>
        <color theme="9"/>
        <rFont val="Arial"/>
        <family val="2"/>
      </rPr>
      <t>Private Unit</t>
    </r>
    <r>
      <rPr>
        <b/>
        <sz val="8"/>
        <color rgb="FFFF0000"/>
        <rFont val="Arial"/>
        <family val="2"/>
      </rPr>
      <t xml:space="preserve"> - NO SHARE</t>
    </r>
  </si>
  <si>
    <t>Nightly Book</t>
  </si>
  <si>
    <r>
      <t xml:space="preserve">Single Hotel/Motel, </t>
    </r>
    <r>
      <rPr>
        <b/>
        <sz val="8"/>
        <color theme="5"/>
        <rFont val="Arial"/>
        <family val="2"/>
      </rPr>
      <t>Individual Rooms</t>
    </r>
    <r>
      <rPr>
        <b/>
        <sz val="8"/>
        <color rgb="FFFF0000"/>
        <rFont val="Arial"/>
        <family val="2"/>
      </rPr>
      <t xml:space="preserve"> - SHARE HOUSE</t>
    </r>
  </si>
  <si>
    <r>
      <t xml:space="preserve">Single Hotel/Motel, </t>
    </r>
    <r>
      <rPr>
        <b/>
        <strike/>
        <sz val="8"/>
        <color rgb="FFFF0000"/>
        <rFont val="Arial"/>
        <family val="2"/>
      </rPr>
      <t>ANY ROOM - SHARE ROOM</t>
    </r>
  </si>
  <si>
    <r>
      <t>Cabin/Flat/Unit_Tourist Park Type</t>
    </r>
    <r>
      <rPr>
        <b/>
        <sz val="8"/>
        <color rgb="FFFF0000"/>
        <rFont val="Arial"/>
        <family val="2"/>
      </rPr>
      <t xml:space="preserve">, </t>
    </r>
    <r>
      <rPr>
        <b/>
        <sz val="8"/>
        <color theme="9"/>
        <rFont val="Arial"/>
        <family val="2"/>
      </rPr>
      <t>Private Unit</t>
    </r>
    <r>
      <rPr>
        <b/>
        <sz val="8"/>
        <color rgb="FFFF0000"/>
        <rFont val="Arial"/>
        <family val="2"/>
      </rPr>
      <t xml:space="preserve"> - NO SHARE</t>
    </r>
  </si>
  <si>
    <r>
      <t>Cabin/Flat/Unit_Tourist Park Type,</t>
    </r>
    <r>
      <rPr>
        <b/>
        <sz val="8"/>
        <color rgb="FFFF0000"/>
        <rFont val="Arial"/>
        <family val="2"/>
      </rPr>
      <t xml:space="preserve"> </t>
    </r>
    <r>
      <rPr>
        <b/>
        <sz val="8"/>
        <color theme="5"/>
        <rFont val="Arial"/>
        <family val="2"/>
      </rPr>
      <t>Individual Rooms</t>
    </r>
    <r>
      <rPr>
        <b/>
        <sz val="8"/>
        <color rgb="FFFF0000"/>
        <rFont val="Arial"/>
        <family val="2"/>
      </rPr>
      <t xml:space="preserve"> - SHARE HOUSE</t>
    </r>
  </si>
  <si>
    <t>Long-stay Book</t>
  </si>
  <si>
    <r>
      <t xml:space="preserve">Cabin/Flat/Unit_Tourist Park Type, </t>
    </r>
    <r>
      <rPr>
        <b/>
        <strike/>
        <sz val="8"/>
        <color rgb="FFFF0000"/>
        <rFont val="Arial"/>
        <family val="2"/>
      </rPr>
      <t>ANY ROOM - SHARE ROOM</t>
    </r>
  </si>
  <si>
    <r>
      <t>Unit / T'House / House_Serviced / Air BnB,</t>
    </r>
    <r>
      <rPr>
        <b/>
        <sz val="8"/>
        <color rgb="FFFF0000"/>
        <rFont val="Arial"/>
        <family val="2"/>
      </rPr>
      <t xml:space="preserve"> </t>
    </r>
    <r>
      <rPr>
        <b/>
        <sz val="8"/>
        <color theme="5"/>
        <rFont val="Arial"/>
        <family val="2"/>
      </rPr>
      <t>Individual Rooms</t>
    </r>
    <r>
      <rPr>
        <b/>
        <sz val="8"/>
        <color rgb="FFFF0000"/>
        <rFont val="Arial"/>
        <family val="2"/>
      </rPr>
      <t xml:space="preserve"> - SHARE HOUSE</t>
    </r>
  </si>
  <si>
    <r>
      <t>Unit / T'House / House_Private / TCS Rental,</t>
    </r>
    <r>
      <rPr>
        <b/>
        <sz val="8"/>
        <color rgb="FFFF0000"/>
        <rFont val="Arial"/>
        <family val="2"/>
      </rPr>
      <t xml:space="preserve"> </t>
    </r>
    <r>
      <rPr>
        <b/>
        <sz val="8"/>
        <color theme="5"/>
        <rFont val="Arial"/>
        <family val="2"/>
      </rPr>
      <t>Individual Rooms</t>
    </r>
    <r>
      <rPr>
        <b/>
        <sz val="8"/>
        <color rgb="FFFF0000"/>
        <rFont val="Arial"/>
        <family val="2"/>
      </rPr>
      <t xml:space="preserve"> - SHARE HOUSE</t>
    </r>
  </si>
  <si>
    <t>Roster Averages</t>
  </si>
  <si>
    <r>
      <t xml:space="preserve">TCS Cost Per Person - </t>
    </r>
    <r>
      <rPr>
        <b/>
        <sz val="8"/>
        <color theme="9"/>
        <rFont val="Arial"/>
        <family val="2"/>
      </rPr>
      <t>Private Unit</t>
    </r>
    <r>
      <rPr>
        <b/>
        <sz val="8"/>
        <rFont val="Arial"/>
        <family val="2"/>
      </rPr>
      <t xml:space="preserve"> - </t>
    </r>
    <r>
      <rPr>
        <b/>
        <sz val="8"/>
        <color rgb="FFFF0000"/>
        <rFont val="Arial"/>
        <family val="2"/>
      </rPr>
      <t>NO SHARE</t>
    </r>
    <r>
      <rPr>
        <b/>
        <sz val="8"/>
        <rFont val="Arial"/>
        <family val="2"/>
      </rPr>
      <t xml:space="preserve"> - Nightly Booking (average allowance)</t>
    </r>
  </si>
  <si>
    <r>
      <t xml:space="preserve">TCS Cost Per Person - </t>
    </r>
    <r>
      <rPr>
        <b/>
        <sz val="8"/>
        <color theme="5"/>
        <rFont val="Arial"/>
        <family val="2"/>
      </rPr>
      <t>Individual Room</t>
    </r>
    <r>
      <rPr>
        <b/>
        <sz val="8"/>
        <rFont val="Arial"/>
        <family val="2"/>
      </rPr>
      <t xml:space="preserve"> - </t>
    </r>
    <r>
      <rPr>
        <b/>
        <sz val="8"/>
        <color rgb="FFFF0000"/>
        <rFont val="Arial"/>
        <family val="2"/>
      </rPr>
      <t>SHARE HOUSE</t>
    </r>
    <r>
      <rPr>
        <b/>
        <sz val="8"/>
        <rFont val="Arial"/>
        <family val="2"/>
      </rPr>
      <t xml:space="preserve"> - Nightly Booking (average allowance)</t>
    </r>
  </si>
  <si>
    <t>Crew #1 - InGround Drainage</t>
  </si>
  <si>
    <t>Crew #2 - InGround Water/Fire</t>
  </si>
  <si>
    <t>Crew #3 - Above Ground Drainage</t>
  </si>
  <si>
    <t>Crew #4 - Above Ground WATER/FIRE</t>
  </si>
  <si>
    <t>Crew #5 - Above Ground FitOff / Misc</t>
  </si>
  <si>
    <t>Crew #6 - DEMO</t>
  </si>
  <si>
    <t xml:space="preserve">*HIDDEN - Calc in below </t>
  </si>
  <si>
    <t>Fit-Off Material; Second floor</t>
  </si>
  <si>
    <t>\</t>
  </si>
  <si>
    <t>Ground Floor - InGround Services (Drainage, Water, Fire)</t>
  </si>
  <si>
    <t>Temps_ Plumbing Services and Connections for 'Typical' Construction temps</t>
  </si>
  <si>
    <t>ROK 092 _ Hydraulic &amp; Fire Services Complete</t>
  </si>
  <si>
    <t>ROK021A_ Hydraulic &amp; Fire Services Complete</t>
  </si>
  <si>
    <t>ROK019_ Hydraulic &amp; Fire Services Complete</t>
  </si>
  <si>
    <t>ROK033_ Hydraulic &amp; Fire Services Complete</t>
  </si>
  <si>
    <t>ROK034_ Hydraulic &amp; Fire Services Complete</t>
  </si>
  <si>
    <t>ROK036_ Hydraulic &amp; Fire Services Complete</t>
  </si>
  <si>
    <t>ROK076_ Hydraulic &amp; Fire Services Complete</t>
  </si>
  <si>
    <t>Supply Hydraulic Fixtures</t>
  </si>
  <si>
    <t>Hydraulic Services Design</t>
  </si>
  <si>
    <t>H</t>
  </si>
  <si>
    <t>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</si>
</sst>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164" formatCode="_(&quot;$&quot;* #,##0.00_);_(&quot;$&quot;* \(#,##0.00\);_(&quot;$&quot;* &quot;-&quot;??_);_(@_)"/>
    <numFmt numFmtId="165" formatCode="&quot;$&quot;#,##0.00"/>
    <numFmt numFmtId="166" formatCode="&quot;$&quot;#,##0"/>
    <numFmt numFmtId="167" formatCode="_-&quot;$&quot;* #,##0_-;\-&quot;$&quot;* #,##0_-;_-&quot;$&quot;* &quot;-&quot;??_-;_-@_-"/>
    <numFmt numFmtId="168" formatCode="0.0%"/>
  </numFmts>
  <fonts count="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8"/>
      <name val="Arial"/>
      <family val="2"/>
    </font>
    <font>
      <b/>
      <u/>
      <sz val="8"/>
      <name val="Arial"/>
      <family val="2"/>
    </font>
    <font>
      <b/>
      <sz val="10"/>
      <name val="Arial"/>
      <family val="2"/>
    </font>
    <font>
      <sz val="10"/>
      <name val="Arial"/>
      <family val="2"/>
    </font>
    <font>
      <sz val="7"/>
      <name val="Arial"/>
      <family val="2"/>
    </font>
    <font>
      <i/>
      <sz val="8"/>
      <name val="Arial"/>
      <family val="2"/>
    </font>
    <font>
      <u/>
      <sz val="8"/>
      <name val="Arial"/>
      <family val="2"/>
    </font>
    <font>
      <b/>
      <sz val="8"/>
      <color rgb="FFFF0000"/>
      <name val="Arial"/>
      <family val="2"/>
    </font>
    <font>
      <b/>
      <u val="singleAccounting"/>
      <sz val="8"/>
      <name val="Arial"/>
      <family val="2"/>
    </font>
    <font>
      <b/>
      <u/>
      <sz val="11"/>
      <name val="Arial"/>
      <family val="2"/>
    </font>
    <font>
      <b/>
      <u/>
      <sz val="10"/>
      <name val="Arial"/>
      <family val="2"/>
    </font>
    <font>
      <i/>
      <sz val="10"/>
      <name val="Arial"/>
      <family val="2"/>
    </font>
    <font>
      <b/>
      <i/>
      <sz val="10"/>
      <name val="Arial"/>
      <family val="2"/>
    </font>
    <font>
      <b/>
      <sz val="8"/>
      <color theme="5"/>
      <name val="Arial"/>
      <family val="2"/>
    </font>
    <font>
      <b/>
      <sz val="10"/>
      <color rgb="FFFF0000"/>
      <name val="Arial"/>
      <family val="2"/>
    </font>
    <font>
      <b/>
      <u/>
      <sz val="8"/>
      <color rgb="FFFF0000"/>
      <name val="Arial"/>
      <family val="2"/>
    </font>
    <font>
      <sz val="8"/>
      <color theme="9"/>
      <name val="Arial"/>
      <family val="2"/>
    </font>
    <font>
      <sz val="8"/>
      <color rgb="FFFF0000"/>
      <name val="Arial"/>
      <family val="2"/>
    </font>
    <font>
      <i/>
      <sz val="8"/>
      <color theme="5"/>
      <name val="Arial"/>
      <family val="2"/>
    </font>
    <font>
      <sz val="11"/>
      <color rgb="FFFF0000"/>
      <name val="Calibri"/>
      <family val="2"/>
      <scheme val="minor"/>
    </font>
    <font>
      <b/>
      <sz val="11"/>
      <color theme="1"/>
      <name val="Calibri"/>
      <family val="2"/>
      <scheme val="minor"/>
    </font>
    <font>
      <b/>
      <u/>
      <sz val="11"/>
      <color theme="1"/>
      <name val="Calibri"/>
      <family val="2"/>
      <scheme val="minor"/>
    </font>
    <font>
      <sz val="10"/>
      <name val="Arial"/>
      <family val="2"/>
    </font>
    <font>
      <b/>
      <sz val="10"/>
      <name val="Century Gothic"/>
      <family val="2"/>
    </font>
    <font>
      <b/>
      <sz val="10"/>
      <name val="Calibri Light"/>
      <family val="2"/>
      <scheme val="major"/>
    </font>
    <font>
      <sz val="9"/>
      <color theme="1"/>
      <name val="Calibri"/>
      <family val="2"/>
      <scheme val="minor"/>
    </font>
    <font>
      <b/>
      <sz val="9"/>
      <name val="Century Gothic"/>
      <family val="2"/>
    </font>
    <font>
      <sz val="9"/>
      <name val="Century Gothic"/>
      <family val="2"/>
    </font>
    <font>
      <b/>
      <sz val="12"/>
      <color theme="5"/>
      <name val="Century Gothic"/>
      <family val="2"/>
    </font>
    <font>
      <i/>
      <sz val="8"/>
      <color rgb="FF0070C0"/>
      <name val="Arial"/>
      <family val="2"/>
    </font>
    <font>
      <sz val="9"/>
      <color theme="5"/>
      <name val="Calibri"/>
      <family val="2"/>
      <scheme val="minor"/>
    </font>
    <font>
      <b/>
      <sz val="9"/>
      <color theme="5"/>
      <name val="Century Gothic"/>
      <family val="2"/>
    </font>
    <font>
      <b/>
      <strike/>
      <sz val="8"/>
      <name val="Arial"/>
      <family val="2"/>
    </font>
    <font>
      <b/>
      <strike/>
      <sz val="8"/>
      <color rgb="FFFF0000"/>
      <name val="Arial"/>
      <family val="2"/>
    </font>
    <font>
      <b/>
      <sz val="14"/>
      <name val="Arial"/>
      <family val="2"/>
    </font>
    <font>
      <b/>
      <sz val="8"/>
      <color theme="9"/>
      <name val="Arial"/>
      <family val="2"/>
    </font>
    <font>
      <b/>
      <sz val="12"/>
      <name val="Arial"/>
      <family val="2"/>
    </font>
    <font>
      <b/>
      <u/>
      <sz val="8"/>
      <color theme="5"/>
      <name val="Arial"/>
      <family val="2"/>
    </font>
    <font>
      <sz val="18"/>
      <name val="Arial"/>
      <family val="2"/>
    </font>
    <font>
      <sz val="9"/>
      <name val="Calibri"/>
      <family val="2"/>
      <scheme val="minor"/>
    </font>
    <font>
      <b/>
      <sz val="8"/>
      <color theme="0"/>
      <name val="Arial"/>
      <family val="2"/>
    </font>
    <font>
      <sz val="8"/>
      <color theme="1"/>
      <name val="Arial"/>
      <family val="2"/>
    </font>
    <font>
      <b/>
      <u/>
      <sz val="8"/>
      <color theme="1"/>
      <name val="Arial"/>
      <family val="2"/>
    </font>
    <font>
      <sz val="8"/>
      <color theme="0"/>
      <name val="Arial"/>
      <family val="2"/>
    </font>
    <font>
      <sz val="11"/>
      <color rgb="FF000000"/>
      <name val="Segoe UI"/>
      <family val="2"/>
    </font>
    <font>
      <sz val="11"/>
      <name val="Calibri"/>
      <family val="2"/>
      <scheme val="minor"/>
    </font>
    <font>
      <b/>
      <u/>
      <sz val="11"/>
      <color rgb="FFFF0000"/>
      <name val="Calibri"/>
      <family val="2"/>
      <scheme val="minor"/>
    </font>
    <font>
      <strike/>
      <sz val="8"/>
      <name val="Arial"/>
      <family val="2"/>
    </font>
    <font>
      <sz val="12"/>
      <color theme="0"/>
      <name val="Arial"/>
      <family val="2"/>
    </font>
    <font>
      <sz val="11"/>
      <color rgb="FF000000"/>
      <name val="Calibri"/>
      <family val="2"/>
      <scheme val="minor"/>
    </font>
    <font>
      <sz val="8"/>
      <name val="Calibri"/>
      <family val="2"/>
      <scheme val="minor"/>
    </font>
    <font>
      <sz val="12"/>
      <name val="Arial"/>
      <family val="2"/>
    </font>
    <font>
      <sz val="9"/>
      <name val="Arial"/>
      <family val="2"/>
    </font>
    <font>
      <sz val="9"/>
      <color rgb="FF000000"/>
      <name val="Arial"/>
      <family val="2"/>
    </font>
  </fonts>
  <fills count="31">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6"/>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rgb="FF7030A0"/>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bgColor indexed="64"/>
      </patternFill>
    </fill>
    <fill>
      <patternFill patternType="solid">
        <fgColor theme="8" tint="0.39997558519241921"/>
        <bgColor indexed="64"/>
      </patternFill>
    </fill>
    <fill>
      <patternFill patternType="solid">
        <fgColor rgb="FF00B05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7"/>
        <bgColor indexed="64"/>
      </patternFill>
    </fill>
  </fills>
  <borders count="29">
    <border>
      <left/>
      <right/>
      <top/>
      <bottom/>
      <diagonal/>
    </border>
    <border>
      <left/>
      <right/>
      <top/>
      <bottom style="double">
        <color indexed="64"/>
      </bottom>
      <diagonal/>
    </border>
    <border>
      <left/>
      <right/>
      <top style="thin">
        <color indexed="64"/>
      </top>
      <bottom style="double">
        <color indexed="64"/>
      </bottom>
      <diagonal/>
    </border>
    <border>
      <left/>
      <right style="medium">
        <color indexed="64"/>
      </right>
      <top/>
      <bottom/>
      <diagonal/>
    </border>
    <border>
      <left style="medium">
        <color indexed="64"/>
      </left>
      <right/>
      <top/>
      <bottom/>
      <diagonal/>
    </border>
    <border>
      <left/>
      <right style="medium">
        <color indexed="64"/>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medium">
        <color indexed="64"/>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16">
    <xf numFmtId="0" fontId="0" fillId="0" borderId="0"/>
    <xf numFmtId="44" fontId="13" fillId="0" borderId="0" applyFont="0" applyFill="0" applyBorder="0" applyAlignment="0" applyProtection="0"/>
    <xf numFmtId="0" fontId="13" fillId="0" borderId="0"/>
    <xf numFmtId="9" fontId="8"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7" fillId="0" borderId="0"/>
    <xf numFmtId="0" fontId="6" fillId="0" borderId="0"/>
    <xf numFmtId="9" fontId="32" fillId="0" borderId="0" applyFont="0" applyFill="0" applyBorder="0" applyAlignment="0" applyProtection="0"/>
    <xf numFmtId="0" fontId="5" fillId="0" borderId="0"/>
    <xf numFmtId="164" fontId="5" fillId="0" borderId="0" applyFont="0" applyFill="0" applyBorder="0" applyAlignment="0" applyProtection="0"/>
    <xf numFmtId="9" fontId="5" fillId="0" borderId="0" applyFont="0" applyFill="0" applyBorder="0" applyAlignment="0" applyProtection="0"/>
    <xf numFmtId="0" fontId="4" fillId="0" borderId="0"/>
    <xf numFmtId="0" fontId="3" fillId="0" borderId="0"/>
    <xf numFmtId="44" fontId="3" fillId="0" borderId="0" applyFont="0" applyFill="0" applyBorder="0" applyAlignment="0" applyProtection="0"/>
    <xf numFmtId="44" fontId="3" fillId="0" borderId="0" applyFont="0" applyFill="0" applyBorder="0" applyAlignment="0" applyProtection="0"/>
  </cellStyleXfs>
  <cellXfs count="580">
    <xf numFmtId="0" fontId="0" fillId="0" borderId="0" xfId="0"/>
    <xf numFmtId="0" fontId="9" fillId="0" borderId="0" xfId="0" applyFont="1"/>
    <xf numFmtId="165" fontId="9" fillId="0" borderId="0" xfId="0" applyNumberFormat="1" applyFont="1"/>
    <xf numFmtId="166" fontId="10" fillId="0" borderId="0" xfId="0" applyNumberFormat="1" applyFont="1" applyAlignment="1">
      <alignment horizontal="right" vertical="top"/>
    </xf>
    <xf numFmtId="166" fontId="9" fillId="0" borderId="0" xfId="0" applyNumberFormat="1" applyFont="1" applyAlignment="1">
      <alignment horizontal="right" vertical="top"/>
    </xf>
    <xf numFmtId="0" fontId="9" fillId="0" borderId="0" xfId="0" applyFont="1" applyAlignment="1">
      <alignment vertical="top"/>
    </xf>
    <xf numFmtId="0" fontId="11" fillId="0" borderId="0" xfId="0" applyFont="1" applyAlignment="1">
      <alignment horizontal="center"/>
    </xf>
    <xf numFmtId="14" fontId="9" fillId="0" borderId="0" xfId="0" applyNumberFormat="1" applyFont="1" applyAlignment="1">
      <alignment horizontal="right" vertical="top"/>
    </xf>
    <xf numFmtId="165" fontId="9" fillId="0" borderId="0" xfId="0" applyNumberFormat="1" applyFont="1" applyAlignment="1">
      <alignment horizontal="center" vertical="top"/>
    </xf>
    <xf numFmtId="0" fontId="9" fillId="0" borderId="0" xfId="0" applyFont="1" applyAlignment="1">
      <alignment horizontal="right"/>
    </xf>
    <xf numFmtId="165" fontId="9" fillId="0" borderId="0" xfId="0" applyNumberFormat="1" applyFont="1" applyAlignment="1">
      <alignment horizontal="center"/>
    </xf>
    <xf numFmtId="0" fontId="9" fillId="2" borderId="0" xfId="0" applyFont="1" applyFill="1"/>
    <xf numFmtId="165" fontId="9" fillId="2" borderId="0" xfId="0" applyNumberFormat="1" applyFont="1" applyFill="1"/>
    <xf numFmtId="165" fontId="9" fillId="2" borderId="0" xfId="0" applyNumberFormat="1" applyFont="1" applyFill="1" applyAlignment="1">
      <alignment horizontal="center"/>
    </xf>
    <xf numFmtId="165" fontId="9" fillId="0" borderId="0" xfId="1" applyNumberFormat="1" applyFont="1" applyAlignment="1">
      <alignment horizontal="right"/>
    </xf>
    <xf numFmtId="0" fontId="9" fillId="0" borderId="0" xfId="0" applyFont="1" applyAlignment="1">
      <alignment vertical="center"/>
    </xf>
    <xf numFmtId="0" fontId="14" fillId="0" borderId="0" xfId="0" applyFont="1"/>
    <xf numFmtId="165" fontId="9" fillId="0" borderId="0" xfId="0" applyNumberFormat="1" applyFont="1" applyAlignment="1">
      <alignment horizontal="right"/>
    </xf>
    <xf numFmtId="0" fontId="15" fillId="0" borderId="0" xfId="0" applyFont="1"/>
    <xf numFmtId="165" fontId="10" fillId="0" borderId="0" xfId="0" applyNumberFormat="1" applyFont="1" applyAlignment="1">
      <alignment horizontal="right"/>
    </xf>
    <xf numFmtId="44" fontId="9" fillId="0" borderId="0" xfId="1" applyFont="1"/>
    <xf numFmtId="44" fontId="9" fillId="0" borderId="0" xfId="0" applyNumberFormat="1" applyFont="1"/>
    <xf numFmtId="0" fontId="10" fillId="0" borderId="0" xfId="0" applyFont="1"/>
    <xf numFmtId="0" fontId="10" fillId="0" borderId="0" xfId="0" applyFont="1" applyAlignment="1">
      <alignment horizontal="right"/>
    </xf>
    <xf numFmtId="165" fontId="11" fillId="0" borderId="0" xfId="0" applyNumberFormat="1" applyFont="1" applyAlignment="1">
      <alignment horizontal="right"/>
    </xf>
    <xf numFmtId="0" fontId="16" fillId="0" borderId="3" xfId="0" applyFont="1" applyBorder="1" applyAlignment="1">
      <alignment horizontal="center"/>
    </xf>
    <xf numFmtId="44" fontId="9" fillId="0" borderId="3" xfId="1" applyFont="1" applyBorder="1"/>
    <xf numFmtId="44" fontId="9" fillId="0" borderId="5" xfId="1" applyFont="1" applyBorder="1"/>
    <xf numFmtId="44" fontId="9" fillId="0" borderId="1" xfId="0" applyNumberFormat="1" applyFont="1" applyBorder="1"/>
    <xf numFmtId="2" fontId="9" fillId="0" borderId="0" xfId="3" applyNumberFormat="1" applyFont="1" applyAlignment="1">
      <alignment horizontal="right"/>
    </xf>
    <xf numFmtId="2" fontId="10" fillId="0" borderId="0" xfId="3" applyNumberFormat="1" applyFont="1" applyAlignment="1">
      <alignment horizontal="right"/>
    </xf>
    <xf numFmtId="44" fontId="10" fillId="0" borderId="0" xfId="0" applyNumberFormat="1" applyFont="1"/>
    <xf numFmtId="2" fontId="9" fillId="0" borderId="0" xfId="0" applyNumberFormat="1" applyFont="1"/>
    <xf numFmtId="44" fontId="18" fillId="0" borderId="0" xfId="0" applyNumberFormat="1" applyFont="1"/>
    <xf numFmtId="165" fontId="17" fillId="0" borderId="0" xfId="0" applyNumberFormat="1" applyFont="1" applyAlignment="1">
      <alignment horizontal="center"/>
    </xf>
    <xf numFmtId="165" fontId="9" fillId="0" borderId="0" xfId="0" applyNumberFormat="1" applyFont="1" applyAlignment="1">
      <alignment horizontal="right" vertical="center"/>
    </xf>
    <xf numFmtId="44" fontId="9" fillId="4" borderId="3" xfId="1" applyFont="1" applyFill="1" applyBorder="1"/>
    <xf numFmtId="0" fontId="9" fillId="0" borderId="0" xfId="0" applyFont="1" applyAlignment="1">
      <alignment horizontal="center"/>
    </xf>
    <xf numFmtId="0" fontId="9" fillId="0" borderId="0" xfId="2" applyFont="1"/>
    <xf numFmtId="0" fontId="10" fillId="0" borderId="0" xfId="2" applyFont="1"/>
    <xf numFmtId="0" fontId="9" fillId="0" borderId="0" xfId="2" applyFont="1" applyAlignment="1">
      <alignment horizontal="center"/>
    </xf>
    <xf numFmtId="44" fontId="9" fillId="0" borderId="0" xfId="4" applyFont="1"/>
    <xf numFmtId="0" fontId="10" fillId="0" borderId="0" xfId="2" applyFont="1" applyAlignment="1">
      <alignment horizontal="center"/>
    </xf>
    <xf numFmtId="0" fontId="19" fillId="0" borderId="0" xfId="2" applyFont="1"/>
    <xf numFmtId="44" fontId="10" fillId="0" borderId="0" xfId="4" applyFont="1" applyAlignment="1">
      <alignment horizontal="center"/>
    </xf>
    <xf numFmtId="44" fontId="9" fillId="0" borderId="0" xfId="4" applyFont="1" applyFill="1" applyBorder="1"/>
    <xf numFmtId="0" fontId="10" fillId="5" borderId="12" xfId="2" applyFont="1" applyFill="1" applyBorder="1"/>
    <xf numFmtId="44" fontId="9" fillId="0" borderId="0" xfId="2" applyNumberFormat="1" applyFont="1"/>
    <xf numFmtId="44" fontId="9" fillId="0" borderId="0" xfId="4" applyFont="1" applyFill="1"/>
    <xf numFmtId="0" fontId="10" fillId="2" borderId="15" xfId="2" applyFont="1" applyFill="1" applyBorder="1"/>
    <xf numFmtId="44" fontId="9" fillId="0" borderId="0" xfId="4" applyFont="1" applyAlignment="1">
      <alignment horizontal="center"/>
    </xf>
    <xf numFmtId="44" fontId="9" fillId="0" borderId="0" xfId="4" applyFont="1" applyBorder="1"/>
    <xf numFmtId="44" fontId="9" fillId="0" borderId="10" xfId="4" applyFont="1" applyFill="1" applyBorder="1"/>
    <xf numFmtId="0" fontId="9" fillId="0" borderId="7" xfId="2" applyFont="1" applyBorder="1" applyAlignment="1">
      <alignment horizontal="center"/>
    </xf>
    <xf numFmtId="10" fontId="9" fillId="0" borderId="0" xfId="5" applyNumberFormat="1" applyFont="1"/>
    <xf numFmtId="10" fontId="9" fillId="0" borderId="0" xfId="4" applyNumberFormat="1" applyFont="1"/>
    <xf numFmtId="0" fontId="9" fillId="0" borderId="0" xfId="2" quotePrefix="1" applyFont="1"/>
    <xf numFmtId="0" fontId="9" fillId="3" borderId="0" xfId="2" applyFont="1" applyFill="1"/>
    <xf numFmtId="44" fontId="9" fillId="4" borderId="3" xfId="1" applyFont="1" applyFill="1" applyBorder="1" applyAlignment="1">
      <alignment vertical="center"/>
    </xf>
    <xf numFmtId="44" fontId="9" fillId="0" borderId="0" xfId="0" applyNumberFormat="1" applyFont="1" applyAlignment="1">
      <alignment vertical="center"/>
    </xf>
    <xf numFmtId="0" fontId="9" fillId="5" borderId="4" xfId="0" applyFont="1" applyFill="1" applyBorder="1"/>
    <xf numFmtId="44" fontId="9" fillId="3" borderId="3" xfId="1" applyFont="1" applyFill="1" applyBorder="1"/>
    <xf numFmtId="44" fontId="9" fillId="5" borderId="11" xfId="1" applyFont="1" applyFill="1" applyBorder="1" applyAlignment="1">
      <alignment horizontal="left"/>
    </xf>
    <xf numFmtId="0" fontId="13" fillId="0" borderId="0" xfId="0" applyFont="1"/>
    <xf numFmtId="0" fontId="20" fillId="0" borderId="0" xfId="0" applyFont="1" applyAlignment="1">
      <alignment horizontal="center"/>
    </xf>
    <xf numFmtId="0" fontId="12" fillId="0" borderId="0" xfId="0" applyFont="1" applyAlignment="1">
      <alignment vertical="top"/>
    </xf>
    <xf numFmtId="0" fontId="13" fillId="0" borderId="0" xfId="0" applyFont="1" applyAlignment="1">
      <alignment vertical="top"/>
    </xf>
    <xf numFmtId="0" fontId="13" fillId="2" borderId="0" xfId="0" applyFont="1" applyFill="1"/>
    <xf numFmtId="0" fontId="13" fillId="0" borderId="0" xfId="0" applyFont="1" applyAlignment="1">
      <alignment horizontal="right"/>
    </xf>
    <xf numFmtId="0" fontId="12" fillId="0" borderId="0" xfId="0" applyFont="1" applyAlignment="1">
      <alignment horizontal="right" vertical="center"/>
    </xf>
    <xf numFmtId="0" fontId="13" fillId="0" borderId="0" xfId="0" applyFont="1" applyAlignment="1">
      <alignment vertical="center"/>
    </xf>
    <xf numFmtId="0" fontId="13" fillId="0" borderId="0" xfId="0" applyFont="1" applyAlignment="1">
      <alignment horizontal="right" vertical="center"/>
    </xf>
    <xf numFmtId="0" fontId="21" fillId="0" borderId="0" xfId="0" applyFont="1"/>
    <xf numFmtId="0" fontId="12" fillId="0" borderId="0" xfId="0" applyFont="1"/>
    <xf numFmtId="44" fontId="9" fillId="0" borderId="3" xfId="1" applyFont="1" applyFill="1" applyBorder="1"/>
    <xf numFmtId="0" fontId="12" fillId="0" borderId="0" xfId="0" applyFont="1" applyAlignment="1">
      <alignment horizontal="left" vertical="center" wrapText="1"/>
    </xf>
    <xf numFmtId="0" fontId="13" fillId="0" borderId="0" xfId="0" applyFont="1" applyAlignment="1">
      <alignment horizontal="center" vertical="center"/>
    </xf>
    <xf numFmtId="44" fontId="13" fillId="0" borderId="0" xfId="1" applyFont="1" applyAlignment="1">
      <alignment horizontal="right" vertical="center"/>
    </xf>
    <xf numFmtId="165" fontId="12" fillId="0" borderId="0" xfId="0" applyNumberFormat="1" applyFont="1"/>
    <xf numFmtId="0" fontId="21" fillId="0" borderId="0" xfId="0" applyFont="1" applyAlignment="1">
      <alignment horizontal="right"/>
    </xf>
    <xf numFmtId="165" fontId="22" fillId="0" borderId="1" xfId="0" applyNumberFormat="1" applyFont="1" applyBorder="1" applyAlignment="1">
      <alignment horizontal="right"/>
    </xf>
    <xf numFmtId="165" fontId="12" fillId="0" borderId="0" xfId="0" applyNumberFormat="1" applyFont="1" applyAlignment="1">
      <alignment horizontal="right"/>
    </xf>
    <xf numFmtId="0" fontId="12" fillId="0" borderId="0" xfId="0" applyFont="1" applyAlignment="1">
      <alignment horizontal="right"/>
    </xf>
    <xf numFmtId="165" fontId="20" fillId="0" borderId="2" xfId="0" applyNumberFormat="1" applyFont="1" applyBorder="1" applyAlignment="1">
      <alignment horizontal="right"/>
    </xf>
    <xf numFmtId="165" fontId="9" fillId="0" borderId="0" xfId="2" applyNumberFormat="1" applyFont="1" applyAlignment="1">
      <alignment horizontal="center" vertical="center"/>
    </xf>
    <xf numFmtId="165" fontId="9" fillId="0" borderId="0" xfId="2" applyNumberFormat="1" applyFont="1"/>
    <xf numFmtId="0" fontId="10" fillId="0" borderId="13" xfId="2" applyFont="1" applyBorder="1" applyAlignment="1">
      <alignment horizontal="center" vertical="center"/>
    </xf>
    <xf numFmtId="0" fontId="10" fillId="4" borderId="15" xfId="2" applyFont="1" applyFill="1" applyBorder="1" applyAlignment="1">
      <alignment horizontal="center"/>
    </xf>
    <xf numFmtId="0" fontId="10" fillId="0" borderId="0" xfId="2" applyFont="1" applyAlignment="1">
      <alignment horizontal="center" vertical="center"/>
    </xf>
    <xf numFmtId="0" fontId="10" fillId="0" borderId="3" xfId="2" applyFont="1" applyBorder="1" applyAlignment="1">
      <alignment horizontal="center" vertical="center"/>
    </xf>
    <xf numFmtId="0" fontId="9" fillId="0" borderId="4" xfId="2" applyFont="1" applyBorder="1"/>
    <xf numFmtId="165" fontId="9" fillId="0" borderId="0" xfId="1" applyNumberFormat="1" applyFont="1" applyBorder="1" applyAlignment="1">
      <alignment horizontal="center" vertical="center"/>
    </xf>
    <xf numFmtId="165" fontId="10" fillId="0" borderId="0" xfId="1" applyNumberFormat="1" applyFont="1" applyBorder="1" applyAlignment="1">
      <alignment horizontal="center" vertical="center"/>
    </xf>
    <xf numFmtId="165" fontId="9" fillId="0" borderId="3" xfId="2" applyNumberFormat="1" applyFont="1" applyBorder="1" applyAlignment="1">
      <alignment horizontal="center" vertical="center"/>
    </xf>
    <xf numFmtId="0" fontId="9" fillId="0" borderId="4" xfId="2" applyFont="1" applyBorder="1" applyAlignment="1">
      <alignment horizontal="right"/>
    </xf>
    <xf numFmtId="165" fontId="9" fillId="0" borderId="10" xfId="1" applyNumberFormat="1" applyFont="1" applyBorder="1" applyAlignment="1">
      <alignment horizontal="center" vertical="center"/>
    </xf>
    <xf numFmtId="165" fontId="10" fillId="0" borderId="10" xfId="1" applyNumberFormat="1" applyFont="1" applyBorder="1" applyAlignment="1">
      <alignment horizontal="center" vertical="center"/>
    </xf>
    <xf numFmtId="165" fontId="9" fillId="0" borderId="11" xfId="2" applyNumberFormat="1" applyFont="1" applyBorder="1" applyAlignment="1">
      <alignment horizontal="center" vertical="center"/>
    </xf>
    <xf numFmtId="0" fontId="10" fillId="0" borderId="7" xfId="2" applyFont="1" applyBorder="1" applyAlignment="1">
      <alignment horizontal="center" vertical="center"/>
    </xf>
    <xf numFmtId="0" fontId="10" fillId="0" borderId="8" xfId="2" applyFont="1" applyBorder="1" applyAlignment="1">
      <alignment horizontal="center" vertical="center"/>
    </xf>
    <xf numFmtId="0" fontId="10" fillId="0" borderId="4" xfId="2" applyFont="1" applyBorder="1"/>
    <xf numFmtId="2" fontId="9" fillId="0" borderId="0" xfId="1" applyNumberFormat="1" applyFont="1" applyBorder="1" applyAlignment="1">
      <alignment horizontal="center" vertical="center"/>
    </xf>
    <xf numFmtId="165" fontId="9" fillId="0" borderId="0" xfId="1" applyNumberFormat="1" applyFont="1" applyFill="1" applyBorder="1" applyAlignment="1">
      <alignment horizontal="center" vertical="center"/>
    </xf>
    <xf numFmtId="165" fontId="10" fillId="0" borderId="17" xfId="1" applyNumberFormat="1" applyFont="1" applyBorder="1" applyAlignment="1">
      <alignment horizontal="center" vertical="center"/>
    </xf>
    <xf numFmtId="0" fontId="9" fillId="0" borderId="0" xfId="2" applyFont="1" applyAlignment="1">
      <alignment wrapText="1"/>
    </xf>
    <xf numFmtId="165" fontId="10" fillId="0" borderId="3" xfId="2" applyNumberFormat="1" applyFont="1" applyBorder="1" applyAlignment="1">
      <alignment horizontal="center" vertical="center"/>
    </xf>
    <xf numFmtId="165" fontId="9" fillId="0" borderId="4" xfId="2" applyNumberFormat="1" applyFont="1" applyBorder="1"/>
    <xf numFmtId="0" fontId="10" fillId="2" borderId="4" xfId="2" applyFont="1" applyFill="1" applyBorder="1" applyAlignment="1">
      <alignment horizontal="right"/>
    </xf>
    <xf numFmtId="165" fontId="10" fillId="2" borderId="3" xfId="2" applyNumberFormat="1" applyFont="1" applyFill="1" applyBorder="1" applyAlignment="1">
      <alignment horizontal="center" vertical="center"/>
    </xf>
    <xf numFmtId="165" fontId="10" fillId="3" borderId="3" xfId="2" applyNumberFormat="1" applyFont="1" applyFill="1" applyBorder="1" applyAlignment="1">
      <alignment horizontal="center" vertical="center"/>
    </xf>
    <xf numFmtId="165" fontId="26" fillId="0" borderId="0" xfId="1" applyNumberFormat="1" applyFont="1" applyBorder="1" applyAlignment="1">
      <alignment horizontal="center" vertical="center"/>
    </xf>
    <xf numFmtId="165" fontId="10" fillId="0" borderId="18" xfId="2" applyNumberFormat="1" applyFont="1" applyBorder="1" applyAlignment="1">
      <alignment horizontal="center" vertical="center"/>
    </xf>
    <xf numFmtId="0" fontId="9" fillId="0" borderId="4" xfId="2" applyFont="1" applyBorder="1" applyAlignment="1">
      <alignment horizontal="left"/>
    </xf>
    <xf numFmtId="0" fontId="10" fillId="5" borderId="4" xfId="2" applyFont="1" applyFill="1" applyBorder="1" applyAlignment="1">
      <alignment horizontal="right"/>
    </xf>
    <xf numFmtId="0" fontId="10" fillId="5" borderId="6" xfId="2" applyFont="1" applyFill="1" applyBorder="1" applyAlignment="1">
      <alignment horizontal="right"/>
    </xf>
    <xf numFmtId="0" fontId="10" fillId="3" borderId="0" xfId="2" applyFont="1" applyFill="1" applyAlignment="1">
      <alignment horizontal="center" vertical="center"/>
    </xf>
    <xf numFmtId="0" fontId="9" fillId="0" borderId="9" xfId="2" applyFont="1" applyBorder="1"/>
    <xf numFmtId="165" fontId="27" fillId="0" borderId="0" xfId="1" applyNumberFormat="1" applyFont="1" applyBorder="1" applyAlignment="1">
      <alignment horizontal="center" vertical="center"/>
    </xf>
    <xf numFmtId="0" fontId="28" fillId="0" borderId="4" xfId="2" applyFont="1" applyBorder="1"/>
    <xf numFmtId="0" fontId="9" fillId="0" borderId="9" xfId="2" applyFont="1" applyBorder="1" applyAlignment="1">
      <alignment horizontal="right"/>
    </xf>
    <xf numFmtId="0" fontId="6" fillId="0" borderId="0" xfId="7"/>
    <xf numFmtId="0" fontId="6" fillId="2" borderId="13" xfId="7" applyFill="1" applyBorder="1"/>
    <xf numFmtId="0" fontId="6" fillId="2" borderId="14" xfId="7" applyFill="1" applyBorder="1"/>
    <xf numFmtId="0" fontId="31" fillId="9" borderId="0" xfId="7" applyFont="1" applyFill="1"/>
    <xf numFmtId="165" fontId="6" fillId="0" borderId="0" xfId="7" applyNumberFormat="1" applyAlignment="1">
      <alignment horizontal="center"/>
    </xf>
    <xf numFmtId="165" fontId="6" fillId="0" borderId="0" xfId="7" applyNumberFormat="1" applyAlignment="1">
      <alignment horizontal="center" vertical="center"/>
    </xf>
    <xf numFmtId="0" fontId="30" fillId="0" borderId="0" xfId="7" applyFont="1" applyAlignment="1">
      <alignment horizontal="right"/>
    </xf>
    <xf numFmtId="0" fontId="10" fillId="0" borderId="16" xfId="2" applyFont="1" applyBorder="1"/>
    <xf numFmtId="0" fontId="10" fillId="0" borderId="17" xfId="2" applyFont="1" applyBorder="1" applyAlignment="1">
      <alignment horizontal="right"/>
    </xf>
    <xf numFmtId="0" fontId="10" fillId="0" borderId="17" xfId="2" applyFont="1" applyBorder="1"/>
    <xf numFmtId="0" fontId="10" fillId="2" borderId="0" xfId="2" applyFont="1" applyFill="1" applyAlignment="1">
      <alignment horizontal="right"/>
    </xf>
    <xf numFmtId="165" fontId="10" fillId="0" borderId="0" xfId="2" applyNumberFormat="1" applyFont="1" applyAlignment="1">
      <alignment horizontal="center" vertical="center"/>
    </xf>
    <xf numFmtId="0" fontId="10" fillId="0" borderId="10" xfId="2" applyFont="1" applyBorder="1"/>
    <xf numFmtId="0" fontId="9" fillId="6" borderId="0" xfId="2" applyFont="1" applyFill="1" applyAlignment="1">
      <alignment horizontal="center"/>
    </xf>
    <xf numFmtId="44" fontId="10" fillId="6" borderId="0" xfId="4" applyFont="1" applyFill="1" applyBorder="1"/>
    <xf numFmtId="165" fontId="9" fillId="3" borderId="0" xfId="2" applyNumberFormat="1" applyFont="1" applyFill="1"/>
    <xf numFmtId="0" fontId="9" fillId="6" borderId="7" xfId="2" applyFont="1" applyFill="1" applyBorder="1" applyAlignment="1">
      <alignment horizontal="center"/>
    </xf>
    <xf numFmtId="0" fontId="9" fillId="6" borderId="9" xfId="2" applyFont="1" applyFill="1" applyBorder="1" applyAlignment="1">
      <alignment horizontal="center"/>
    </xf>
    <xf numFmtId="0" fontId="9" fillId="6" borderId="10" xfId="2" applyFont="1" applyFill="1" applyBorder="1" applyAlignment="1">
      <alignment horizontal="center"/>
    </xf>
    <xf numFmtId="0" fontId="9" fillId="6" borderId="4" xfId="2" applyFont="1" applyFill="1" applyBorder="1" applyAlignment="1">
      <alignment horizontal="center"/>
    </xf>
    <xf numFmtId="44" fontId="10" fillId="6" borderId="7" xfId="4" applyFont="1" applyFill="1" applyBorder="1"/>
    <xf numFmtId="44" fontId="10" fillId="6" borderId="10" xfId="4" applyFont="1" applyFill="1" applyBorder="1"/>
    <xf numFmtId="44" fontId="9" fillId="6" borderId="8" xfId="4" applyFont="1" applyFill="1" applyBorder="1"/>
    <xf numFmtId="44" fontId="9" fillId="6" borderId="3" xfId="4" applyFont="1" applyFill="1" applyBorder="1"/>
    <xf numFmtId="44" fontId="10" fillId="0" borderId="0" xfId="4" applyFont="1" applyFill="1" applyBorder="1"/>
    <xf numFmtId="0" fontId="10" fillId="10" borderId="0" xfId="2" applyFont="1" applyFill="1"/>
    <xf numFmtId="0" fontId="9" fillId="10" borderId="0" xfId="2" applyFont="1" applyFill="1" applyAlignment="1">
      <alignment horizontal="center"/>
    </xf>
    <xf numFmtId="44" fontId="10" fillId="10" borderId="0" xfId="4" applyFont="1" applyFill="1" applyBorder="1"/>
    <xf numFmtId="44" fontId="9" fillId="10" borderId="0" xfId="4" applyFont="1" applyFill="1" applyBorder="1"/>
    <xf numFmtId="0" fontId="9" fillId="0" borderId="0" xfId="2" applyFont="1" applyAlignment="1">
      <alignment horizontal="right"/>
    </xf>
    <xf numFmtId="0" fontId="25" fillId="3" borderId="6" xfId="2" applyFont="1" applyFill="1" applyBorder="1"/>
    <xf numFmtId="0" fontId="10" fillId="0" borderId="8" xfId="2" applyFont="1" applyBorder="1" applyAlignment="1">
      <alignment horizontal="center"/>
    </xf>
    <xf numFmtId="0" fontId="10" fillId="0" borderId="3" xfId="2" applyFont="1" applyBorder="1" applyAlignment="1">
      <alignment horizontal="center"/>
    </xf>
    <xf numFmtId="0" fontId="10" fillId="0" borderId="9" xfId="2" applyFont="1" applyBorder="1" applyAlignment="1">
      <alignment horizontal="right"/>
    </xf>
    <xf numFmtId="0" fontId="10" fillId="11" borderId="12" xfId="2" applyFont="1" applyFill="1" applyBorder="1"/>
    <xf numFmtId="165" fontId="10" fillId="0" borderId="11" xfId="2" applyNumberFormat="1" applyFont="1" applyBorder="1" applyAlignment="1">
      <alignment horizontal="center" vertical="center"/>
    </xf>
    <xf numFmtId="0" fontId="10" fillId="0" borderId="10" xfId="2" applyFont="1" applyBorder="1" applyAlignment="1">
      <alignment horizontal="right"/>
    </xf>
    <xf numFmtId="0" fontId="10" fillId="0" borderId="4" xfId="2" applyFont="1" applyBorder="1" applyAlignment="1">
      <alignment wrapText="1"/>
    </xf>
    <xf numFmtId="2" fontId="10" fillId="0" borderId="3" xfId="2" applyNumberFormat="1" applyFont="1" applyBorder="1" applyAlignment="1">
      <alignment horizontal="center"/>
    </xf>
    <xf numFmtId="0" fontId="10" fillId="0" borderId="0" xfId="2" applyFont="1" applyAlignment="1">
      <alignment horizontal="right"/>
    </xf>
    <xf numFmtId="0" fontId="10" fillId="0" borderId="6" xfId="2" applyFont="1" applyBorder="1" applyAlignment="1">
      <alignment horizontal="center"/>
    </xf>
    <xf numFmtId="44" fontId="10" fillId="0" borderId="7" xfId="4" applyFont="1" applyBorder="1" applyAlignment="1">
      <alignment horizontal="center"/>
    </xf>
    <xf numFmtId="44" fontId="10" fillId="0" borderId="8" xfId="4" applyFont="1" applyBorder="1" applyAlignment="1">
      <alignment horizontal="center"/>
    </xf>
    <xf numFmtId="44" fontId="10" fillId="0" borderId="3" xfId="4" applyFont="1" applyBorder="1" applyAlignment="1">
      <alignment horizontal="center"/>
    </xf>
    <xf numFmtId="0" fontId="10" fillId="0" borderId="10" xfId="2" applyFont="1" applyBorder="1" applyAlignment="1">
      <alignment horizontal="center"/>
    </xf>
    <xf numFmtId="44" fontId="10" fillId="0" borderId="10" xfId="4" applyFont="1" applyBorder="1" applyAlignment="1">
      <alignment horizontal="center"/>
    </xf>
    <xf numFmtId="44" fontId="10" fillId="0" borderId="11" xfId="4" applyFont="1" applyBorder="1" applyAlignment="1">
      <alignment horizontal="center"/>
    </xf>
    <xf numFmtId="0" fontId="17" fillId="9" borderId="21" xfId="2" applyFont="1" applyFill="1" applyBorder="1"/>
    <xf numFmtId="0" fontId="10" fillId="0" borderId="20" xfId="2" applyFont="1" applyBorder="1"/>
    <xf numFmtId="44" fontId="9" fillId="0" borderId="8" xfId="4" applyFont="1" applyFill="1" applyBorder="1"/>
    <xf numFmtId="0" fontId="9" fillId="0" borderId="10" xfId="2" applyFont="1" applyBorder="1" applyAlignment="1">
      <alignment horizontal="center"/>
    </xf>
    <xf numFmtId="44" fontId="9" fillId="0" borderId="11" xfId="4" applyFont="1" applyFill="1" applyBorder="1"/>
    <xf numFmtId="0" fontId="9" fillId="4" borderId="10" xfId="2" applyFont="1" applyFill="1" applyBorder="1" applyAlignment="1">
      <alignment horizontal="center"/>
    </xf>
    <xf numFmtId="0" fontId="30" fillId="3" borderId="12" xfId="7" applyFont="1" applyFill="1" applyBorder="1"/>
    <xf numFmtId="0" fontId="5" fillId="0" borderId="0" xfId="9"/>
    <xf numFmtId="0" fontId="33" fillId="0" borderId="22" xfId="9" applyFont="1" applyBorder="1" applyAlignment="1">
      <alignment horizontal="center" vertical="center" wrapText="1"/>
    </xf>
    <xf numFmtId="164" fontId="33" fillId="2" borderId="22" xfId="10" applyFont="1" applyFill="1" applyBorder="1" applyAlignment="1">
      <alignment horizontal="center" vertical="center"/>
    </xf>
    <xf numFmtId="0" fontId="33" fillId="13" borderId="22" xfId="9" applyFont="1" applyFill="1" applyBorder="1" applyAlignment="1">
      <alignment horizontal="center" vertical="center" wrapText="1"/>
    </xf>
    <xf numFmtId="167" fontId="33" fillId="14" borderId="22" xfId="10" applyNumberFormat="1" applyFont="1" applyFill="1" applyBorder="1" applyAlignment="1">
      <alignment horizontal="center" vertical="center" wrapText="1"/>
    </xf>
    <xf numFmtId="0" fontId="35" fillId="0" borderId="23" xfId="9" applyFont="1" applyBorder="1" applyAlignment="1">
      <alignment horizontal="center"/>
    </xf>
    <xf numFmtId="167" fontId="37" fillId="2" borderId="22" xfId="10" applyNumberFormat="1" applyFont="1" applyFill="1" applyBorder="1" applyAlignment="1">
      <alignment horizontal="center" vertical="center"/>
    </xf>
    <xf numFmtId="167" fontId="37" fillId="2" borderId="22" xfId="10" applyNumberFormat="1" applyFont="1" applyFill="1" applyBorder="1" applyAlignment="1">
      <alignment horizontal="left" vertical="center"/>
    </xf>
    <xf numFmtId="9" fontId="36" fillId="2" borderId="22" xfId="11" applyFont="1" applyFill="1" applyBorder="1" applyAlignment="1">
      <alignment horizontal="center" vertical="center"/>
    </xf>
    <xf numFmtId="0" fontId="35" fillId="6" borderId="23" xfId="9" applyFont="1" applyFill="1" applyBorder="1" applyAlignment="1">
      <alignment horizontal="center"/>
    </xf>
    <xf numFmtId="2" fontId="5" fillId="6" borderId="22" xfId="9" applyNumberFormat="1" applyFill="1" applyBorder="1"/>
    <xf numFmtId="9" fontId="36" fillId="6" borderId="22" xfId="11" applyFont="1" applyFill="1" applyBorder="1" applyAlignment="1">
      <alignment horizontal="center" vertical="center"/>
    </xf>
    <xf numFmtId="0" fontId="33" fillId="14" borderId="22" xfId="10" applyNumberFormat="1" applyFont="1" applyFill="1" applyBorder="1" applyAlignment="1">
      <alignment horizontal="center" vertical="center" wrapText="1"/>
    </xf>
    <xf numFmtId="2" fontId="34" fillId="14" borderId="22" xfId="10" applyNumberFormat="1" applyFont="1" applyFill="1" applyBorder="1" applyAlignment="1">
      <alignment horizontal="center" vertical="center" wrapText="1"/>
    </xf>
    <xf numFmtId="167" fontId="33" fillId="2" borderId="22" xfId="10" applyNumberFormat="1" applyFont="1" applyFill="1" applyBorder="1" applyAlignment="1">
      <alignment horizontal="center" vertical="center" wrapText="1"/>
    </xf>
    <xf numFmtId="9" fontId="9" fillId="0" borderId="0" xfId="8" applyFont="1" applyAlignment="1">
      <alignment horizontal="center"/>
    </xf>
    <xf numFmtId="164" fontId="9" fillId="0" borderId="0" xfId="2" applyNumberFormat="1" applyFont="1"/>
    <xf numFmtId="0" fontId="23" fillId="0" borderId="0" xfId="2" applyFont="1"/>
    <xf numFmtId="0" fontId="30" fillId="0" borderId="0" xfId="7" applyFont="1"/>
    <xf numFmtId="0" fontId="30" fillId="0" borderId="0" xfId="7" applyFont="1" applyAlignment="1">
      <alignment horizontal="center"/>
    </xf>
    <xf numFmtId="165" fontId="30" fillId="0" borderId="0" xfId="7" applyNumberFormat="1" applyFont="1" applyAlignment="1">
      <alignment horizontal="center" vertical="center"/>
    </xf>
    <xf numFmtId="165" fontId="6" fillId="0" borderId="0" xfId="7" applyNumberFormat="1"/>
    <xf numFmtId="0" fontId="6" fillId="0" borderId="0" xfId="7" applyAlignment="1">
      <alignment horizontal="center"/>
    </xf>
    <xf numFmtId="44" fontId="10" fillId="0" borderId="0" xfId="4" applyFont="1" applyFill="1"/>
    <xf numFmtId="2" fontId="6" fillId="0" borderId="0" xfId="7" applyNumberFormat="1" applyAlignment="1">
      <alignment horizontal="center" vertical="center"/>
    </xf>
    <xf numFmtId="2" fontId="30" fillId="0" borderId="0" xfId="7" applyNumberFormat="1" applyFont="1" applyAlignment="1">
      <alignment horizontal="center" vertical="center"/>
    </xf>
    <xf numFmtId="165" fontId="30" fillId="0" borderId="0" xfId="7" applyNumberFormat="1" applyFont="1" applyAlignment="1">
      <alignment horizontal="center"/>
    </xf>
    <xf numFmtId="0" fontId="9" fillId="0" borderId="0" xfId="2" applyFont="1" applyAlignment="1">
      <alignment horizontal="left"/>
    </xf>
    <xf numFmtId="164" fontId="38" fillId="5" borderId="22" xfId="10" applyFont="1" applyFill="1" applyBorder="1" applyAlignment="1">
      <alignment vertical="center"/>
    </xf>
    <xf numFmtId="164" fontId="40" fillId="0" borderId="22" xfId="9" applyNumberFormat="1" applyFont="1" applyBorder="1" applyAlignment="1">
      <alignment horizontal="center"/>
    </xf>
    <xf numFmtId="164" fontId="40" fillId="6" borderId="22" xfId="9" applyNumberFormat="1" applyFont="1" applyFill="1" applyBorder="1" applyAlignment="1">
      <alignment horizontal="center"/>
    </xf>
    <xf numFmtId="0" fontId="41" fillId="6" borderId="22" xfId="11" applyNumberFormat="1" applyFont="1" applyFill="1" applyBorder="1" applyAlignment="1">
      <alignment horizontal="center" vertical="center"/>
    </xf>
    <xf numFmtId="165" fontId="42" fillId="0" borderId="3" xfId="2" applyNumberFormat="1" applyFont="1" applyBorder="1" applyAlignment="1">
      <alignment horizontal="center" vertical="center"/>
    </xf>
    <xf numFmtId="44" fontId="9" fillId="3" borderId="0" xfId="0" applyNumberFormat="1" applyFont="1" applyFill="1"/>
    <xf numFmtId="0" fontId="45" fillId="0" borderId="0" xfId="2" applyFont="1" applyAlignment="1">
      <alignment horizontal="center" vertical="center"/>
    </xf>
    <xf numFmtId="0" fontId="23" fillId="0" borderId="0" xfId="2" applyFont="1" applyAlignment="1">
      <alignment horizontal="center" vertical="center"/>
    </xf>
    <xf numFmtId="44" fontId="9" fillId="0" borderId="3" xfId="4" applyFont="1" applyFill="1" applyBorder="1"/>
    <xf numFmtId="0" fontId="10" fillId="15" borderId="20" xfId="2" applyFont="1" applyFill="1" applyBorder="1"/>
    <xf numFmtId="0" fontId="27" fillId="0" borderId="0" xfId="2" applyFont="1" applyAlignment="1">
      <alignment horizontal="center"/>
    </xf>
    <xf numFmtId="165" fontId="6" fillId="3" borderId="0" xfId="7" applyNumberFormat="1" applyFill="1" applyAlignment="1">
      <alignment horizontal="center" vertical="center"/>
    </xf>
    <xf numFmtId="0" fontId="10" fillId="5" borderId="0" xfId="2" applyFont="1" applyFill="1" applyAlignment="1">
      <alignment horizontal="right"/>
    </xf>
    <xf numFmtId="44" fontId="10" fillId="5" borderId="0" xfId="2" applyNumberFormat="1" applyFont="1" applyFill="1"/>
    <xf numFmtId="0" fontId="10" fillId="3" borderId="0" xfId="2" applyFont="1" applyFill="1"/>
    <xf numFmtId="164" fontId="9" fillId="0" borderId="0" xfId="0" applyNumberFormat="1" applyFont="1"/>
    <xf numFmtId="44" fontId="9" fillId="0" borderId="0" xfId="1" applyFont="1" applyFill="1" applyBorder="1" applyAlignment="1">
      <alignment horizontal="left"/>
    </xf>
    <xf numFmtId="44" fontId="10" fillId="3" borderId="0" xfId="1" applyFont="1" applyFill="1" applyAlignment="1">
      <alignment horizontal="right"/>
    </xf>
    <xf numFmtId="165" fontId="10" fillId="3" borderId="0" xfId="0" applyNumberFormat="1" applyFont="1" applyFill="1" applyAlignment="1">
      <alignment horizontal="right"/>
    </xf>
    <xf numFmtId="44" fontId="17" fillId="3" borderId="7" xfId="4" applyFont="1" applyFill="1" applyBorder="1"/>
    <xf numFmtId="0" fontId="17" fillId="0" borderId="0" xfId="2" applyFont="1" applyAlignment="1">
      <alignment horizontal="center"/>
    </xf>
    <xf numFmtId="44" fontId="10" fillId="0" borderId="0" xfId="4" applyFont="1" applyFill="1" applyAlignment="1">
      <alignment horizontal="center"/>
    </xf>
    <xf numFmtId="0" fontId="46" fillId="4" borderId="15" xfId="2" applyFont="1" applyFill="1" applyBorder="1"/>
    <xf numFmtId="0" fontId="6" fillId="0" borderId="4" xfId="7" applyBorder="1"/>
    <xf numFmtId="0" fontId="6" fillId="0" borderId="7" xfId="7" applyBorder="1"/>
    <xf numFmtId="0" fontId="46" fillId="0" borderId="10" xfId="2" applyFont="1" applyBorder="1"/>
    <xf numFmtId="0" fontId="46" fillId="0" borderId="0" xfId="2" applyFont="1"/>
    <xf numFmtId="44" fontId="9" fillId="3" borderId="0" xfId="4" applyFont="1" applyFill="1"/>
    <xf numFmtId="0" fontId="9" fillId="3" borderId="0" xfId="2" applyFont="1" applyFill="1" applyAlignment="1">
      <alignment horizontal="center"/>
    </xf>
    <xf numFmtId="9" fontId="9" fillId="0" borderId="0" xfId="8" applyFont="1" applyFill="1" applyAlignment="1">
      <alignment horizontal="center"/>
    </xf>
    <xf numFmtId="0" fontId="6" fillId="19" borderId="0" xfId="7" applyFill="1"/>
    <xf numFmtId="165" fontId="6" fillId="19" borderId="0" xfId="7" applyNumberFormat="1" applyFill="1" applyAlignment="1">
      <alignment horizontal="center" vertical="center"/>
    </xf>
    <xf numFmtId="165" fontId="6" fillId="19" borderId="0" xfId="7" applyNumberFormat="1" applyFill="1" applyAlignment="1">
      <alignment horizontal="center"/>
    </xf>
    <xf numFmtId="168" fontId="9" fillId="0" borderId="0" xfId="8" applyNumberFormat="1" applyFont="1"/>
    <xf numFmtId="164" fontId="10" fillId="0" borderId="0" xfId="2" applyNumberFormat="1" applyFont="1"/>
    <xf numFmtId="0" fontId="47" fillId="0" borderId="0" xfId="0" applyFont="1" applyAlignment="1">
      <alignment horizontal="center"/>
    </xf>
    <xf numFmtId="165" fontId="25" fillId="0" borderId="0" xfId="0" applyNumberFormat="1" applyFont="1" applyAlignment="1">
      <alignment horizontal="center" vertical="center"/>
    </xf>
    <xf numFmtId="165" fontId="25" fillId="0" borderId="0" xfId="1" applyNumberFormat="1" applyFont="1"/>
    <xf numFmtId="0" fontId="9" fillId="0" borderId="0" xfId="0" applyFont="1" applyAlignment="1">
      <alignment horizontal="center" vertical="center"/>
    </xf>
    <xf numFmtId="165" fontId="9" fillId="0" borderId="0" xfId="1" applyNumberFormat="1" applyFont="1" applyAlignment="1">
      <alignment horizontal="center"/>
    </xf>
    <xf numFmtId="44" fontId="41" fillId="12" borderId="22" xfId="11" applyNumberFormat="1" applyFont="1" applyFill="1" applyBorder="1" applyAlignment="1">
      <alignment horizontal="center" vertical="center"/>
    </xf>
    <xf numFmtId="2" fontId="27" fillId="3" borderId="0" xfId="8" applyNumberFormat="1" applyFont="1" applyFill="1"/>
    <xf numFmtId="0" fontId="13" fillId="0" borderId="0" xfId="0" applyFont="1" applyAlignment="1">
      <alignment horizontal="left" vertical="center" wrapText="1"/>
    </xf>
    <xf numFmtId="0" fontId="13" fillId="0" borderId="0" xfId="0" applyFont="1" applyAlignment="1">
      <alignment horizontal="left" vertical="center"/>
    </xf>
    <xf numFmtId="0" fontId="10" fillId="0" borderId="4" xfId="2" applyFont="1" applyBorder="1" applyAlignment="1">
      <alignment horizontal="right"/>
    </xf>
    <xf numFmtId="0" fontId="3" fillId="0" borderId="0" xfId="13" applyAlignment="1">
      <alignment horizontal="center" vertical="center"/>
    </xf>
    <xf numFmtId="0" fontId="3" fillId="0" borderId="0" xfId="13"/>
    <xf numFmtId="44" fontId="10" fillId="3" borderId="0" xfId="4" applyFont="1" applyFill="1"/>
    <xf numFmtId="0" fontId="3" fillId="0" borderId="0" xfId="13" applyAlignment="1">
      <alignment horizontal="center"/>
    </xf>
    <xf numFmtId="0" fontId="31" fillId="21" borderId="0" xfId="13" applyFont="1" applyFill="1"/>
    <xf numFmtId="0" fontId="3" fillId="21" borderId="0" xfId="13" applyFill="1" applyAlignment="1">
      <alignment horizontal="center" vertical="center"/>
    </xf>
    <xf numFmtId="0" fontId="3" fillId="21" borderId="0" xfId="13" applyFill="1" applyAlignment="1">
      <alignment horizontal="center"/>
    </xf>
    <xf numFmtId="2" fontId="3" fillId="0" borderId="0" xfId="13" applyNumberFormat="1" applyAlignment="1">
      <alignment horizontal="center" vertical="center"/>
    </xf>
    <xf numFmtId="0" fontId="31" fillId="22" borderId="0" xfId="13" applyFont="1" applyFill="1"/>
    <xf numFmtId="0" fontId="30" fillId="22" borderId="0" xfId="13" applyFont="1" applyFill="1" applyAlignment="1">
      <alignment horizontal="center"/>
    </xf>
    <xf numFmtId="165" fontId="30" fillId="22" borderId="0" xfId="7" applyNumberFormat="1" applyFont="1" applyFill="1" applyAlignment="1">
      <alignment horizontal="center" vertical="center"/>
    </xf>
    <xf numFmtId="0" fontId="30" fillId="22" borderId="0" xfId="13" applyFont="1" applyFill="1" applyAlignment="1">
      <alignment horizontal="center" vertical="center"/>
    </xf>
    <xf numFmtId="2" fontId="3" fillId="0" borderId="0" xfId="13" applyNumberFormat="1" applyAlignment="1">
      <alignment horizontal="center"/>
    </xf>
    <xf numFmtId="0" fontId="29" fillId="0" borderId="0" xfId="7" applyFont="1"/>
    <xf numFmtId="2" fontId="5" fillId="0" borderId="22" xfId="9" applyNumberFormat="1" applyBorder="1" applyAlignment="1">
      <alignment horizontal="center"/>
    </xf>
    <xf numFmtId="2" fontId="5" fillId="6" borderId="22" xfId="9" applyNumberFormat="1" applyFill="1" applyBorder="1" applyAlignment="1">
      <alignment horizontal="center"/>
    </xf>
    <xf numFmtId="0" fontId="33" fillId="3" borderId="22" xfId="9" applyFont="1" applyFill="1" applyBorder="1" applyAlignment="1">
      <alignment horizontal="center" vertical="center" wrapText="1"/>
    </xf>
    <xf numFmtId="165" fontId="22" fillId="0" borderId="0" xfId="0" applyNumberFormat="1" applyFont="1" applyAlignment="1">
      <alignment horizontal="right"/>
    </xf>
    <xf numFmtId="165" fontId="20" fillId="0" borderId="0" xfId="0" applyNumberFormat="1" applyFont="1" applyAlignment="1">
      <alignment horizontal="right"/>
    </xf>
    <xf numFmtId="0" fontId="46" fillId="20" borderId="0" xfId="2" applyFont="1" applyFill="1" applyAlignment="1">
      <alignment horizontal="center"/>
    </xf>
    <xf numFmtId="0" fontId="42" fillId="5" borderId="4" xfId="2" applyFont="1" applyFill="1" applyBorder="1" applyAlignment="1">
      <alignment horizontal="right"/>
    </xf>
    <xf numFmtId="0" fontId="42" fillId="3" borderId="0" xfId="2" applyFont="1" applyFill="1" applyAlignment="1">
      <alignment horizontal="center" vertical="center"/>
    </xf>
    <xf numFmtId="0" fontId="43" fillId="0" borderId="0" xfId="2" applyFont="1" applyAlignment="1">
      <alignment horizontal="center" vertical="center"/>
    </xf>
    <xf numFmtId="0" fontId="42" fillId="0" borderId="7" xfId="2" applyFont="1" applyBorder="1" applyAlignment="1">
      <alignment horizontal="center" vertical="center"/>
    </xf>
    <xf numFmtId="0" fontId="42" fillId="0" borderId="3" xfId="2" applyFont="1" applyBorder="1" applyAlignment="1">
      <alignment horizontal="center" vertical="center"/>
    </xf>
    <xf numFmtId="0" fontId="42" fillId="5" borderId="6" xfId="2" applyFont="1" applyFill="1" applyBorder="1" applyAlignment="1">
      <alignment horizontal="right"/>
    </xf>
    <xf numFmtId="0" fontId="42" fillId="0" borderId="8" xfId="2" applyFont="1" applyBorder="1" applyAlignment="1">
      <alignment horizontal="center" vertical="center"/>
    </xf>
    <xf numFmtId="0" fontId="42" fillId="0" borderId="0" xfId="2" applyFont="1" applyAlignment="1">
      <alignment horizontal="center" vertical="center"/>
    </xf>
    <xf numFmtId="0" fontId="42" fillId="0" borderId="0" xfId="2" applyFont="1" applyAlignment="1">
      <alignment horizontal="center"/>
    </xf>
    <xf numFmtId="44" fontId="10" fillId="0" borderId="7" xfId="4" applyFont="1" applyFill="1" applyBorder="1"/>
    <xf numFmtId="44" fontId="10" fillId="0" borderId="10" xfId="4" applyFont="1" applyFill="1" applyBorder="1"/>
    <xf numFmtId="0" fontId="35" fillId="0" borderId="0" xfId="9" applyFont="1" applyAlignment="1">
      <alignment horizontal="center"/>
    </xf>
    <xf numFmtId="164" fontId="49" fillId="17" borderId="22" xfId="9" applyNumberFormat="1" applyFont="1" applyFill="1" applyBorder="1" applyAlignment="1">
      <alignment horizontal="center"/>
    </xf>
    <xf numFmtId="0" fontId="35" fillId="5" borderId="23" xfId="9" applyFont="1" applyFill="1" applyBorder="1" applyAlignment="1">
      <alignment horizontal="center"/>
    </xf>
    <xf numFmtId="0" fontId="35" fillId="24" borderId="23" xfId="9" applyFont="1" applyFill="1" applyBorder="1" applyAlignment="1">
      <alignment horizontal="center"/>
    </xf>
    <xf numFmtId="0" fontId="35" fillId="24" borderId="0" xfId="9" applyFont="1" applyFill="1" applyAlignment="1">
      <alignment horizontal="center"/>
    </xf>
    <xf numFmtId="165" fontId="6" fillId="23" borderId="0" xfId="7" applyNumberFormat="1" applyFill="1" applyAlignment="1">
      <alignment horizontal="center" vertical="center"/>
    </xf>
    <xf numFmtId="0" fontId="10" fillId="25" borderId="0" xfId="2" applyFont="1" applyFill="1"/>
    <xf numFmtId="44" fontId="36" fillId="12" borderId="22" xfId="11" applyNumberFormat="1" applyFont="1" applyFill="1" applyBorder="1" applyAlignment="1">
      <alignment horizontal="center" vertical="center"/>
    </xf>
    <xf numFmtId="0" fontId="49" fillId="0" borderId="0" xfId="0" applyFont="1"/>
    <xf numFmtId="0" fontId="49" fillId="9" borderId="0" xfId="0" applyFont="1" applyFill="1"/>
    <xf numFmtId="0" fontId="35" fillId="0" borderId="0" xfId="0" applyFont="1" applyAlignment="1">
      <alignment horizontal="center"/>
    </xf>
    <xf numFmtId="0" fontId="35" fillId="0" borderId="19" xfId="0" applyFont="1" applyBorder="1" applyAlignment="1">
      <alignment horizontal="center"/>
    </xf>
    <xf numFmtId="0" fontId="35" fillId="0" borderId="26" xfId="9" applyFont="1" applyBorder="1" applyAlignment="1">
      <alignment horizontal="center"/>
    </xf>
    <xf numFmtId="0" fontId="5" fillId="16" borderId="0" xfId="9" applyFill="1"/>
    <xf numFmtId="0" fontId="0" fillId="0" borderId="0" xfId="0" applyAlignment="1">
      <alignment horizontal="center" vertical="center"/>
    </xf>
    <xf numFmtId="0" fontId="0" fillId="26" borderId="0" xfId="0" applyFill="1"/>
    <xf numFmtId="44" fontId="0" fillId="0" borderId="0" xfId="1" applyFont="1" applyAlignment="1">
      <alignment horizontal="center" vertical="center"/>
    </xf>
    <xf numFmtId="44" fontId="0" fillId="0" borderId="0" xfId="1" applyFont="1" applyBorder="1" applyAlignment="1">
      <alignment horizontal="center" vertical="center"/>
    </xf>
    <xf numFmtId="44" fontId="0" fillId="0" borderId="0" xfId="1" applyFont="1" applyFill="1" applyAlignment="1">
      <alignment horizontal="center" vertical="center"/>
    </xf>
    <xf numFmtId="165" fontId="6" fillId="24" borderId="0" xfId="7" applyNumberFormat="1" applyFill="1" applyAlignment="1">
      <alignment horizontal="center" vertical="center"/>
    </xf>
    <xf numFmtId="167" fontId="33" fillId="0" borderId="26" xfId="10" applyNumberFormat="1" applyFont="1" applyFill="1" applyBorder="1" applyAlignment="1">
      <alignment horizontal="center" vertical="center" wrapText="1"/>
    </xf>
    <xf numFmtId="167" fontId="33" fillId="0" borderId="0" xfId="10" applyNumberFormat="1" applyFont="1" applyFill="1" applyBorder="1" applyAlignment="1">
      <alignment horizontal="center" vertical="center" wrapText="1"/>
    </xf>
    <xf numFmtId="0" fontId="51" fillId="0" borderId="0" xfId="13" applyFont="1"/>
    <xf numFmtId="0" fontId="52" fillId="22" borderId="0" xfId="13" applyFont="1" applyFill="1"/>
    <xf numFmtId="44" fontId="9" fillId="0" borderId="0" xfId="4" applyFont="1" applyBorder="1" applyAlignment="1">
      <alignment horizontal="center"/>
    </xf>
    <xf numFmtId="0" fontId="0" fillId="0" borderId="0" xfId="0" applyAlignment="1">
      <alignment horizontal="center"/>
    </xf>
    <xf numFmtId="0" fontId="46" fillId="4" borderId="21" xfId="2" applyFont="1" applyFill="1" applyBorder="1"/>
    <xf numFmtId="44" fontId="10" fillId="0" borderId="0" xfId="4" applyFont="1" applyBorder="1" applyAlignment="1">
      <alignment horizontal="center"/>
    </xf>
    <xf numFmtId="44" fontId="10" fillId="0" borderId="0" xfId="4" applyFont="1" applyAlignment="1">
      <alignment horizontal="right"/>
    </xf>
    <xf numFmtId="44" fontId="9" fillId="0" borderId="0" xfId="4" applyFont="1" applyAlignment="1">
      <alignment horizontal="right"/>
    </xf>
    <xf numFmtId="10" fontId="9" fillId="0" borderId="0" xfId="8" applyNumberFormat="1" applyFont="1"/>
    <xf numFmtId="44" fontId="17" fillId="0" borderId="0" xfId="4" applyFont="1" applyAlignment="1">
      <alignment horizontal="center"/>
    </xf>
    <xf numFmtId="44" fontId="17" fillId="0" borderId="0" xfId="4" applyFont="1" applyBorder="1" applyAlignment="1">
      <alignment horizontal="center"/>
    </xf>
    <xf numFmtId="44" fontId="9" fillId="0" borderId="0" xfId="4" applyFont="1" applyFill="1" applyAlignment="1">
      <alignment horizontal="center"/>
    </xf>
    <xf numFmtId="44" fontId="17" fillId="0" borderId="0" xfId="4" applyFont="1" applyAlignment="1">
      <alignment horizontal="left"/>
    </xf>
    <xf numFmtId="10" fontId="27" fillId="0" borderId="0" xfId="2" applyNumberFormat="1" applyFont="1" applyAlignment="1">
      <alignment horizontal="center"/>
    </xf>
    <xf numFmtId="44" fontId="50" fillId="16" borderId="0" xfId="4" applyFont="1" applyFill="1"/>
    <xf numFmtId="168" fontId="9" fillId="3" borderId="0" xfId="8" applyNumberFormat="1" applyFont="1" applyFill="1"/>
    <xf numFmtId="168" fontId="9" fillId="3" borderId="0" xfId="8" applyNumberFormat="1" applyFont="1" applyFill="1" applyAlignment="1">
      <alignment horizontal="right"/>
    </xf>
    <xf numFmtId="2" fontId="9" fillId="0" borderId="0" xfId="2" applyNumberFormat="1" applyFont="1"/>
    <xf numFmtId="165" fontId="50" fillId="18" borderId="0" xfId="1" applyNumberFormat="1" applyFont="1" applyFill="1" applyBorder="1" applyAlignment="1">
      <alignment horizontal="center" vertical="center"/>
    </xf>
    <xf numFmtId="44" fontId="9" fillId="0" borderId="0" xfId="1" applyFont="1" applyAlignment="1">
      <alignment horizontal="center"/>
    </xf>
    <xf numFmtId="44" fontId="9" fillId="0" borderId="0" xfId="1" applyFont="1" applyFill="1" applyAlignment="1">
      <alignment horizontal="center"/>
    </xf>
    <xf numFmtId="44" fontId="9" fillId="0" borderId="0" xfId="8" applyNumberFormat="1" applyFont="1" applyFill="1" applyAlignment="1">
      <alignment horizontal="center"/>
    </xf>
    <xf numFmtId="10" fontId="9" fillId="0" borderId="0" xfId="8" applyNumberFormat="1" applyFont="1" applyAlignment="1">
      <alignment horizontal="left" indent="1"/>
    </xf>
    <xf numFmtId="0" fontId="12" fillId="0" borderId="0" xfId="0" applyFont="1" applyAlignment="1">
      <alignment horizontal="left" vertical="center"/>
    </xf>
    <xf numFmtId="0" fontId="7" fillId="0" borderId="0" xfId="6"/>
    <xf numFmtId="0" fontId="31" fillId="3" borderId="0" xfId="6" applyFont="1" applyFill="1"/>
    <xf numFmtId="165" fontId="7" fillId="0" borderId="0" xfId="6" applyNumberFormat="1"/>
    <xf numFmtId="0" fontId="31" fillId="9" borderId="0" xfId="6" applyFont="1" applyFill="1"/>
    <xf numFmtId="0" fontId="7" fillId="0" borderId="0" xfId="6" applyAlignment="1">
      <alignment horizontal="center"/>
    </xf>
    <xf numFmtId="44" fontId="13" fillId="0" borderId="0" xfId="1" applyFill="1"/>
    <xf numFmtId="0" fontId="0" fillId="4" borderId="0" xfId="0" applyFill="1"/>
    <xf numFmtId="0" fontId="54" fillId="27" borderId="0" xfId="0" applyFont="1" applyFill="1" applyAlignment="1">
      <alignment vertical="center"/>
    </xf>
    <xf numFmtId="0" fontId="52" fillId="3" borderId="0" xfId="13" applyFont="1" applyFill="1"/>
    <xf numFmtId="2" fontId="9" fillId="0" borderId="0" xfId="2" applyNumberFormat="1" applyFont="1" applyAlignment="1">
      <alignment horizontal="center"/>
    </xf>
    <xf numFmtId="165" fontId="7" fillId="4" borderId="0" xfId="6" applyNumberFormat="1" applyFill="1"/>
    <xf numFmtId="0" fontId="7" fillId="2" borderId="0" xfId="6" applyFill="1"/>
    <xf numFmtId="0" fontId="6" fillId="0" borderId="0" xfId="7" applyAlignment="1">
      <alignment horizontal="right"/>
    </xf>
    <xf numFmtId="2" fontId="6" fillId="30" borderId="0" xfId="7" applyNumberFormat="1" applyFill="1" applyAlignment="1">
      <alignment horizontal="center"/>
    </xf>
    <xf numFmtId="0" fontId="6" fillId="30" borderId="0" xfId="7" applyFill="1" applyAlignment="1">
      <alignment horizontal="center"/>
    </xf>
    <xf numFmtId="0" fontId="6" fillId="3" borderId="0" xfId="7" applyFill="1" applyAlignment="1">
      <alignment horizontal="center"/>
    </xf>
    <xf numFmtId="0" fontId="6" fillId="0" borderId="0" xfId="7" applyAlignment="1">
      <alignment vertical="center"/>
    </xf>
    <xf numFmtId="0" fontId="30" fillId="0" borderId="0" xfId="7" applyFont="1" applyAlignment="1">
      <alignment horizontal="right" vertical="center"/>
    </xf>
    <xf numFmtId="0" fontId="6" fillId="0" borderId="0" xfId="7" applyAlignment="1">
      <alignment horizontal="center" vertical="center"/>
    </xf>
    <xf numFmtId="165" fontId="30" fillId="0" borderId="0" xfId="7" applyNumberFormat="1" applyFont="1" applyAlignment="1">
      <alignment horizontal="center" vertical="center" wrapText="1"/>
    </xf>
    <xf numFmtId="0" fontId="30" fillId="0" borderId="0" xfId="7" applyFont="1" applyAlignment="1">
      <alignment horizontal="center" vertical="center" wrapText="1"/>
    </xf>
    <xf numFmtId="2" fontId="6" fillId="3" borderId="0" xfId="7" applyNumberFormat="1" applyFill="1" applyAlignment="1">
      <alignment horizontal="center"/>
    </xf>
    <xf numFmtId="2" fontId="6" fillId="11" borderId="0" xfId="7" applyNumberFormat="1" applyFill="1" applyAlignment="1">
      <alignment horizontal="center"/>
    </xf>
    <xf numFmtId="2" fontId="6" fillId="0" borderId="0" xfId="7" applyNumberFormat="1"/>
    <xf numFmtId="2" fontId="6" fillId="0" borderId="0" xfId="7" applyNumberFormat="1" applyAlignment="1">
      <alignment horizontal="center"/>
    </xf>
    <xf numFmtId="2" fontId="55" fillId="11" borderId="0" xfId="7" applyNumberFormat="1" applyFont="1" applyFill="1" applyAlignment="1">
      <alignment horizontal="center"/>
    </xf>
    <xf numFmtId="0" fontId="30" fillId="0" borderId="0" xfId="7" applyFont="1" applyAlignment="1">
      <alignment horizontal="center" vertical="center"/>
    </xf>
    <xf numFmtId="2" fontId="31" fillId="0" borderId="15" xfId="7" applyNumberFormat="1" applyFont="1" applyBorder="1" applyAlignment="1">
      <alignment horizontal="center"/>
    </xf>
    <xf numFmtId="2" fontId="56" fillId="0" borderId="15" xfId="7" applyNumberFormat="1" applyFont="1" applyBorder="1" applyAlignment="1">
      <alignment horizontal="center"/>
    </xf>
    <xf numFmtId="165" fontId="6" fillId="3" borderId="0" xfId="7" applyNumberFormat="1" applyFill="1" applyAlignment="1">
      <alignment horizontal="center"/>
    </xf>
    <xf numFmtId="165" fontId="30" fillId="0" borderId="0" xfId="7" applyNumberFormat="1" applyFont="1" applyAlignment="1">
      <alignment horizontal="right"/>
    </xf>
    <xf numFmtId="0" fontId="6" fillId="19" borderId="0" xfId="7" applyFill="1" applyAlignment="1">
      <alignment horizontal="right"/>
    </xf>
    <xf numFmtId="0" fontId="7" fillId="0" borderId="0" xfId="6" applyAlignment="1">
      <alignment horizontal="center" vertical="center"/>
    </xf>
    <xf numFmtId="0" fontId="31" fillId="9" borderId="0" xfId="7" applyFont="1" applyFill="1" applyAlignment="1">
      <alignment horizontal="center" vertical="center"/>
    </xf>
    <xf numFmtId="0" fontId="30" fillId="0" borderId="15" xfId="6" applyFont="1" applyBorder="1" applyAlignment="1">
      <alignment horizontal="center" vertical="center"/>
    </xf>
    <xf numFmtId="0" fontId="6" fillId="3" borderId="0" xfId="7" applyFill="1"/>
    <xf numFmtId="0" fontId="6" fillId="9" borderId="0" xfId="7" applyFill="1" applyAlignment="1">
      <alignment horizontal="center"/>
    </xf>
    <xf numFmtId="165" fontId="6" fillId="9" borderId="0" xfId="7" applyNumberFormat="1" applyFill="1" applyAlignment="1">
      <alignment horizontal="center" vertical="center"/>
    </xf>
    <xf numFmtId="0" fontId="6" fillId="11" borderId="0" xfId="7" applyFill="1"/>
    <xf numFmtId="2" fontId="7" fillId="0" borderId="0" xfId="6" applyNumberFormat="1"/>
    <xf numFmtId="165" fontId="30" fillId="0" borderId="15" xfId="7" applyNumberFormat="1" applyFont="1" applyBorder="1"/>
    <xf numFmtId="0" fontId="6" fillId="0" borderId="20" xfId="7" applyBorder="1"/>
    <xf numFmtId="165" fontId="6" fillId="0" borderId="20" xfId="7" applyNumberFormat="1" applyBorder="1"/>
    <xf numFmtId="165" fontId="6" fillId="0" borderId="27" xfId="7" applyNumberFormat="1" applyBorder="1"/>
    <xf numFmtId="165" fontId="6" fillId="0" borderId="10" xfId="7" applyNumberFormat="1" applyBorder="1" applyAlignment="1">
      <alignment horizontal="center" vertical="center"/>
    </xf>
    <xf numFmtId="0" fontId="6" fillId="9" borderId="0" xfId="7" applyFill="1"/>
    <xf numFmtId="0" fontId="6" fillId="9" borderId="3" xfId="7" applyFill="1" applyBorder="1"/>
    <xf numFmtId="165" fontId="6" fillId="9" borderId="20" xfId="7" applyNumberFormat="1" applyFill="1" applyBorder="1" applyAlignment="1">
      <alignment horizontal="center" vertical="center"/>
    </xf>
    <xf numFmtId="165" fontId="6" fillId="9" borderId="21" xfId="7" applyNumberFormat="1" applyFill="1" applyBorder="1" applyAlignment="1">
      <alignment horizontal="center" vertical="center"/>
    </xf>
    <xf numFmtId="0" fontId="31" fillId="9" borderId="10" xfId="7" applyFont="1" applyFill="1" applyBorder="1"/>
    <xf numFmtId="0" fontId="6" fillId="9" borderId="10" xfId="7" applyFill="1" applyBorder="1" applyAlignment="1">
      <alignment horizontal="center"/>
    </xf>
    <xf numFmtId="0" fontId="6" fillId="9" borderId="11" xfId="7" applyFill="1" applyBorder="1" applyAlignment="1">
      <alignment horizontal="center"/>
    </xf>
    <xf numFmtId="165" fontId="6" fillId="9" borderId="27" xfId="7" applyNumberFormat="1" applyFill="1" applyBorder="1" applyAlignment="1">
      <alignment horizontal="center" vertical="center"/>
    </xf>
    <xf numFmtId="165" fontId="6" fillId="0" borderId="4" xfId="7" applyNumberFormat="1" applyBorder="1" applyAlignment="1">
      <alignment horizontal="center"/>
    </xf>
    <xf numFmtId="0" fontId="6" fillId="0" borderId="3" xfId="7" applyBorder="1" applyAlignment="1">
      <alignment horizontal="center"/>
    </xf>
    <xf numFmtId="165" fontId="6" fillId="16" borderId="20" xfId="7" applyNumberFormat="1" applyFill="1" applyBorder="1" applyAlignment="1">
      <alignment horizontal="center" vertical="center"/>
    </xf>
    <xf numFmtId="165" fontId="6" fillId="0" borderId="8" xfId="7" applyNumberFormat="1" applyBorder="1" applyAlignment="1">
      <alignment horizontal="center" vertical="center"/>
    </xf>
    <xf numFmtId="165" fontId="6" fillId="0" borderId="3" xfId="7" applyNumberFormat="1" applyBorder="1" applyAlignment="1">
      <alignment horizontal="center" vertical="center"/>
    </xf>
    <xf numFmtId="165" fontId="6" fillId="0" borderId="20" xfId="7" applyNumberFormat="1" applyBorder="1" applyAlignment="1">
      <alignment horizontal="center" vertical="center"/>
    </xf>
    <xf numFmtId="165" fontId="6" fillId="3" borderId="20" xfId="7" applyNumberFormat="1" applyFill="1" applyBorder="1" applyAlignment="1">
      <alignment horizontal="center" vertical="center"/>
    </xf>
    <xf numFmtId="165" fontId="6" fillId="0" borderId="27" xfId="7" applyNumberFormat="1" applyBorder="1" applyAlignment="1">
      <alignment horizontal="center" vertical="center"/>
    </xf>
    <xf numFmtId="44" fontId="9" fillId="0" borderId="0" xfId="1" applyFont="1" applyAlignment="1">
      <alignment horizontal="right"/>
    </xf>
    <xf numFmtId="0" fontId="42" fillId="2" borderId="15" xfId="2" applyFont="1" applyFill="1" applyBorder="1"/>
    <xf numFmtId="0" fontId="57" fillId="0" borderId="0" xfId="2" applyFont="1" applyAlignment="1">
      <alignment horizontal="center"/>
    </xf>
    <xf numFmtId="44" fontId="57" fillId="0" borderId="0" xfId="4" applyFont="1" applyFill="1"/>
    <xf numFmtId="0" fontId="42" fillId="25" borderId="0" xfId="2" applyFont="1" applyFill="1"/>
    <xf numFmtId="0" fontId="57" fillId="0" borderId="0" xfId="2" applyFont="1"/>
    <xf numFmtId="2" fontId="57" fillId="0" borderId="0" xfId="2" applyNumberFormat="1" applyFont="1" applyAlignment="1">
      <alignment horizontal="center"/>
    </xf>
    <xf numFmtId="44" fontId="9" fillId="0" borderId="0" xfId="4" applyFont="1" applyAlignment="1">
      <alignment horizontal="right" indent="1"/>
    </xf>
    <xf numFmtId="2" fontId="9" fillId="0" borderId="0" xfId="4" applyNumberFormat="1" applyFont="1" applyAlignment="1">
      <alignment horizontal="center"/>
    </xf>
    <xf numFmtId="44" fontId="9" fillId="16" borderId="0" xfId="4" applyFont="1" applyFill="1" applyBorder="1" applyAlignment="1">
      <alignment horizontal="center"/>
    </xf>
    <xf numFmtId="0" fontId="9" fillId="0" borderId="7" xfId="0" applyFont="1" applyBorder="1"/>
    <xf numFmtId="0" fontId="11" fillId="5" borderId="4" xfId="0" applyFont="1" applyFill="1" applyBorder="1" applyAlignment="1">
      <alignment horizontal="right"/>
    </xf>
    <xf numFmtId="0" fontId="7" fillId="28" borderId="0" xfId="6" applyFill="1" applyAlignment="1">
      <alignment horizontal="center"/>
    </xf>
    <xf numFmtId="0" fontId="9" fillId="28" borderId="0" xfId="2" applyFont="1" applyFill="1" applyAlignment="1">
      <alignment horizontal="center"/>
    </xf>
    <xf numFmtId="165" fontId="7" fillId="28" borderId="0" xfId="6" applyNumberFormat="1" applyFill="1"/>
    <xf numFmtId="44" fontId="9" fillId="28" borderId="0" xfId="4" applyFont="1" applyFill="1"/>
    <xf numFmtId="2" fontId="9" fillId="3" borderId="3" xfId="1" applyNumberFormat="1" applyFont="1" applyFill="1" applyBorder="1"/>
    <xf numFmtId="44" fontId="9" fillId="28" borderId="3" xfId="1" applyFont="1" applyFill="1" applyBorder="1"/>
    <xf numFmtId="44" fontId="9" fillId="28" borderId="11" xfId="1" applyFont="1" applyFill="1" applyBorder="1" applyAlignment="1">
      <alignment horizontal="left"/>
    </xf>
    <xf numFmtId="44" fontId="9" fillId="28" borderId="0" xfId="1" applyFont="1" applyFill="1" applyAlignment="1">
      <alignment horizontal="right"/>
    </xf>
    <xf numFmtId="44" fontId="9" fillId="0" borderId="0" xfId="1" applyFont="1" applyFill="1" applyAlignment="1">
      <alignment horizontal="right"/>
    </xf>
    <xf numFmtId="44" fontId="9" fillId="0" borderId="0" xfId="1" applyFont="1" applyFill="1" applyBorder="1"/>
    <xf numFmtId="2" fontId="9" fillId="0" borderId="0" xfId="1" applyNumberFormat="1" applyFont="1" applyFill="1" applyBorder="1"/>
    <xf numFmtId="0" fontId="11" fillId="0" borderId="0" xfId="0" applyFont="1" applyAlignment="1">
      <alignment horizontal="right"/>
    </xf>
    <xf numFmtId="165" fontId="13" fillId="0" borderId="0" xfId="1" applyNumberFormat="1" applyFill="1"/>
    <xf numFmtId="0" fontId="0" fillId="0" borderId="0" xfId="0" applyAlignment="1">
      <alignment wrapText="1"/>
    </xf>
    <xf numFmtId="44" fontId="13" fillId="28" borderId="0" xfId="1" applyFill="1"/>
    <xf numFmtId="0" fontId="7" fillId="28" borderId="0" xfId="6" applyFill="1"/>
    <xf numFmtId="0" fontId="60" fillId="0" borderId="0" xfId="2" applyFont="1" applyAlignment="1">
      <alignment horizontal="center"/>
    </xf>
    <xf numFmtId="44" fontId="60" fillId="0" borderId="0" xfId="4" applyFont="1"/>
    <xf numFmtId="0" fontId="55" fillId="0" borderId="0" xfId="2" applyFont="1"/>
    <xf numFmtId="0" fontId="59" fillId="0" borderId="0" xfId="0" applyFont="1"/>
    <xf numFmtId="44" fontId="60" fillId="0" borderId="0" xfId="1" applyFont="1" applyFill="1" applyAlignment="1">
      <alignment horizontal="right"/>
    </xf>
    <xf numFmtId="44" fontId="60" fillId="0" borderId="0" xfId="4" applyFont="1" applyFill="1"/>
    <xf numFmtId="0" fontId="2" fillId="0" borderId="0" xfId="6" applyFont="1" applyAlignment="1">
      <alignment horizontal="center"/>
    </xf>
    <xf numFmtId="0" fontId="2" fillId="0" borderId="0" xfId="6" applyFont="1"/>
    <xf numFmtId="0" fontId="2" fillId="28" borderId="0" xfId="6" applyFont="1" applyFill="1"/>
    <xf numFmtId="0" fontId="54" fillId="0" borderId="0" xfId="0" applyFont="1"/>
    <xf numFmtId="0" fontId="9" fillId="28" borderId="0" xfId="2" applyFont="1" applyFill="1"/>
    <xf numFmtId="0" fontId="2" fillId="28" borderId="0" xfId="6" applyFont="1" applyFill="1" applyAlignment="1">
      <alignment horizontal="center"/>
    </xf>
    <xf numFmtId="0" fontId="2" fillId="0" borderId="0" xfId="6" applyFont="1" applyAlignment="1">
      <alignment wrapText="1"/>
    </xf>
    <xf numFmtId="0" fontId="2" fillId="29" borderId="0" xfId="6" applyFont="1" applyFill="1"/>
    <xf numFmtId="0" fontId="2" fillId="0" borderId="0" xfId="7" applyFont="1" applyAlignment="1">
      <alignment horizontal="right"/>
    </xf>
    <xf numFmtId="2" fontId="2" fillId="30" borderId="0" xfId="7" applyNumberFormat="1" applyFont="1" applyFill="1" applyAlignment="1">
      <alignment horizontal="center"/>
    </xf>
    <xf numFmtId="9" fontId="2" fillId="0" borderId="0" xfId="5" applyFont="1" applyAlignment="1">
      <alignment horizontal="center"/>
    </xf>
    <xf numFmtId="165" fontId="2" fillId="0" borderId="0" xfId="7" applyNumberFormat="1" applyFont="1" applyAlignment="1">
      <alignment horizontal="center" vertical="center" wrapText="1"/>
    </xf>
    <xf numFmtId="0" fontId="2" fillId="0" borderId="0" xfId="7" applyFont="1" applyAlignment="1">
      <alignment horizontal="center" vertical="center" wrapText="1"/>
    </xf>
    <xf numFmtId="2" fontId="2" fillId="3" borderId="0" xfId="5" applyNumberFormat="1" applyFont="1" applyFill="1" applyAlignment="1">
      <alignment horizontal="center" vertical="center"/>
    </xf>
    <xf numFmtId="2" fontId="2" fillId="0" borderId="0" xfId="5" applyNumberFormat="1" applyFont="1" applyAlignment="1">
      <alignment horizontal="center" vertical="center"/>
    </xf>
    <xf numFmtId="0" fontId="2" fillId="0" borderId="0" xfId="6" applyFont="1" applyAlignment="1">
      <alignment horizontal="center" vertical="center" wrapText="1"/>
    </xf>
    <xf numFmtId="0" fontId="2" fillId="0" borderId="0" xfId="6" applyFont="1" applyAlignment="1">
      <alignment horizontal="center" vertical="center"/>
    </xf>
    <xf numFmtId="165" fontId="2" fillId="0" borderId="0" xfId="7" applyNumberFormat="1" applyFont="1" applyAlignment="1">
      <alignment horizontal="center" vertical="center"/>
    </xf>
    <xf numFmtId="165" fontId="2" fillId="24" borderId="0" xfId="7" applyNumberFormat="1" applyFont="1" applyFill="1" applyAlignment="1">
      <alignment horizontal="center" vertical="center"/>
    </xf>
    <xf numFmtId="0" fontId="2" fillId="0" borderId="0" xfId="7" applyFont="1" applyAlignment="1">
      <alignment horizontal="center"/>
    </xf>
    <xf numFmtId="0" fontId="2" fillId="0" borderId="0" xfId="13" applyFont="1" applyAlignment="1">
      <alignment horizontal="center" vertical="center"/>
    </xf>
    <xf numFmtId="2" fontId="2" fillId="0" borderId="0" xfId="8" applyNumberFormat="1" applyFont="1" applyAlignment="1">
      <alignment horizontal="center" vertical="center"/>
    </xf>
    <xf numFmtId="0" fontId="2" fillId="19" borderId="0" xfId="7" applyFont="1" applyFill="1" applyAlignment="1">
      <alignment horizontal="right"/>
    </xf>
    <xf numFmtId="0" fontId="2" fillId="0" borderId="0" xfId="7" applyFont="1"/>
    <xf numFmtId="0" fontId="2" fillId="3" borderId="0" xfId="7" applyFont="1" applyFill="1" applyAlignment="1">
      <alignment horizontal="center"/>
    </xf>
    <xf numFmtId="44" fontId="2" fillId="0" borderId="0" xfId="1" applyFont="1"/>
    <xf numFmtId="2" fontId="2" fillId="0" borderId="22" xfId="9" applyNumberFormat="1" applyFont="1" applyBorder="1" applyAlignment="1">
      <alignment horizontal="center"/>
    </xf>
    <xf numFmtId="0" fontId="9" fillId="16" borderId="0" xfId="2" applyFont="1" applyFill="1"/>
    <xf numFmtId="0" fontId="9" fillId="16" borderId="0" xfId="2" applyFont="1" applyFill="1" applyAlignment="1">
      <alignment horizontal="center"/>
    </xf>
    <xf numFmtId="44" fontId="9" fillId="16" borderId="0" xfId="4" applyFont="1" applyFill="1"/>
    <xf numFmtId="44" fontId="60" fillId="16" borderId="0" xfId="4" applyFont="1" applyFill="1"/>
    <xf numFmtId="0" fontId="2" fillId="0" borderId="0" xfId="7" applyFont="1" applyAlignment="1">
      <alignment vertical="center"/>
    </xf>
    <xf numFmtId="44" fontId="57" fillId="0" borderId="0" xfId="4" applyFont="1"/>
    <xf numFmtId="165" fontId="2" fillId="0" borderId="0" xfId="6" applyNumberFormat="1" applyFont="1"/>
    <xf numFmtId="44" fontId="0" fillId="0" borderId="0" xfId="1" applyFont="1"/>
    <xf numFmtId="165" fontId="2" fillId="28" borderId="0" xfId="6" applyNumberFormat="1" applyFont="1" applyFill="1"/>
    <xf numFmtId="165" fontId="2" fillId="4" borderId="0" xfId="6" applyNumberFormat="1" applyFont="1" applyFill="1"/>
    <xf numFmtId="0" fontId="2" fillId="2" borderId="0" xfId="6" applyFont="1" applyFill="1"/>
    <xf numFmtId="0" fontId="2" fillId="2" borderId="13" xfId="7" applyFont="1" applyFill="1" applyBorder="1"/>
    <xf numFmtId="0" fontId="2" fillId="2" borderId="14" xfId="7" applyFont="1" applyFill="1" applyBorder="1"/>
    <xf numFmtId="165" fontId="2" fillId="0" borderId="0" xfId="7" applyNumberFormat="1" applyFont="1" applyAlignment="1">
      <alignment horizontal="center"/>
    </xf>
    <xf numFmtId="0" fontId="2" fillId="30" borderId="0" xfId="7" applyFont="1" applyFill="1" applyAlignment="1">
      <alignment horizontal="center"/>
    </xf>
    <xf numFmtId="0" fontId="2" fillId="0" borderId="0" xfId="7" applyFont="1" applyAlignment="1">
      <alignment horizontal="center" vertical="center"/>
    </xf>
    <xf numFmtId="2" fontId="2" fillId="3" borderId="0" xfId="7" applyNumberFormat="1" applyFont="1" applyFill="1" applyAlignment="1">
      <alignment horizontal="center"/>
    </xf>
    <xf numFmtId="2" fontId="2" fillId="11" borderId="0" xfId="7" applyNumberFormat="1" applyFont="1" applyFill="1" applyAlignment="1">
      <alignment horizontal="center"/>
    </xf>
    <xf numFmtId="2" fontId="2" fillId="0" borderId="0" xfId="7" applyNumberFormat="1" applyFont="1"/>
    <xf numFmtId="2" fontId="2" fillId="0" borderId="0" xfId="7" applyNumberFormat="1" applyFont="1" applyAlignment="1">
      <alignment horizontal="center"/>
    </xf>
    <xf numFmtId="165" fontId="2" fillId="3" borderId="0" xfId="7" applyNumberFormat="1" applyFont="1" applyFill="1" applyAlignment="1">
      <alignment horizontal="center"/>
    </xf>
    <xf numFmtId="0" fontId="2" fillId="19" borderId="0" xfId="7" applyFont="1" applyFill="1"/>
    <xf numFmtId="165" fontId="2" fillId="19" borderId="0" xfId="7" applyNumberFormat="1" applyFont="1" applyFill="1" applyAlignment="1">
      <alignment horizontal="center" vertical="center"/>
    </xf>
    <xf numFmtId="165" fontId="2" fillId="19" borderId="0" xfId="7" applyNumberFormat="1" applyFont="1" applyFill="1" applyAlignment="1">
      <alignment horizontal="center"/>
    </xf>
    <xf numFmtId="2" fontId="2" fillId="0" borderId="0" xfId="7" applyNumberFormat="1" applyFont="1" applyAlignment="1">
      <alignment horizontal="center" vertical="center"/>
    </xf>
    <xf numFmtId="165" fontId="2" fillId="0" borderId="0" xfId="7" applyNumberFormat="1" applyFont="1"/>
    <xf numFmtId="0" fontId="2" fillId="3" borderId="0" xfId="7" applyFont="1" applyFill="1"/>
    <xf numFmtId="0" fontId="2" fillId="9" borderId="0" xfId="7" applyFont="1" applyFill="1" applyAlignment="1">
      <alignment horizontal="center"/>
    </xf>
    <xf numFmtId="165" fontId="2" fillId="9" borderId="0" xfId="7" applyNumberFormat="1" applyFont="1" applyFill="1" applyAlignment="1">
      <alignment horizontal="center" vertical="center"/>
    </xf>
    <xf numFmtId="0" fontId="2" fillId="11" borderId="0" xfId="7" applyFont="1" applyFill="1"/>
    <xf numFmtId="2" fontId="2" fillId="0" borderId="0" xfId="6" applyNumberFormat="1" applyFont="1"/>
    <xf numFmtId="0" fontId="2" fillId="0" borderId="20" xfId="7" applyFont="1" applyBorder="1"/>
    <xf numFmtId="165" fontId="2" fillId="0" borderId="20" xfId="7" applyNumberFormat="1" applyFont="1" applyBorder="1"/>
    <xf numFmtId="165" fontId="2" fillId="0" borderId="27" xfId="7" applyNumberFormat="1" applyFont="1" applyBorder="1"/>
    <xf numFmtId="165" fontId="2" fillId="0" borderId="10" xfId="7" applyNumberFormat="1" applyFont="1" applyBorder="1" applyAlignment="1">
      <alignment horizontal="center" vertical="center"/>
    </xf>
    <xf numFmtId="0" fontId="2" fillId="9" borderId="0" xfId="7" applyFont="1" applyFill="1"/>
    <xf numFmtId="0" fontId="2" fillId="9" borderId="3" xfId="7" applyFont="1" applyFill="1" applyBorder="1"/>
    <xf numFmtId="165" fontId="2" fillId="9" borderId="20" xfId="7" applyNumberFormat="1" applyFont="1" applyFill="1" applyBorder="1" applyAlignment="1">
      <alignment horizontal="center" vertical="center"/>
    </xf>
    <xf numFmtId="165" fontId="2" fillId="9" borderId="21" xfId="7" applyNumberFormat="1" applyFont="1" applyFill="1" applyBorder="1" applyAlignment="1">
      <alignment horizontal="center" vertical="center"/>
    </xf>
    <xf numFmtId="0" fontId="2" fillId="9" borderId="10" xfId="7" applyFont="1" applyFill="1" applyBorder="1" applyAlignment="1">
      <alignment horizontal="center"/>
    </xf>
    <xf numFmtId="0" fontId="2" fillId="9" borderId="11" xfId="7" applyFont="1" applyFill="1" applyBorder="1" applyAlignment="1">
      <alignment horizontal="center"/>
    </xf>
    <xf numFmtId="165" fontId="2" fillId="9" borderId="27" xfId="7" applyNumberFormat="1" applyFont="1" applyFill="1" applyBorder="1" applyAlignment="1">
      <alignment horizontal="center" vertical="center"/>
    </xf>
    <xf numFmtId="165" fontId="2" fillId="0" borderId="4" xfId="7" applyNumberFormat="1" applyFont="1" applyBorder="1" applyAlignment="1">
      <alignment horizontal="center"/>
    </xf>
    <xf numFmtId="0" fontId="2" fillId="0" borderId="3" xfId="7" applyFont="1" applyBorder="1" applyAlignment="1">
      <alignment horizontal="center"/>
    </xf>
    <xf numFmtId="165" fontId="2" fillId="16" borderId="20" xfId="7" applyNumberFormat="1" applyFont="1" applyFill="1" applyBorder="1" applyAlignment="1">
      <alignment horizontal="center" vertical="center"/>
    </xf>
    <xf numFmtId="165" fontId="2" fillId="0" borderId="8" xfId="7" applyNumberFormat="1" applyFont="1" applyBorder="1" applyAlignment="1">
      <alignment horizontal="center" vertical="center"/>
    </xf>
    <xf numFmtId="165" fontId="2" fillId="0" borderId="3" xfId="7" applyNumberFormat="1" applyFont="1" applyBorder="1" applyAlignment="1">
      <alignment horizontal="center" vertical="center"/>
    </xf>
    <xf numFmtId="165" fontId="2" fillId="0" borderId="20" xfId="7" applyNumberFormat="1" applyFont="1" applyBorder="1" applyAlignment="1">
      <alignment horizontal="center" vertical="center"/>
    </xf>
    <xf numFmtId="165" fontId="2" fillId="3" borderId="20" xfId="7" applyNumberFormat="1" applyFont="1" applyFill="1" applyBorder="1" applyAlignment="1">
      <alignment horizontal="center" vertical="center"/>
    </xf>
    <xf numFmtId="165" fontId="2" fillId="0" borderId="27" xfId="7" applyNumberFormat="1" applyFont="1" applyBorder="1" applyAlignment="1">
      <alignment horizontal="center" vertical="center"/>
    </xf>
    <xf numFmtId="0" fontId="2" fillId="16" borderId="0" xfId="6" applyFont="1" applyFill="1" applyAlignment="1">
      <alignment wrapText="1"/>
    </xf>
    <xf numFmtId="0" fontId="2" fillId="16" borderId="0" xfId="6" applyFont="1" applyFill="1" applyAlignment="1">
      <alignment horizontal="center"/>
    </xf>
    <xf numFmtId="165" fontId="2" fillId="16" borderId="0" xfId="6" applyNumberFormat="1" applyFont="1" applyFill="1"/>
    <xf numFmtId="0" fontId="61" fillId="16" borderId="0" xfId="2" applyFont="1" applyFill="1"/>
    <xf numFmtId="0" fontId="7" fillId="16" borderId="0" xfId="6" applyFill="1" applyAlignment="1">
      <alignment horizontal="center"/>
    </xf>
    <xf numFmtId="165" fontId="7" fillId="16" borderId="0" xfId="6" applyNumberFormat="1" applyFill="1"/>
    <xf numFmtId="0" fontId="63" fillId="0" borderId="0" xfId="0" applyFont="1"/>
    <xf numFmtId="165" fontId="9" fillId="16" borderId="0" xfId="4" applyNumberFormat="1" applyFont="1" applyFill="1"/>
    <xf numFmtId="165" fontId="63" fillId="16" borderId="0" xfId="0" applyNumberFormat="1" applyFont="1" applyFill="1"/>
    <xf numFmtId="0" fontId="9" fillId="16" borderId="0" xfId="2" applyFont="1" applyFill="1" applyAlignment="1">
      <alignment wrapText="1"/>
    </xf>
    <xf numFmtId="0" fontId="62" fillId="16" borderId="0" xfId="0" applyFont="1" applyFill="1" applyAlignment="1">
      <alignment wrapText="1"/>
    </xf>
    <xf numFmtId="0" fontId="62" fillId="16" borderId="0" xfId="0" applyFont="1" applyFill="1" applyAlignment="1">
      <alignment horizontal="center"/>
    </xf>
    <xf numFmtId="44" fontId="9" fillId="16" borderId="0" xfId="4" applyFont="1" applyFill="1" applyAlignment="1"/>
    <xf numFmtId="44" fontId="9" fillId="0" borderId="0" xfId="4" applyFont="1" applyFill="1" applyAlignment="1"/>
    <xf numFmtId="0" fontId="9" fillId="16" borderId="28" xfId="2" applyFont="1" applyFill="1" applyBorder="1"/>
    <xf numFmtId="0" fontId="9" fillId="16" borderId="28" xfId="2" applyFont="1" applyFill="1" applyBorder="1" applyAlignment="1">
      <alignment wrapText="1"/>
    </xf>
    <xf numFmtId="0" fontId="9" fillId="4" borderId="0" xfId="2" applyFont="1" applyFill="1" applyAlignment="1">
      <alignment horizontal="center"/>
    </xf>
    <xf numFmtId="0" fontId="10" fillId="9" borderId="21" xfId="2" applyFont="1" applyFill="1" applyBorder="1"/>
    <xf numFmtId="0" fontId="9" fillId="30" borderId="0" xfId="0" applyFont="1" applyFill="1" applyAlignment="1">
      <alignment vertical="center"/>
    </xf>
    <xf numFmtId="0" fontId="9" fillId="30" borderId="4" xfId="0" applyFont="1" applyFill="1" applyBorder="1"/>
    <xf numFmtId="44" fontId="9" fillId="30" borderId="3" xfId="1" applyFont="1" applyFill="1" applyBorder="1"/>
    <xf numFmtId="2" fontId="9" fillId="30" borderId="3" xfId="1" applyNumberFormat="1" applyFont="1" applyFill="1" applyBorder="1"/>
    <xf numFmtId="0" fontId="11" fillId="30" borderId="4" xfId="0" applyFont="1" applyFill="1" applyBorder="1" applyAlignment="1">
      <alignment horizontal="right"/>
    </xf>
    <xf numFmtId="44" fontId="9" fillId="30" borderId="11" xfId="1" applyFont="1" applyFill="1" applyBorder="1" applyAlignment="1">
      <alignment horizontal="left"/>
    </xf>
    <xf numFmtId="0" fontId="9" fillId="30" borderId="0" xfId="0" applyFont="1" applyFill="1"/>
    <xf numFmtId="0" fontId="1" fillId="16" borderId="0" xfId="6" applyFont="1" applyFill="1" applyAlignment="1">
      <alignment wrapText="1"/>
    </xf>
    <xf numFmtId="44" fontId="13" fillId="0" borderId="0" xfId="1" applyFont="1" applyAlignment="1">
      <alignment horizontal="left" vertical="center" indent="1"/>
    </xf>
    <xf numFmtId="44" fontId="12" fillId="0" borderId="0" xfId="0" applyNumberFormat="1" applyFont="1"/>
    <xf numFmtId="0" fontId="12" fillId="0" borderId="0" xfId="0" applyFont="1" applyAlignment="1">
      <alignment vertical="center"/>
    </xf>
    <xf numFmtId="0" fontId="13" fillId="0" borderId="0" xfId="0" applyFont="1" applyAlignment="1">
      <alignment horizontal="left" vertical="top" wrapText="1"/>
    </xf>
    <xf numFmtId="0" fontId="12" fillId="0" borderId="0" xfId="0" applyFont="1" applyAlignment="1">
      <alignment horizontal="left" vertical="center" wrapText="1"/>
    </xf>
    <xf numFmtId="0" fontId="12" fillId="0" borderId="0" xfId="0" applyFont="1" applyAlignment="1">
      <alignment horizontal="left" vertical="center"/>
    </xf>
    <xf numFmtId="0" fontId="58" fillId="16" borderId="0" xfId="0" applyFont="1" applyFill="1" applyAlignment="1">
      <alignment horizontal="center" vertical="center"/>
    </xf>
    <xf numFmtId="0" fontId="11" fillId="2" borderId="0" xfId="0" applyFont="1" applyFill="1" applyAlignment="1">
      <alignment horizontal="center"/>
    </xf>
    <xf numFmtId="0" fontId="10" fillId="0" borderId="0" xfId="0" applyFont="1" applyAlignment="1">
      <alignment vertical="top" wrapText="1"/>
    </xf>
    <xf numFmtId="0" fontId="12" fillId="0" borderId="0" xfId="0" applyFont="1" applyAlignment="1">
      <alignment vertical="top" wrapText="1"/>
    </xf>
    <xf numFmtId="0" fontId="10" fillId="0" borderId="0" xfId="2" applyFont="1" applyAlignment="1">
      <alignment vertical="top" wrapText="1"/>
    </xf>
    <xf numFmtId="0" fontId="16" fillId="5" borderId="6" xfId="0" applyFont="1" applyFill="1" applyBorder="1" applyAlignment="1">
      <alignment horizontal="center"/>
    </xf>
    <xf numFmtId="0" fontId="16" fillId="5" borderId="8" xfId="0" applyFont="1" applyFill="1" applyBorder="1" applyAlignment="1">
      <alignment horizontal="center"/>
    </xf>
    <xf numFmtId="0" fontId="9" fillId="0" borderId="0" xfId="0" applyFont="1" applyAlignment="1">
      <alignment horizontal="center" vertical="top"/>
    </xf>
    <xf numFmtId="0" fontId="16" fillId="0" borderId="4" xfId="0" applyFont="1" applyBorder="1" applyAlignment="1">
      <alignment horizontal="center"/>
    </xf>
    <xf numFmtId="0" fontId="16" fillId="0" borderId="0" xfId="0" applyFont="1" applyAlignment="1">
      <alignment horizontal="center"/>
    </xf>
    <xf numFmtId="0" fontId="9" fillId="17" borderId="0" xfId="0" applyFont="1" applyFill="1" applyAlignment="1">
      <alignment horizontal="center"/>
    </xf>
    <xf numFmtId="0" fontId="16" fillId="5" borderId="6" xfId="0" applyFont="1" applyFill="1" applyBorder="1" applyAlignment="1">
      <alignment horizontal="center" wrapText="1"/>
    </xf>
    <xf numFmtId="0" fontId="16" fillId="30" borderId="6" xfId="0" applyFont="1" applyFill="1" applyBorder="1" applyAlignment="1">
      <alignment horizontal="center"/>
    </xf>
    <xf numFmtId="0" fontId="16" fillId="30" borderId="8" xfId="0" applyFont="1" applyFill="1" applyBorder="1" applyAlignment="1">
      <alignment horizontal="center"/>
    </xf>
    <xf numFmtId="0" fontId="9" fillId="17" borderId="0" xfId="0" applyFont="1" applyFill="1" applyAlignment="1">
      <alignment horizontal="center" vertical="center"/>
    </xf>
    <xf numFmtId="0" fontId="10" fillId="8" borderId="0" xfId="2" applyFont="1" applyFill="1" applyAlignment="1">
      <alignment horizontal="center"/>
    </xf>
    <xf numFmtId="0" fontId="12" fillId="7" borderId="12" xfId="2" applyFont="1" applyFill="1" applyBorder="1" applyAlignment="1">
      <alignment horizontal="left"/>
    </xf>
    <xf numFmtId="0" fontId="12" fillId="7" borderId="13" xfId="2" applyFont="1" applyFill="1" applyBorder="1" applyAlignment="1">
      <alignment horizontal="left"/>
    </xf>
    <xf numFmtId="0" fontId="12" fillId="7" borderId="14" xfId="2" applyFont="1" applyFill="1" applyBorder="1" applyAlignment="1">
      <alignment horizontal="left"/>
    </xf>
    <xf numFmtId="0" fontId="17" fillId="0" borderId="0" xfId="2" applyFont="1" applyAlignment="1">
      <alignment horizontal="center"/>
    </xf>
    <xf numFmtId="0" fontId="46" fillId="28" borderId="0" xfId="2" applyFont="1" applyFill="1" applyAlignment="1">
      <alignment horizontal="right" vertical="center" indent="1"/>
    </xf>
    <xf numFmtId="0" fontId="46" fillId="20" borderId="0" xfId="2" applyFont="1" applyFill="1" applyAlignment="1">
      <alignment horizontal="left"/>
    </xf>
    <xf numFmtId="0" fontId="53" fillId="0" borderId="0" xfId="2" applyFont="1" applyAlignment="1">
      <alignment horizontal="center"/>
    </xf>
    <xf numFmtId="0" fontId="50" fillId="16" borderId="0" xfId="2" applyFont="1" applyFill="1" applyAlignment="1">
      <alignment horizontal="center"/>
    </xf>
    <xf numFmtId="0" fontId="2" fillId="16" borderId="0" xfId="6" applyFont="1" applyFill="1" applyAlignment="1">
      <alignment horizontal="center" wrapText="1"/>
    </xf>
    <xf numFmtId="0" fontId="7" fillId="16" borderId="0" xfId="6" applyFill="1" applyAlignment="1">
      <alignment horizontal="center"/>
    </xf>
    <xf numFmtId="0" fontId="9" fillId="16" borderId="0" xfId="2" applyFont="1" applyFill="1" applyAlignment="1">
      <alignment horizontal="center"/>
    </xf>
    <xf numFmtId="44" fontId="9" fillId="16" borderId="0" xfId="4" applyFont="1" applyFill="1" applyAlignment="1">
      <alignment horizontal="center"/>
    </xf>
    <xf numFmtId="165" fontId="7" fillId="16" borderId="0" xfId="6" applyNumberFormat="1" applyFill="1" applyAlignment="1">
      <alignment horizontal="center"/>
    </xf>
    <xf numFmtId="0" fontId="44" fillId="7" borderId="12" xfId="2" applyFont="1" applyFill="1" applyBorder="1" applyAlignment="1">
      <alignment horizontal="left"/>
    </xf>
    <xf numFmtId="0" fontId="44" fillId="7" borderId="13" xfId="2" applyFont="1" applyFill="1" applyBorder="1" applyAlignment="1">
      <alignment horizontal="left"/>
    </xf>
    <xf numFmtId="0" fontId="44" fillId="7" borderId="14" xfId="2" applyFont="1" applyFill="1" applyBorder="1" applyAlignment="1">
      <alignment horizontal="left"/>
    </xf>
    <xf numFmtId="0" fontId="2" fillId="16" borderId="25" xfId="9" applyFont="1" applyFill="1" applyBorder="1" applyAlignment="1">
      <alignment horizontal="center" vertical="center" wrapText="1"/>
    </xf>
    <xf numFmtId="0" fontId="5" fillId="16" borderId="25" xfId="9" applyFill="1" applyBorder="1" applyAlignment="1">
      <alignment horizontal="center" vertical="center" wrapText="1"/>
    </xf>
    <xf numFmtId="164" fontId="38" fillId="5" borderId="23" xfId="10" applyFont="1" applyFill="1" applyBorder="1" applyAlignment="1">
      <alignment horizontal="center" vertical="center"/>
    </xf>
    <xf numFmtId="164" fontId="38" fillId="5" borderId="19" xfId="10" applyFont="1" applyFill="1" applyBorder="1" applyAlignment="1">
      <alignment horizontal="center" vertical="center"/>
    </xf>
    <xf numFmtId="164" fontId="38" fillId="5" borderId="24" xfId="10" applyFont="1" applyFill="1" applyBorder="1" applyAlignment="1">
      <alignment horizontal="center" vertical="center"/>
    </xf>
    <xf numFmtId="0" fontId="48" fillId="17" borderId="0" xfId="2" applyFont="1" applyFill="1" applyAlignment="1">
      <alignment horizontal="center" vertical="center"/>
    </xf>
    <xf numFmtId="0" fontId="10" fillId="0" borderId="4" xfId="2" applyFont="1" applyBorder="1" applyAlignment="1">
      <alignment horizontal="right"/>
    </xf>
    <xf numFmtId="0" fontId="10" fillId="0" borderId="0" xfId="2" applyFont="1" applyAlignment="1">
      <alignment horizontal="right"/>
    </xf>
    <xf numFmtId="0" fontId="11" fillId="3" borderId="0" xfId="2" applyFont="1" applyFill="1" applyAlignment="1">
      <alignment horizontal="center"/>
    </xf>
    <xf numFmtId="0" fontId="10" fillId="9" borderId="12" xfId="2" applyFont="1" applyFill="1" applyBorder="1" applyAlignment="1">
      <alignment horizontal="right"/>
    </xf>
    <xf numFmtId="0" fontId="10" fillId="9" borderId="13" xfId="2" applyFont="1" applyFill="1" applyBorder="1" applyAlignment="1">
      <alignment horizontal="right"/>
    </xf>
    <xf numFmtId="0" fontId="10" fillId="9" borderId="14" xfId="2" applyFont="1" applyFill="1" applyBorder="1" applyAlignment="1">
      <alignment horizontal="right"/>
    </xf>
    <xf numFmtId="0" fontId="10" fillId="9" borderId="12" xfId="2" applyFont="1" applyFill="1" applyBorder="1" applyAlignment="1">
      <alignment horizontal="center"/>
    </xf>
    <xf numFmtId="0" fontId="10" fillId="9" borderId="13" xfId="2" applyFont="1" applyFill="1" applyBorder="1" applyAlignment="1">
      <alignment horizontal="center"/>
    </xf>
    <xf numFmtId="0" fontId="10" fillId="9" borderId="14" xfId="2" applyFont="1" applyFill="1" applyBorder="1" applyAlignment="1">
      <alignment horizontal="center"/>
    </xf>
    <xf numFmtId="0" fontId="39" fillId="0" borderId="4" xfId="2" applyFont="1" applyBorder="1" applyAlignment="1">
      <alignment horizontal="center"/>
    </xf>
    <xf numFmtId="0" fontId="39" fillId="0" borderId="0" xfId="2" applyFont="1" applyAlignment="1">
      <alignment horizontal="center"/>
    </xf>
    <xf numFmtId="0" fontId="39" fillId="0" borderId="3" xfId="2" applyFont="1" applyBorder="1" applyAlignment="1">
      <alignment horizontal="center"/>
    </xf>
    <xf numFmtId="0" fontId="42" fillId="0" borderId="4" xfId="2" applyFont="1" applyBorder="1" applyAlignment="1">
      <alignment horizontal="right"/>
    </xf>
    <xf numFmtId="0" fontId="42" fillId="0" borderId="0" xfId="2" applyFont="1" applyAlignment="1">
      <alignment horizontal="right"/>
    </xf>
  </cellXfs>
  <cellStyles count="16">
    <cellStyle name="Currency" xfId="1" builtinId="4"/>
    <cellStyle name="Currency 2" xfId="10" xr:uid="{326019FB-BF1C-4AB1-9878-DA1A4F61A10A}"/>
    <cellStyle name="Currency 2 2" xfId="4" xr:uid="{FA77946D-9426-494F-96FB-8A870A1D1A29}"/>
    <cellStyle name="Currency 3" xfId="14" xr:uid="{D324F61E-E2CB-408E-B6CC-ABBCA8398B8E}"/>
    <cellStyle name="Currency 4" xfId="15" xr:uid="{E0787659-DA41-46DB-8384-A7E08AE1605D}"/>
    <cellStyle name="Normal" xfId="0" builtinId="0"/>
    <cellStyle name="Normal 2" xfId="6" xr:uid="{626486D6-35AF-419F-85E8-FFF496F78180}"/>
    <cellStyle name="Normal 3" xfId="2" xr:uid="{23A98DA6-70A9-4D7C-946E-13C61E69CF09}"/>
    <cellStyle name="Normal 4" xfId="7" xr:uid="{521CEF3E-0D16-47FC-A389-A4CA716B2C92}"/>
    <cellStyle name="Normal 5" xfId="9" xr:uid="{F0FBB5FD-2D74-42C6-A0E1-998941EB4981}"/>
    <cellStyle name="Normal 6" xfId="12" xr:uid="{FD502E65-1CD1-4BE8-8FD6-621D5667D32B}"/>
    <cellStyle name="Normal 7" xfId="13" xr:uid="{49362319-8053-46BD-B85A-72D6105A215C}"/>
    <cellStyle name="Percent" xfId="8" builtinId="5"/>
    <cellStyle name="Percent 2" xfId="3" xr:uid="{1CE8AF52-707A-451B-BAE8-9A0D26EB3194}"/>
    <cellStyle name="Percent 3" xfId="5" xr:uid="{66EC2D96-8931-4EF0-9169-2D9B180DC5FD}"/>
    <cellStyle name="Percent 4" xfId="11" xr:uid="{F2853E62-2DAC-4F2C-B6EF-A92DD5AAFA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11</xdr:col>
      <xdr:colOff>702945</xdr:colOff>
      <xdr:row>0</xdr:row>
      <xdr:rowOff>57150</xdr:rowOff>
    </xdr:from>
    <xdr:to>
      <xdr:col>11</xdr:col>
      <xdr:colOff>1890707</xdr:colOff>
      <xdr:row>4</xdr:row>
      <xdr:rowOff>153891</xdr:rowOff>
    </xdr:to>
    <xdr:pic>
      <xdr:nvPicPr>
        <xdr:cNvPr id="4" name="Picture 3">
          <a:extLst>
            <a:ext uri="{FF2B5EF4-FFF2-40B4-BE49-F238E27FC236}">
              <a16:creationId xmlns:a16="http://schemas.microsoft.com/office/drawing/2014/main" id="{0988FE5B-8C0A-44E5-A8F8-92ACFFD31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60545" y="57150"/>
          <a:ext cx="1148301" cy="11730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ricoreplumbing.sharepoint.com/sites/CQU-ROK-Admin/Shared%20Documents/Admin/01.A.%20Pre%20Bid/Costings/V.1/CQU%20ROK_PROGRAM%20-%20MASTER.V1.xlsx" TargetMode="External"/><Relationship Id="rId1" Type="http://schemas.openxmlformats.org/officeDocument/2006/relationships/externalLinkPath" Target="CQU%20ROK_PROGRAM%20-%20MASTER.V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ricoreplumbing.sharepoint.com/sites/CQU-ROK-Admin/Shared%20Documents/Admin/01.A.%20Pre%20Bid/Costings/V.1/Staff%20Costs/CQU%20ROK_Staff%20Costing.V1_Steph.xlsx" TargetMode="External"/><Relationship Id="rId1" Type="http://schemas.openxmlformats.org/officeDocument/2006/relationships/externalLinkPath" Target="Staff%20Costs/CQU%20ROK_Staff%20Costing.V1_Steph.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01%20TCS_Trust/04%20Proj.%20Potential/ROK%20-%20CQU%20Hydrant%20Upgrade/05.A.%20Material/Quotes/240614%20-%20Pipe%20&amp;%20Fittings%20-%20Price%20Comparison.xlsx" TargetMode="External"/><Relationship Id="rId2" Type="http://schemas.openxmlformats.org/officeDocument/2006/relationships/externalLinkPath" Target="https://tricoreplumbing.sharepoint.com/sites/TricoreCivilServices/Shared%20Documents/01%20TCS_Trust/04%20Proj.%20Potential/ROK%20-%20CQU%20Hydrant%20Upgrade/05.A.%20Material/Quotes/240614%20-%20Pipe%20&amp;%20Fittings%20-%20Price%20Comparison.xlsx" TargetMode="External"/><Relationship Id="rId1" Type="http://schemas.openxmlformats.org/officeDocument/2006/relationships/externalLinkPath" Target="/sites/TricoreCivilServices/Shared%20Documents/01%20TCS_Trust/04%20Proj.%20Potential/ROK%20-%20CQU%20Hydrant%20Upgrade/05.A.%20Material/Quotes/240614%20-%20Pipe%20&amp;%20Fittings%20-%20Price%20Comparison.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01%20TCS_Trust/04%20Proj.%20Potential/ROK%20-%20CQU%20Hydrant%20Upgrade/05.A.%20Material/Quotes/240614%20-%20Suppliers%20Subbies%20-%20Price%20Comparison.xlsx" TargetMode="External"/><Relationship Id="rId2" Type="http://schemas.openxmlformats.org/officeDocument/2006/relationships/externalLinkPath" Target="https://tricoreplumbing.sharepoint.com/sites/TricoreCivilServices/Shared%20Documents/01%20TCS_Trust/04%20Proj.%20Potential/ROK%20-%20CQU%20Hydrant%20Upgrade/05.A.%20Material/Quotes/240614%20-%20Suppliers%20Subbies%20-%20Price%20Comparison.xlsx" TargetMode="External"/><Relationship Id="rId1" Type="http://schemas.openxmlformats.org/officeDocument/2006/relationships/externalLinkPath" Target="/sites/TricoreCivilServices/Shared%20Documents/01%20TCS_Trust/04%20Proj.%20Potential/ROK%20-%20CQU%20Hydrant%20Upgrade/05.A.%20Material/Quotes/240614%20-%20Suppliers%20Subbies%20-%20Price%20Compari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gram_MASTER"/>
    </sheetNames>
    <sheetDataSet>
      <sheetData sheetId="0">
        <row r="102">
          <cell r="B102" t="str">
            <v>TOTAL Days Mobilized On Site</v>
          </cell>
        </row>
        <row r="103">
          <cell r="B103" t="str">
            <v>Months Mobilized</v>
          </cell>
        </row>
        <row r="104">
          <cell r="B104" t="str">
            <v>Work Weeks' Mobilized On Site</v>
          </cell>
        </row>
        <row r="105">
          <cell r="B105" t="str">
            <v>Work Days</v>
          </cell>
        </row>
        <row r="144">
          <cell r="C144">
            <v>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ff Costs_MASTER"/>
      <sheetName val="Staff Costs_250916-MH"/>
      <sheetName val="Staff Costs_Lead Hand"/>
      <sheetName val="Staff Costs_Tradesman_MH250916"/>
      <sheetName val="Staff Costs_Tradesman"/>
      <sheetName val="Staff Costs_TA"/>
      <sheetName val="Renumeration_T.Kataef"/>
      <sheetName val="Staff Renumeration_J. Marshall"/>
    </sheetNames>
    <sheetDataSet>
      <sheetData sheetId="0"/>
      <sheetData sheetId="1"/>
      <sheetData sheetId="2">
        <row r="4">
          <cell r="B4" t="str">
            <v>TRADESMAN_LEADING HAND</v>
          </cell>
        </row>
        <row r="193">
          <cell r="B193" t="str">
            <v>Work ROSTER Example #3 - 6-Day Week, 10Hr Days, Stay @ Rocky for W/E, Return Every 2nd W/E. (FLY)</v>
          </cell>
        </row>
        <row r="211">
          <cell r="F211">
            <v>25854</v>
          </cell>
        </row>
        <row r="212">
          <cell r="E212" t="str">
            <v>Working Days/Month</v>
          </cell>
          <cell r="F212">
            <v>21</v>
          </cell>
        </row>
        <row r="213">
          <cell r="E213" t="str">
            <v>No-Work Days/Month</v>
          </cell>
          <cell r="F213">
            <v>7</v>
          </cell>
        </row>
        <row r="214">
          <cell r="E214" t="str">
            <v>Avrg Hours / Month</v>
          </cell>
          <cell r="F214">
            <v>210</v>
          </cell>
        </row>
      </sheetData>
      <sheetData sheetId="3"/>
      <sheetData sheetId="4">
        <row r="4">
          <cell r="B4" t="str">
            <v>TRADESMAN_PLUMBER_OPERATOR</v>
          </cell>
        </row>
        <row r="121">
          <cell r="F121">
            <v>19764.459298245612</v>
          </cell>
        </row>
      </sheetData>
      <sheetData sheetId="5">
        <row r="4">
          <cell r="B4" t="str">
            <v>T/A &amp; Apprentice</v>
          </cell>
        </row>
        <row r="122">
          <cell r="F122">
            <v>16129.366666666669</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40522_Supplier RFQ"/>
    </sheetNames>
    <sheetDataSet>
      <sheetData sheetId="0" refreshError="1">
        <row r="16">
          <cell r="F16">
            <v>33.920833333333334</v>
          </cell>
        </row>
        <row r="17">
          <cell r="F17">
            <v>25.466666666666669</v>
          </cell>
        </row>
        <row r="18">
          <cell r="F18">
            <v>12.314166666666667</v>
          </cell>
        </row>
        <row r="19">
          <cell r="F19">
            <v>1.2159</v>
          </cell>
        </row>
        <row r="21">
          <cell r="F21">
            <v>44.06</v>
          </cell>
        </row>
        <row r="22">
          <cell r="F22">
            <v>25.72</v>
          </cell>
        </row>
        <row r="23">
          <cell r="F23">
            <v>14.11</v>
          </cell>
        </row>
        <row r="24">
          <cell r="F24">
            <v>109.16</v>
          </cell>
        </row>
        <row r="25">
          <cell r="F25">
            <v>97.97</v>
          </cell>
        </row>
        <row r="26">
          <cell r="F26">
            <v>44.69</v>
          </cell>
        </row>
        <row r="27">
          <cell r="F27">
            <v>109.16</v>
          </cell>
        </row>
        <row r="28">
          <cell r="F28">
            <v>97.81</v>
          </cell>
        </row>
        <row r="29">
          <cell r="F29">
            <v>44.65</v>
          </cell>
        </row>
        <row r="30">
          <cell r="F30">
            <v>109.75</v>
          </cell>
        </row>
        <row r="31">
          <cell r="F31">
            <v>114.28</v>
          </cell>
        </row>
        <row r="32">
          <cell r="F32">
            <v>49.25</v>
          </cell>
        </row>
        <row r="33">
          <cell r="F33">
            <v>209.47</v>
          </cell>
        </row>
        <row r="34">
          <cell r="F34">
            <v>218.42000000000002</v>
          </cell>
        </row>
        <row r="35">
          <cell r="F35">
            <v>122.13</v>
          </cell>
        </row>
        <row r="36">
          <cell r="F36">
            <v>125.62</v>
          </cell>
        </row>
        <row r="37">
          <cell r="F37">
            <v>60.1</v>
          </cell>
        </row>
        <row r="38">
          <cell r="F38">
            <v>342.35</v>
          </cell>
        </row>
        <row r="39">
          <cell r="F39">
            <v>129.77000000000001</v>
          </cell>
        </row>
        <row r="40">
          <cell r="F40">
            <v>92.67</v>
          </cell>
        </row>
        <row r="41">
          <cell r="L41">
            <v>313.19</v>
          </cell>
        </row>
        <row r="42">
          <cell r="L42">
            <v>204.11</v>
          </cell>
        </row>
        <row r="44">
          <cell r="F44">
            <v>315.70999999999998</v>
          </cell>
        </row>
        <row r="45">
          <cell r="F45">
            <v>201.43</v>
          </cell>
        </row>
        <row r="46">
          <cell r="F46">
            <v>68.540000000000006</v>
          </cell>
        </row>
        <row r="47">
          <cell r="F47">
            <v>64.459999999999994</v>
          </cell>
        </row>
        <row r="48">
          <cell r="F48">
            <v>38.76</v>
          </cell>
        </row>
        <row r="49">
          <cell r="F49">
            <v>86.17</v>
          </cell>
        </row>
        <row r="50">
          <cell r="F50">
            <v>68.11</v>
          </cell>
        </row>
        <row r="51">
          <cell r="F51">
            <v>31.65</v>
          </cell>
        </row>
        <row r="52">
          <cell r="F52">
            <v>127.64</v>
          </cell>
        </row>
        <row r="53">
          <cell r="F53">
            <v>114.22</v>
          </cell>
        </row>
        <row r="54">
          <cell r="F54">
            <v>38.26</v>
          </cell>
        </row>
        <row r="55">
          <cell r="F55">
            <v>183.48</v>
          </cell>
        </row>
        <row r="56">
          <cell r="F56">
            <v>192.43</v>
          </cell>
        </row>
        <row r="57">
          <cell r="F57">
            <v>185.71</v>
          </cell>
        </row>
        <row r="58">
          <cell r="F58">
            <v>55.84</v>
          </cell>
        </row>
        <row r="59">
          <cell r="F59">
            <v>39.83</v>
          </cell>
        </row>
        <row r="60">
          <cell r="F60"/>
        </row>
        <row r="61">
          <cell r="F61">
            <v>679.41</v>
          </cell>
        </row>
        <row r="62">
          <cell r="F62">
            <v>323.52999999999997</v>
          </cell>
        </row>
        <row r="63">
          <cell r="F63">
            <v>202.94</v>
          </cell>
        </row>
        <row r="64">
          <cell r="F64">
            <v>136.94</v>
          </cell>
        </row>
        <row r="65">
          <cell r="F65">
            <v>123.53</v>
          </cell>
        </row>
        <row r="66">
          <cell r="F66">
            <v>98.82</v>
          </cell>
        </row>
        <row r="68">
          <cell r="F68">
            <v>291.18</v>
          </cell>
        </row>
        <row r="69">
          <cell r="F69">
            <v>330</v>
          </cell>
        </row>
        <row r="70">
          <cell r="F70">
            <v>156</v>
          </cell>
        </row>
        <row r="71">
          <cell r="F71">
            <v>106.24</v>
          </cell>
        </row>
        <row r="72">
          <cell r="F72">
            <v>70.59</v>
          </cell>
        </row>
        <row r="73">
          <cell r="F73">
            <v>516.35</v>
          </cell>
        </row>
        <row r="74">
          <cell r="F74">
            <v>198.88</v>
          </cell>
        </row>
        <row r="75">
          <cell r="F75">
            <v>108.71</v>
          </cell>
        </row>
        <row r="76">
          <cell r="F76">
            <v>672.65</v>
          </cell>
        </row>
        <row r="77">
          <cell r="F77">
            <v>228.24</v>
          </cell>
        </row>
        <row r="78">
          <cell r="F78">
            <v>128.24</v>
          </cell>
        </row>
        <row r="79">
          <cell r="F79">
            <v>536.76</v>
          </cell>
        </row>
        <row r="80">
          <cell r="F80">
            <v>576.47</v>
          </cell>
        </row>
        <row r="81">
          <cell r="F81">
            <v>198.82</v>
          </cell>
        </row>
        <row r="82">
          <cell r="F82">
            <v>898.82</v>
          </cell>
        </row>
        <row r="83">
          <cell r="F83">
            <v>640</v>
          </cell>
        </row>
        <row r="84">
          <cell r="F84">
            <v>355.29</v>
          </cell>
        </row>
        <row r="85">
          <cell r="F85">
            <v>534.41</v>
          </cell>
        </row>
        <row r="86">
          <cell r="F86">
            <v>280</v>
          </cell>
        </row>
        <row r="87">
          <cell r="F87">
            <v>236.47</v>
          </cell>
        </row>
        <row r="88">
          <cell r="F88">
            <v>178.8</v>
          </cell>
        </row>
        <row r="89">
          <cell r="F89">
            <v>362.35</v>
          </cell>
        </row>
        <row r="90">
          <cell r="F90">
            <v>144.71</v>
          </cell>
        </row>
        <row r="91">
          <cell r="F91">
            <v>135.88</v>
          </cell>
        </row>
        <row r="92">
          <cell r="F92">
            <v>76.47</v>
          </cell>
        </row>
        <row r="93">
          <cell r="F93">
            <v>67.650000000000006</v>
          </cell>
        </row>
        <row r="94">
          <cell r="F94">
            <v>43.53</v>
          </cell>
        </row>
        <row r="96">
          <cell r="F96">
            <v>67.06</v>
          </cell>
        </row>
        <row r="97">
          <cell r="F97">
            <v>46.71</v>
          </cell>
        </row>
        <row r="98">
          <cell r="F98">
            <v>60</v>
          </cell>
        </row>
        <row r="99">
          <cell r="F99">
            <v>42.35</v>
          </cell>
        </row>
        <row r="100">
          <cell r="F100">
            <v>24.71</v>
          </cell>
        </row>
        <row r="101">
          <cell r="F101">
            <v>20</v>
          </cell>
        </row>
        <row r="103">
          <cell r="F103">
            <v>108.71</v>
          </cell>
        </row>
        <row r="104">
          <cell r="F104">
            <v>87.06</v>
          </cell>
        </row>
        <row r="105">
          <cell r="F105">
            <v>305.88</v>
          </cell>
        </row>
        <row r="106">
          <cell r="F106">
            <v>182.35</v>
          </cell>
        </row>
        <row r="107">
          <cell r="F107">
            <v>229.41</v>
          </cell>
        </row>
        <row r="108">
          <cell r="F108">
            <v>152.94</v>
          </cell>
        </row>
        <row r="109">
          <cell r="F109">
            <v>690</v>
          </cell>
        </row>
        <row r="110">
          <cell r="F110">
            <v>408.47</v>
          </cell>
        </row>
        <row r="112">
          <cell r="F112">
            <v>90</v>
          </cell>
        </row>
        <row r="113">
          <cell r="F113">
            <v>13.5</v>
          </cell>
        </row>
        <row r="114">
          <cell r="F114">
            <v>27.14</v>
          </cell>
        </row>
        <row r="115">
          <cell r="F115">
            <v>27.14</v>
          </cell>
        </row>
        <row r="120">
          <cell r="I120">
            <v>43.846153846153847</v>
          </cell>
        </row>
        <row r="121">
          <cell r="I121">
            <v>28.46153846153846</v>
          </cell>
        </row>
        <row r="122">
          <cell r="L122">
            <v>106.24166666666667</v>
          </cell>
        </row>
        <row r="123">
          <cell r="L123">
            <v>59.82</v>
          </cell>
        </row>
        <row r="125">
          <cell r="I125">
            <v>12.83</v>
          </cell>
        </row>
        <row r="126">
          <cell r="I126">
            <v>7.55</v>
          </cell>
        </row>
        <row r="127">
          <cell r="I127">
            <v>35.5</v>
          </cell>
        </row>
        <row r="128">
          <cell r="I128">
            <v>16.93</v>
          </cell>
        </row>
        <row r="129">
          <cell r="I129">
            <v>22.85</v>
          </cell>
        </row>
        <row r="130">
          <cell r="I130">
            <v>10.62</v>
          </cell>
        </row>
        <row r="131">
          <cell r="I131">
            <v>23.5</v>
          </cell>
        </row>
        <row r="132">
          <cell r="I132">
            <v>11.4</v>
          </cell>
        </row>
        <row r="133">
          <cell r="I133">
            <v>30.75</v>
          </cell>
        </row>
        <row r="134">
          <cell r="I134">
            <v>23.21</v>
          </cell>
        </row>
        <row r="135">
          <cell r="I135">
            <v>217.8</v>
          </cell>
        </row>
        <row r="136">
          <cell r="I136">
            <v>169.4</v>
          </cell>
        </row>
        <row r="138">
          <cell r="I138">
            <v>2350</v>
          </cell>
        </row>
        <row r="139">
          <cell r="I139">
            <v>1155</v>
          </cell>
        </row>
        <row r="141">
          <cell r="I141">
            <v>365</v>
          </cell>
        </row>
        <row r="142">
          <cell r="I142">
            <v>365</v>
          </cell>
        </row>
        <row r="143">
          <cell r="I143">
            <v>90</v>
          </cell>
        </row>
        <row r="144">
          <cell r="I144">
            <v>5</v>
          </cell>
        </row>
        <row r="145">
          <cell r="I145">
            <v>125</v>
          </cell>
        </row>
        <row r="146">
          <cell r="I146">
            <v>39</v>
          </cell>
        </row>
        <row r="148">
          <cell r="L148">
            <v>3100.7</v>
          </cell>
        </row>
        <row r="149">
          <cell r="L149">
            <v>4237.09</v>
          </cell>
        </row>
        <row r="151">
          <cell r="L151">
            <v>114.44</v>
          </cell>
        </row>
        <row r="152">
          <cell r="L152">
            <v>219.36</v>
          </cell>
        </row>
        <row r="153">
          <cell r="L153">
            <v>135.09</v>
          </cell>
        </row>
        <row r="154">
          <cell r="L154">
            <v>125.77</v>
          </cell>
        </row>
        <row r="155">
          <cell r="L155">
            <v>83.25</v>
          </cell>
        </row>
        <row r="156">
          <cell r="L156">
            <v>52.25</v>
          </cell>
        </row>
        <row r="157">
          <cell r="L157">
            <v>175.66</v>
          </cell>
        </row>
        <row r="158">
          <cell r="L158">
            <v>164.08</v>
          </cell>
        </row>
        <row r="160">
          <cell r="L160">
            <v>77.95</v>
          </cell>
        </row>
        <row r="161">
          <cell r="L161">
            <v>17.16</v>
          </cell>
        </row>
        <row r="162">
          <cell r="L162">
            <v>7.23</v>
          </cell>
        </row>
        <row r="163">
          <cell r="L163">
            <v>14.31</v>
          </cell>
        </row>
        <row r="164">
          <cell r="L164">
            <v>16.239999999999998</v>
          </cell>
        </row>
        <row r="165">
          <cell r="L165">
            <v>14.36</v>
          </cell>
        </row>
        <row r="166">
          <cell r="L166">
            <v>46.94</v>
          </cell>
        </row>
        <row r="167">
          <cell r="L167">
            <v>8.4600000000000009</v>
          </cell>
        </row>
        <row r="168">
          <cell r="L168">
            <v>5.74</v>
          </cell>
        </row>
        <row r="170">
          <cell r="L170">
            <v>10.19</v>
          </cell>
        </row>
        <row r="172">
          <cell r="I172">
            <v>5.86</v>
          </cell>
        </row>
        <row r="173">
          <cell r="I173">
            <v>4.41</v>
          </cell>
        </row>
        <row r="174">
          <cell r="I174">
            <v>5.36</v>
          </cell>
        </row>
        <row r="175">
          <cell r="I175">
            <v>4.4000000000000004</v>
          </cell>
        </row>
        <row r="176">
          <cell r="I176">
            <v>10.64</v>
          </cell>
        </row>
        <row r="177">
          <cell r="I177">
            <v>20</v>
          </cell>
        </row>
        <row r="178">
          <cell r="I178">
            <v>19.5</v>
          </cell>
        </row>
        <row r="189">
          <cell r="I189">
            <v>2178.48</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crete_Quarry"/>
      <sheetName val="Hire Items_Dry"/>
      <sheetName val="Plant Hire_WET"/>
      <sheetName val="Subbies_Misc"/>
    </sheetNames>
    <sheetDataSet>
      <sheetData sheetId="0">
        <row r="16">
          <cell r="J16">
            <v>39.75</v>
          </cell>
        </row>
        <row r="17">
          <cell r="J17">
            <v>41.9</v>
          </cell>
        </row>
        <row r="19">
          <cell r="J19">
            <v>45.25</v>
          </cell>
        </row>
        <row r="20">
          <cell r="J20">
            <v>87</v>
          </cell>
        </row>
        <row r="21">
          <cell r="N21">
            <v>6.48</v>
          </cell>
        </row>
        <row r="26">
          <cell r="F26">
            <v>169</v>
          </cell>
        </row>
        <row r="27">
          <cell r="F27">
            <v>252</v>
          </cell>
        </row>
        <row r="28">
          <cell r="F28">
            <v>263</v>
          </cell>
        </row>
      </sheetData>
      <sheetData sheetId="1">
        <row r="16">
          <cell r="M16">
            <v>225.43333333333334</v>
          </cell>
        </row>
        <row r="17">
          <cell r="M17">
            <v>163.96666666666667</v>
          </cell>
        </row>
        <row r="18">
          <cell r="J18">
            <v>180</v>
          </cell>
        </row>
        <row r="20">
          <cell r="P20">
            <v>137.14285714285714</v>
          </cell>
        </row>
        <row r="22">
          <cell r="M22">
            <v>238.66666666666666</v>
          </cell>
        </row>
        <row r="23">
          <cell r="M23">
            <v>261.16666666666669</v>
          </cell>
        </row>
        <row r="25">
          <cell r="M25">
            <v>317.2</v>
          </cell>
        </row>
        <row r="26">
          <cell r="P26">
            <v>314.28571428571428</v>
          </cell>
        </row>
        <row r="29">
          <cell r="G29">
            <v>32.74</v>
          </cell>
        </row>
        <row r="31">
          <cell r="G31">
            <v>40.380000000000003</v>
          </cell>
        </row>
        <row r="32">
          <cell r="G32">
            <v>123.33</v>
          </cell>
        </row>
        <row r="33">
          <cell r="G33">
            <v>165.89</v>
          </cell>
        </row>
        <row r="34">
          <cell r="G34">
            <v>165.89</v>
          </cell>
        </row>
        <row r="36">
          <cell r="G36">
            <v>203</v>
          </cell>
        </row>
        <row r="40">
          <cell r="J40">
            <v>205</v>
          </cell>
        </row>
        <row r="41">
          <cell r="G41">
            <v>166.98</v>
          </cell>
        </row>
        <row r="42">
          <cell r="P42">
            <v>171.42857142857142</v>
          </cell>
        </row>
        <row r="45">
          <cell r="P45">
            <v>34.285714285714285</v>
          </cell>
        </row>
        <row r="46">
          <cell r="J46">
            <v>165</v>
          </cell>
        </row>
        <row r="52">
          <cell r="G52">
            <v>5.46</v>
          </cell>
        </row>
        <row r="53">
          <cell r="J53">
            <v>23</v>
          </cell>
        </row>
        <row r="54">
          <cell r="J54">
            <v>23</v>
          </cell>
        </row>
        <row r="67">
          <cell r="V67">
            <v>230</v>
          </cell>
        </row>
        <row r="68">
          <cell r="V68">
            <v>309</v>
          </cell>
        </row>
        <row r="69">
          <cell r="V69">
            <v>35</v>
          </cell>
        </row>
        <row r="70">
          <cell r="S70">
            <v>229.9</v>
          </cell>
        </row>
        <row r="71">
          <cell r="S71">
            <v>239.8</v>
          </cell>
        </row>
        <row r="72">
          <cell r="V72">
            <v>309</v>
          </cell>
        </row>
        <row r="73">
          <cell r="V73">
            <v>35</v>
          </cell>
        </row>
        <row r="74">
          <cell r="G74">
            <v>295.77</v>
          </cell>
        </row>
        <row r="75">
          <cell r="S75">
            <v>355</v>
          </cell>
        </row>
        <row r="78">
          <cell r="G78">
            <v>180</v>
          </cell>
        </row>
        <row r="79">
          <cell r="P79">
            <v>125</v>
          </cell>
        </row>
        <row r="80">
          <cell r="P80">
            <v>160</v>
          </cell>
        </row>
        <row r="81">
          <cell r="P81">
            <v>200</v>
          </cell>
        </row>
      </sheetData>
      <sheetData sheetId="2">
        <row r="16">
          <cell r="R16">
            <v>100</v>
          </cell>
        </row>
        <row r="17">
          <cell r="R17">
            <v>115</v>
          </cell>
        </row>
        <row r="18">
          <cell r="F18">
            <v>154</v>
          </cell>
        </row>
        <row r="19">
          <cell r="F19">
            <v>21</v>
          </cell>
        </row>
        <row r="20">
          <cell r="F20">
            <v>10</v>
          </cell>
        </row>
        <row r="21">
          <cell r="O21">
            <v>150</v>
          </cell>
        </row>
        <row r="22">
          <cell r="O22">
            <v>50</v>
          </cell>
        </row>
        <row r="23">
          <cell r="O23">
            <v>140</v>
          </cell>
        </row>
        <row r="24">
          <cell r="F24">
            <v>128</v>
          </cell>
        </row>
        <row r="25">
          <cell r="F25">
            <v>26</v>
          </cell>
        </row>
        <row r="26">
          <cell r="F26">
            <v>10</v>
          </cell>
        </row>
        <row r="27">
          <cell r="F27">
            <v>153</v>
          </cell>
        </row>
        <row r="28">
          <cell r="F28">
            <v>36</v>
          </cell>
        </row>
        <row r="29">
          <cell r="F29">
            <v>10</v>
          </cell>
        </row>
        <row r="30">
          <cell r="L30">
            <v>190</v>
          </cell>
        </row>
        <row r="31">
          <cell r="L31">
            <v>220</v>
          </cell>
        </row>
        <row r="32">
          <cell r="L32">
            <v>250</v>
          </cell>
        </row>
        <row r="33">
          <cell r="R33">
            <v>110</v>
          </cell>
        </row>
        <row r="34">
          <cell r="R34">
            <v>110</v>
          </cell>
        </row>
      </sheetData>
      <sheetData sheetId="3">
        <row r="16">
          <cell r="F16">
            <v>180</v>
          </cell>
        </row>
        <row r="25">
          <cell r="F25">
            <v>130</v>
          </cell>
        </row>
        <row r="31">
          <cell r="F31">
            <v>13.5</v>
          </cell>
        </row>
        <row r="33">
          <cell r="F33">
            <v>16</v>
          </cell>
        </row>
        <row r="38">
          <cell r="F38">
            <v>80</v>
          </cell>
        </row>
        <row r="44">
          <cell r="A44" t="str">
            <v>Road/Drveway Reinstate; 1mW x 150 Thck, N25/20/80, Incl Reinforcement</v>
          </cell>
          <cell r="F44">
            <v>145</v>
          </cell>
        </row>
        <row r="45">
          <cell r="A45" t="str">
            <v>Kerb &amp; Channel - 1m Wide</v>
          </cell>
          <cell r="F45">
            <v>155</v>
          </cell>
        </row>
        <row r="46">
          <cell r="A46" t="str">
            <v>Footpath - 1.5mW, N25/20/80, Incl Reinforcement</v>
          </cell>
          <cell r="F46">
            <v>180</v>
          </cell>
        </row>
        <row r="47">
          <cell r="A47" t="str">
            <v>Footpath - 1.5mW, EXPOSED AGG, N25/20/80, Incl Reinforcement</v>
          </cell>
          <cell r="F47">
            <v>185</v>
          </cell>
        </row>
        <row r="52">
          <cell r="A52" t="str">
            <v xml:space="preserve">50mm Thck - Trench Reinstatement Through Road/Driveway </v>
          </cell>
          <cell r="L52">
            <v>97</v>
          </cell>
        </row>
        <row r="53">
          <cell r="A53" t="str">
            <v xml:space="preserve">50mm Thck - 1.5-2m Wide Footpath reinstatements </v>
          </cell>
          <cell r="L53">
            <v>97</v>
          </cell>
        </row>
        <row r="55">
          <cell r="F55"/>
        </row>
        <row r="71">
          <cell r="F71">
            <v>115</v>
          </cell>
        </row>
        <row r="87">
          <cell r="F87">
            <v>130</v>
          </cell>
        </row>
        <row r="88">
          <cell r="F88">
            <v>100</v>
          </cell>
        </row>
        <row r="89">
          <cell r="F89">
            <v>450</v>
          </cell>
        </row>
        <row r="90">
          <cell r="F90">
            <v>800</v>
          </cell>
        </row>
        <row r="91">
          <cell r="F91">
            <v>1945</v>
          </cell>
        </row>
        <row r="92">
          <cell r="F92">
            <v>3560</v>
          </cell>
        </row>
        <row r="93">
          <cell r="F93">
            <v>350</v>
          </cell>
        </row>
      </sheetData>
    </sheetDataSet>
  </externalBook>
</externalLink>
</file>

<file path=xl/persons/person.xml><?xml version="1.0" encoding="utf-8"?>
<personList xmlns="http://schemas.microsoft.com/office/spreadsheetml/2018/threadedcomments" xmlns:x="http://schemas.openxmlformats.org/spreadsheetml/2006/main">
  <person displayName="Denis Zhong - TCS" id="{E75D9B47-AA3A-4859-AE3C-CF78D65B82FB}" userId="S::denis.z@tricorecivil.com.au::b883df4c-e0af-41bc-98f9-8d282840690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10" dT="2026-04-22T01:29:29.86" personId="{E75D9B47-AA3A-4859-AE3C-CF78D65B82FB}" id="{A74C1A7C-9638-4AE2-9FE6-C2EF5A478650}">
    <text xml:space="preserve">Nquote OT AVAILABLE </text>
  </threadedComment>
  <threadedComment ref="W17" dT="2026-04-22T01:31:15.69" personId="{E75D9B47-AA3A-4859-AE3C-CF78D65B82FB}" id="{028A786A-EE1F-48FA-AC2C-473D4AE43BB1}">
    <text>GUESS</text>
  </threadedComment>
  <threadedComment ref="AC21" dT="2026-04-22T01:41:16.78" personId="{E75D9B47-AA3A-4859-AE3C-CF78D65B82FB}" id="{2BE31E6C-47DB-480E-A9DE-42A600788BF9}">
    <text>Tradelink</text>
  </threadedComment>
  <threadedComment ref="W49" dT="2026-04-22T03:18:34.14" personId="{E75D9B47-AA3A-4859-AE3C-CF78D65B82FB}" id="{FED4BC67-6783-4685-823B-7A677547982C}">
    <text>guess</text>
  </threadedComment>
  <threadedComment ref="W83" dT="2026-04-24T04:07:15.58" personId="{E75D9B47-AA3A-4859-AE3C-CF78D65B82FB}" id="{CA0826C8-4240-4045-8088-C35494655E84}">
    <text xml:space="preserve">aps </text>
  </threadedComment>
  <threadedComment ref="AC83" dT="2026-04-22T03:18:34.14" personId="{E75D9B47-AA3A-4859-AE3C-CF78D65B82FB}" id="{F98834A3-8C63-4CB1-81ED-910B3CEFE2DA}">
    <text>guess</text>
  </threadedComment>
  <threadedComment ref="AC97" dT="2026-04-22T03:18:34.14" personId="{E75D9B47-AA3A-4859-AE3C-CF78D65B82FB}" id="{768D8D72-9CA2-427C-B91C-CE2280F1DB63}">
    <text>guess</text>
  </threadedComment>
  <threadedComment ref="Z115" dT="2026-04-22T03:18:34.14" personId="{E75D9B47-AA3A-4859-AE3C-CF78D65B82FB}" id="{16B9C916-0145-4659-A31A-58A35C91ACD4}">
    <text>guess</text>
  </threadedComment>
</ThreadedComments>
</file>

<file path=xl/threadedComments/threadedComment2.xml><?xml version="1.0" encoding="utf-8"?>
<ThreadedComments xmlns="http://schemas.microsoft.com/office/spreadsheetml/2018/threadedcomments" xmlns:x="http://schemas.openxmlformats.org/spreadsheetml/2006/main">
  <threadedComment ref="D194" dT="2026-04-21T06:34:58.06" personId="{E75D9B47-AA3A-4859-AE3C-CF78D65B82FB}" id="{5EA503FF-7CF6-42E2-8709-E95A5C40240D}">
    <text>guess</text>
  </threadedComment>
  <threadedComment ref="E217" dT="2026-04-21T06:58:48.70" personId="{E75D9B47-AA3A-4859-AE3C-CF78D65B82FB}" id="{A463E13D-E83C-401D-BEB8-E36AFEB099C6}">
    <text>guess</text>
  </threadedComment>
  <threadedComment ref="E218" dT="2026-04-21T06:58:56.24" personId="{E75D9B47-AA3A-4859-AE3C-CF78D65B82FB}" id="{4C5AB6B2-B570-4835-B2DE-64C09D258DDB}">
    <text>guess</text>
  </threadedComment>
  <threadedComment ref="F705" dT="2026-04-22T03:49:20.04" personId="{E75D9B47-AA3A-4859-AE3C-CF78D65B82FB}" id="{9D13DDD7-B3D2-48D3-8E06-11ED2026917D}">
    <text>guess</text>
  </threadedComment>
  <threadedComment ref="E896" dT="2026-04-22T03:36:54.30" personId="{E75D9B47-AA3A-4859-AE3C-CF78D65B82FB}" id="{169A215E-2ED1-4297-A1B4-4E5FEE966752}">
    <text>guess</text>
  </threadedComment>
  <threadedComment ref="E900" dT="2026-04-22T03:36:46.49" personId="{E75D9B47-AA3A-4859-AE3C-CF78D65B82FB}" id="{BE27EDF5-EBA3-4708-A689-8D72779E7D6F}">
    <text>guess</text>
  </threadedComment>
</ThreadedComments>
</file>

<file path=xl/threadedComments/threadedComment3.xml><?xml version="1.0" encoding="utf-8"?>
<ThreadedComments xmlns="http://schemas.microsoft.com/office/spreadsheetml/2018/threadedcomments" xmlns:x="http://schemas.openxmlformats.org/spreadsheetml/2006/main">
  <threadedComment ref="D198" dT="2026-04-21T06:34:58.06" personId="{E75D9B47-AA3A-4859-AE3C-CF78D65B82FB}" id="{9AC7C949-FED9-49A2-AA35-59108F6DEF69}">
    <text>guess</text>
  </threadedComment>
  <threadedComment ref="E221" dT="2026-04-21T06:58:48.70" personId="{E75D9B47-AA3A-4859-AE3C-CF78D65B82FB}" id="{D9217949-F364-4B44-AF6E-C51788055FA8}">
    <text>guess</text>
  </threadedComment>
  <threadedComment ref="E222" dT="2026-04-21T06:58:56.24" personId="{E75D9B47-AA3A-4859-AE3C-CF78D65B82FB}" id="{C1F99736-BB68-4534-9A75-4B49BABE8C71}">
    <text>guess</text>
  </threadedComment>
  <threadedComment ref="F704" dT="2026-04-22T03:49:20.04" personId="{E75D9B47-AA3A-4859-AE3C-CF78D65B82FB}" id="{9914B3AA-CDAA-4C19-8868-35F1D030F32B}">
    <text>guess</text>
  </threadedComment>
  <threadedComment ref="E883" dT="2026-04-22T03:36:54.30" personId="{E75D9B47-AA3A-4859-AE3C-CF78D65B82FB}" id="{70EFB8A8-58D0-4783-8F4B-095EAA941194}">
    <text>guess</text>
  </threadedComment>
  <threadedComment ref="E887" dT="2026-04-22T03:36:46.49" personId="{E75D9B47-AA3A-4859-AE3C-CF78D65B82FB}" id="{BCF688AF-9B51-4414-B94E-1AB5B256D524}">
    <text>guess</text>
  </threadedComment>
</ThreadedComments>
</file>

<file path=xl/threadedComments/threadedComment4.xml><?xml version="1.0" encoding="utf-8"?>
<ThreadedComments xmlns="http://schemas.microsoft.com/office/spreadsheetml/2018/threadedcomments" xmlns:x="http://schemas.openxmlformats.org/spreadsheetml/2006/main">
  <threadedComment ref="E687" dT="2026-04-24T04:09:55.54" personId="{E75D9B47-AA3A-4859-AE3C-CF78D65B82FB}" id="{346D4CDC-32B9-443A-A5FA-F14226D27B06}">
    <text xml:space="preserve">guess presum </text>
  </threadedComment>
</ThreadedComments>
</file>

<file path=xl/threadedComments/threadedComment5.xml><?xml version="1.0" encoding="utf-8"?>
<ThreadedComments xmlns="http://schemas.microsoft.com/office/spreadsheetml/2018/threadedcomments" xmlns:x="http://schemas.openxmlformats.org/spreadsheetml/2006/main">
  <threadedComment ref="E746" dT="2026-04-24T04:44:39.71" personId="{E75D9B47-AA3A-4859-AE3C-CF78D65B82FB}" id="{0F8BD45D-C53A-4C78-BE72-DF69FE1F29C2}">
    <text>guess</text>
  </threadedComment>
  <threadedComment ref="B829" dT="2026-04-24T02:47:01.98" personId="{E75D9B47-AA3A-4859-AE3C-CF78D65B82FB}" id="{CA528D76-1B2F-4FD7-B659-94CCA1E42C37}">
    <text xml:space="preserve">flag up , need to replacing amentities fixuture on Building 36 level 1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2679-DF30-4E32-810B-8A3C51D5890D}">
  <sheetPr>
    <tabColor rgb="FFFF0000"/>
    <pageSetUpPr fitToPage="1"/>
  </sheetPr>
  <dimension ref="A1:AD140"/>
  <sheetViews>
    <sheetView showGridLines="0" tabSelected="1" topLeftCell="A10" zoomScale="70" zoomScaleNormal="70" workbookViewId="0">
      <selection activeCell="O44" sqref="O44"/>
    </sheetView>
  </sheetViews>
  <sheetFormatPr defaultColWidth="9.109375" defaultRowHeight="13.2" x14ac:dyDescent="0.25"/>
  <cols>
    <col min="1" max="1" width="8.88671875" style="1" customWidth="1"/>
    <col min="2" max="2" width="7.6640625" style="63" customWidth="1"/>
    <col min="3" max="3" width="1.44140625" style="63" customWidth="1"/>
    <col min="4" max="4" width="3" style="63" bestFit="1" customWidth="1"/>
    <col min="5" max="5" width="1.33203125" style="1" customWidth="1"/>
    <col min="6" max="6" width="2.33203125" style="1" customWidth="1"/>
    <col min="7" max="7" width="1.33203125" style="1" customWidth="1"/>
    <col min="8" max="8" width="3.109375" style="1" customWidth="1"/>
    <col min="9" max="9" width="6.88671875" style="1" customWidth="1"/>
    <col min="10" max="10" width="9.88671875" style="1" customWidth="1"/>
    <col min="11" max="11" width="9.109375" style="1"/>
    <col min="12" max="12" width="48.33203125" style="1" customWidth="1"/>
    <col min="13" max="13" width="22.33203125" style="2" customWidth="1"/>
    <col min="14" max="14" width="21.109375" style="1" customWidth="1"/>
    <col min="15" max="15" width="22" style="1" customWidth="1"/>
    <col min="16" max="16" width="16.33203125" style="1" customWidth="1"/>
    <col min="17" max="17" width="11.44140625" style="1" customWidth="1"/>
    <col min="18" max="18" width="15.5546875" style="1" customWidth="1"/>
    <col min="19" max="19" width="12.44140625" style="1" customWidth="1"/>
    <col min="20" max="20" width="9.33203125" style="1"/>
    <col min="21" max="21" width="20.6640625" style="1" customWidth="1"/>
    <col min="22" max="22" width="14.44140625" style="1" customWidth="1"/>
    <col min="23" max="23" width="36.88671875" style="1" customWidth="1"/>
    <col min="24" max="24" width="9.88671875" style="1" customWidth="1"/>
    <col min="25" max="25" width="20.5546875" style="1" customWidth="1"/>
    <col min="26" max="26" width="14.44140625" style="1" customWidth="1"/>
    <col min="27" max="27" width="9.109375" style="1"/>
    <col min="28" max="28" width="15.6640625" style="1" customWidth="1"/>
    <col min="29" max="29" width="39.44140625" style="1" customWidth="1"/>
    <col min="30" max="16384" width="9.109375" style="1"/>
  </cols>
  <sheetData>
    <row r="1" spans="1:30" ht="11.25" customHeight="1" x14ac:dyDescent="0.25">
      <c r="N1" s="3" t="s">
        <v>0</v>
      </c>
    </row>
    <row r="2" spans="1:30" ht="24" customHeight="1" x14ac:dyDescent="0.25">
      <c r="N2" s="4" t="s">
        <v>0</v>
      </c>
    </row>
    <row r="3" spans="1:30" ht="38.25" customHeight="1" x14ac:dyDescent="0.2">
      <c r="B3" s="535" t="s">
        <v>0</v>
      </c>
      <c r="C3" s="535"/>
      <c r="D3" s="535"/>
      <c r="E3" s="535"/>
      <c r="F3" s="535"/>
      <c r="G3" s="535"/>
      <c r="H3" s="535"/>
      <c r="I3" s="535"/>
      <c r="J3" s="535"/>
      <c r="K3" s="535"/>
      <c r="L3" s="535"/>
      <c r="M3" s="535"/>
      <c r="N3" s="535"/>
    </row>
    <row r="4" spans="1:30" ht="10.199999999999999" x14ac:dyDescent="0.2">
      <c r="B4" s="535"/>
      <c r="C4" s="535"/>
      <c r="D4" s="535"/>
      <c r="E4" s="535"/>
      <c r="F4" s="535"/>
      <c r="G4" s="535"/>
      <c r="H4" s="535"/>
      <c r="I4" s="535"/>
      <c r="J4" s="535"/>
      <c r="K4" s="535"/>
      <c r="L4" s="535"/>
      <c r="M4" s="535"/>
      <c r="N4" s="535"/>
    </row>
    <row r="6" spans="1:30" ht="10.199999999999999" x14ac:dyDescent="0.2">
      <c r="B6" s="529" t="s">
        <v>1</v>
      </c>
      <c r="C6" s="529"/>
      <c r="D6" s="529"/>
      <c r="E6" s="529"/>
      <c r="F6" s="529"/>
      <c r="G6" s="529"/>
      <c r="H6" s="529"/>
      <c r="I6" s="529"/>
      <c r="J6" s="529"/>
      <c r="K6" s="529"/>
      <c r="L6" s="529"/>
      <c r="M6" s="529"/>
      <c r="N6" s="529"/>
      <c r="O6" s="37"/>
      <c r="V6" s="528" t="s">
        <v>2</v>
      </c>
      <c r="W6" s="528"/>
      <c r="X6" s="528"/>
      <c r="Y6" s="528"/>
      <c r="Z6" s="528"/>
      <c r="AA6" s="528"/>
      <c r="AB6" s="528"/>
      <c r="AC6" s="528"/>
      <c r="AD6" s="528"/>
    </row>
    <row r="7" spans="1:30" x14ac:dyDescent="0.25">
      <c r="B7" s="64"/>
      <c r="C7" s="64"/>
      <c r="D7" s="64"/>
      <c r="E7" s="6"/>
      <c r="F7" s="6"/>
      <c r="G7" s="6"/>
      <c r="H7" s="6"/>
      <c r="I7" s="6"/>
      <c r="J7" s="6"/>
      <c r="K7" s="6"/>
      <c r="L7" s="6"/>
      <c r="M7" s="6"/>
      <c r="N7" s="6"/>
      <c r="O7" s="37"/>
      <c r="P7" s="37"/>
      <c r="V7" s="528"/>
      <c r="W7" s="528"/>
      <c r="X7" s="528"/>
      <c r="Y7" s="528"/>
      <c r="Z7" s="528"/>
      <c r="AA7" s="528"/>
      <c r="AB7" s="528"/>
      <c r="AC7" s="528"/>
      <c r="AD7" s="528"/>
    </row>
    <row r="8" spans="1:30" x14ac:dyDescent="0.2">
      <c r="B8" s="65" t="s">
        <v>3</v>
      </c>
      <c r="C8" s="66"/>
      <c r="D8" s="66"/>
      <c r="E8" s="5"/>
      <c r="F8" s="5"/>
      <c r="G8" s="5"/>
      <c r="H8" s="5"/>
      <c r="I8" s="530"/>
      <c r="J8" s="531"/>
      <c r="K8" s="531"/>
      <c r="L8" s="531"/>
      <c r="M8" s="531"/>
      <c r="N8" s="7" t="s">
        <v>4</v>
      </c>
      <c r="O8" s="37"/>
      <c r="P8" s="37"/>
      <c r="V8" s="538" t="s">
        <v>5</v>
      </c>
      <c r="W8" s="538"/>
      <c r="X8" s="538"/>
    </row>
    <row r="9" spans="1:30" ht="12.6" customHeight="1" thickBot="1" x14ac:dyDescent="0.25">
      <c r="B9" s="65" t="s">
        <v>6</v>
      </c>
      <c r="C9" s="66"/>
      <c r="D9" s="66"/>
      <c r="E9" s="5"/>
      <c r="F9" s="5"/>
      <c r="G9" s="5"/>
      <c r="H9" s="5"/>
      <c r="I9" s="532" t="s">
        <v>7</v>
      </c>
      <c r="J9" s="532"/>
      <c r="K9" s="532"/>
      <c r="L9" s="532"/>
      <c r="M9" s="8"/>
      <c r="N9" s="9" t="s">
        <v>8</v>
      </c>
      <c r="O9" s="37"/>
      <c r="P9" s="37"/>
    </row>
    <row r="10" spans="1:30" x14ac:dyDescent="0.25">
      <c r="N10" s="10"/>
      <c r="R10" s="25" t="s">
        <v>9</v>
      </c>
      <c r="S10" s="536" t="s">
        <v>10</v>
      </c>
      <c r="T10" s="537"/>
      <c r="V10" s="539" t="s">
        <v>11</v>
      </c>
      <c r="W10" s="534"/>
      <c r="Y10" s="533" t="s">
        <v>12</v>
      </c>
      <c r="Z10" s="534"/>
      <c r="AB10" s="533" t="s">
        <v>13</v>
      </c>
      <c r="AC10" s="534"/>
    </row>
    <row r="11" spans="1:30" x14ac:dyDescent="0.25">
      <c r="B11" s="67"/>
      <c r="C11" s="67"/>
      <c r="D11" s="67"/>
      <c r="E11" s="11"/>
      <c r="F11" s="11"/>
      <c r="G11" s="11"/>
      <c r="H11" s="11"/>
      <c r="I11" s="11"/>
      <c r="J11" s="11"/>
      <c r="K11" s="11"/>
      <c r="L11" s="11"/>
      <c r="M11" s="12"/>
      <c r="N11" s="13" t="s">
        <v>14</v>
      </c>
      <c r="R11" s="26"/>
      <c r="V11" s="60" t="s">
        <v>15</v>
      </c>
      <c r="W11" s="402">
        <v>18000</v>
      </c>
      <c r="Y11" s="60" t="s">
        <v>15</v>
      </c>
      <c r="Z11" s="61">
        <v>35563</v>
      </c>
      <c r="AB11" s="60" t="s">
        <v>15</v>
      </c>
      <c r="AC11" s="61">
        <v>15932</v>
      </c>
    </row>
    <row r="12" spans="1:30" x14ac:dyDescent="0.25">
      <c r="B12" s="68"/>
      <c r="N12" s="14"/>
      <c r="P12" s="9"/>
      <c r="Q12" s="9"/>
      <c r="R12" s="9"/>
      <c r="S12" s="9"/>
      <c r="V12" s="60"/>
      <c r="W12" s="61"/>
      <c r="Y12" s="60"/>
      <c r="Z12" s="61"/>
      <c r="AB12" s="60"/>
      <c r="AC12" s="61"/>
    </row>
    <row r="13" spans="1:30" s="15" customFormat="1" x14ac:dyDescent="0.25">
      <c r="A13" s="1"/>
      <c r="B13" s="68"/>
      <c r="C13" s="63"/>
      <c r="D13" s="63"/>
      <c r="E13" s="1"/>
      <c r="F13" s="1"/>
      <c r="G13" s="1"/>
      <c r="H13" s="1"/>
      <c r="I13" s="16"/>
      <c r="J13" s="1"/>
      <c r="K13" s="1"/>
      <c r="L13" s="1"/>
      <c r="M13" s="2"/>
      <c r="O13" s="2"/>
      <c r="P13" s="9"/>
      <c r="Q13" s="9"/>
      <c r="R13" s="74"/>
      <c r="S13" s="21"/>
      <c r="T13" s="1"/>
      <c r="U13" s="1"/>
      <c r="V13" s="60" t="s">
        <v>16</v>
      </c>
      <c r="W13" s="61">
        <v>1.1499999999999999</v>
      </c>
      <c r="Y13" s="60" t="s">
        <v>16</v>
      </c>
      <c r="Z13" s="61">
        <v>1.1499999999999999</v>
      </c>
      <c r="AB13" s="60" t="s">
        <v>16</v>
      </c>
      <c r="AC13" s="61">
        <v>1.1499999999999999</v>
      </c>
    </row>
    <row r="14" spans="1:30" x14ac:dyDescent="0.25">
      <c r="B14" s="69" t="s">
        <v>17</v>
      </c>
      <c r="C14" s="70"/>
      <c r="D14" s="70"/>
      <c r="E14" s="70"/>
      <c r="F14" s="70"/>
      <c r="G14" s="70"/>
      <c r="H14" s="526"/>
      <c r="I14" s="526"/>
      <c r="J14" s="526"/>
      <c r="K14" s="526"/>
      <c r="L14" s="526"/>
      <c r="M14" s="526"/>
      <c r="N14" s="78"/>
      <c r="O14" s="15"/>
      <c r="P14" s="9"/>
      <c r="Q14" s="9"/>
      <c r="R14" s="74"/>
      <c r="S14" s="21"/>
      <c r="V14" s="60" t="s">
        <v>18</v>
      </c>
      <c r="W14" s="401">
        <v>1</v>
      </c>
      <c r="Y14" s="60" t="s">
        <v>18</v>
      </c>
      <c r="Z14" s="401">
        <v>1</v>
      </c>
      <c r="AB14" s="60" t="s">
        <v>18</v>
      </c>
      <c r="AC14" s="401">
        <v>1</v>
      </c>
    </row>
    <row r="15" spans="1:30" x14ac:dyDescent="0.25">
      <c r="B15" s="71"/>
      <c r="C15" s="70"/>
      <c r="D15" s="70"/>
      <c r="E15" s="70"/>
      <c r="F15" s="70"/>
      <c r="G15" s="70"/>
      <c r="H15" s="244"/>
      <c r="I15" s="525"/>
      <c r="J15" s="525"/>
      <c r="K15" s="525"/>
      <c r="L15" s="525"/>
      <c r="M15" s="525"/>
      <c r="N15" s="78"/>
      <c r="O15" s="15"/>
      <c r="P15" s="9"/>
      <c r="Q15" s="9"/>
      <c r="R15" s="74"/>
      <c r="S15" s="21"/>
      <c r="V15" s="60" t="s">
        <v>19</v>
      </c>
      <c r="W15" s="401">
        <v>121</v>
      </c>
      <c r="Y15" s="60" t="s">
        <v>19</v>
      </c>
      <c r="Z15" s="61">
        <v>8965</v>
      </c>
      <c r="AB15" s="60" t="s">
        <v>19</v>
      </c>
      <c r="AC15" s="61">
        <v>2000</v>
      </c>
    </row>
    <row r="16" spans="1:30" x14ac:dyDescent="0.25">
      <c r="B16" s="71" t="s">
        <v>20</v>
      </c>
      <c r="C16" s="71" t="s">
        <v>21</v>
      </c>
      <c r="D16" s="71">
        <v>1</v>
      </c>
      <c r="E16" s="76"/>
      <c r="F16" s="76"/>
      <c r="G16" s="76"/>
      <c r="H16" s="76"/>
      <c r="I16" s="526" t="s">
        <v>1238</v>
      </c>
      <c r="J16" s="527"/>
      <c r="K16" s="527"/>
      <c r="L16" s="527"/>
      <c r="M16" s="527"/>
      <c r="N16" s="523">
        <f>S16+Z17+W17+AC17+AC27+Z27+W26+W54+AC36+AC44+Z44+W44</f>
        <v>1103268.2971870634</v>
      </c>
      <c r="O16" s="35"/>
      <c r="P16" s="9"/>
      <c r="Q16" s="9"/>
      <c r="R16" s="58">
        <f>'ROK092'!F908</f>
        <v>651013.3564091794</v>
      </c>
      <c r="S16" s="59">
        <f>((R16/$R$64)*($R$74-$R$64))+R16</f>
        <v>967108.97718706331</v>
      </c>
      <c r="V16" s="60" t="s">
        <v>22</v>
      </c>
      <c r="W16" s="61">
        <v>1850</v>
      </c>
      <c r="Y16" s="60" t="s">
        <v>22</v>
      </c>
      <c r="Z16" s="61">
        <v>1250</v>
      </c>
      <c r="AB16" s="60" t="s">
        <v>22</v>
      </c>
      <c r="AC16" s="61">
        <v>2500</v>
      </c>
    </row>
    <row r="17" spans="1:29" ht="13.8" thickBot="1" x14ac:dyDescent="0.3">
      <c r="B17" s="71" t="s">
        <v>20</v>
      </c>
      <c r="C17" s="71" t="s">
        <v>21</v>
      </c>
      <c r="D17" s="71">
        <v>1</v>
      </c>
      <c r="E17" s="76" t="s">
        <v>21</v>
      </c>
      <c r="F17" s="76">
        <v>1</v>
      </c>
      <c r="G17" s="76"/>
      <c r="H17" s="76"/>
      <c r="I17" s="75"/>
      <c r="J17" s="245" t="s">
        <v>1236</v>
      </c>
      <c r="K17" s="323"/>
      <c r="L17" s="323"/>
      <c r="M17" s="522">
        <v>0</v>
      </c>
      <c r="N17" s="523"/>
      <c r="O17" s="35"/>
      <c r="P17" s="9"/>
      <c r="Q17" s="9"/>
      <c r="R17" s="58"/>
      <c r="S17" s="59"/>
      <c r="V17" s="396" t="s">
        <v>23</v>
      </c>
      <c r="W17" s="403">
        <f>W11*W13*W14+W15+W16</f>
        <v>22671</v>
      </c>
      <c r="Y17" s="396" t="s">
        <v>23</v>
      </c>
      <c r="Z17" s="62">
        <f>Z11*Z13*Z14+Z15+Z16</f>
        <v>51112.45</v>
      </c>
      <c r="AB17" s="396" t="s">
        <v>23</v>
      </c>
      <c r="AC17" s="62">
        <f>AC11*AC13*AC14+AC15+AC16</f>
        <v>22821.8</v>
      </c>
    </row>
    <row r="18" spans="1:29" ht="13.8" thickBot="1" x14ac:dyDescent="0.3">
      <c r="B18" s="71" t="s">
        <v>20</v>
      </c>
      <c r="C18" s="71" t="s">
        <v>21</v>
      </c>
      <c r="D18" s="71">
        <v>1</v>
      </c>
      <c r="E18" s="76" t="s">
        <v>21</v>
      </c>
      <c r="F18" s="76">
        <v>2</v>
      </c>
      <c r="G18" s="76"/>
      <c r="H18" s="76"/>
      <c r="I18" s="75"/>
      <c r="J18" s="245" t="s">
        <v>1237</v>
      </c>
      <c r="K18" s="323"/>
      <c r="L18" s="323"/>
      <c r="M18" s="522">
        <v>8620</v>
      </c>
      <c r="N18" s="523"/>
      <c r="O18" s="35"/>
      <c r="P18" s="9"/>
      <c r="Q18" s="9"/>
      <c r="R18" s="58"/>
      <c r="S18" s="59"/>
      <c r="Y18" s="395"/>
      <c r="Z18" s="218"/>
    </row>
    <row r="19" spans="1:29" ht="13.8" thickBot="1" x14ac:dyDescent="0.3">
      <c r="B19" s="71" t="s">
        <v>20</v>
      </c>
      <c r="C19" s="71" t="s">
        <v>21</v>
      </c>
      <c r="D19" s="71">
        <v>1</v>
      </c>
      <c r="E19" s="76" t="s">
        <v>21</v>
      </c>
      <c r="F19" s="76">
        <v>3</v>
      </c>
      <c r="G19" s="76"/>
      <c r="H19" s="76"/>
      <c r="I19" s="75"/>
      <c r="J19" s="245" t="s">
        <v>1245</v>
      </c>
      <c r="K19" s="323"/>
      <c r="L19" s="323"/>
      <c r="M19" s="522">
        <v>0</v>
      </c>
      <c r="N19" s="523"/>
      <c r="O19" s="35"/>
      <c r="P19" s="9"/>
      <c r="Q19" s="9"/>
      <c r="R19" s="58"/>
      <c r="S19" s="59"/>
      <c r="V19" s="533" t="s">
        <v>25</v>
      </c>
      <c r="W19" s="534"/>
      <c r="Z19" s="218"/>
    </row>
    <row r="20" spans="1:29" x14ac:dyDescent="0.25">
      <c r="B20" s="71"/>
      <c r="C20" s="71"/>
      <c r="D20" s="71"/>
      <c r="E20" s="76"/>
      <c r="F20" s="76"/>
      <c r="G20" s="76"/>
      <c r="H20" s="76"/>
      <c r="I20" s="75"/>
      <c r="J20" s="323"/>
      <c r="K20" s="323"/>
      <c r="L20" s="323"/>
      <c r="M20" s="323"/>
      <c r="N20" s="523"/>
      <c r="O20" s="35"/>
      <c r="P20" s="9"/>
      <c r="Q20" s="9"/>
      <c r="R20" s="58"/>
      <c r="S20" s="59"/>
      <c r="V20" s="60" t="s">
        <v>15</v>
      </c>
      <c r="W20" s="61">
        <v>2092</v>
      </c>
      <c r="Y20" s="533" t="s">
        <v>27</v>
      </c>
      <c r="Z20" s="534"/>
      <c r="AB20" s="533" t="s">
        <v>28</v>
      </c>
      <c r="AC20" s="534"/>
    </row>
    <row r="21" spans="1:29" x14ac:dyDescent="0.25">
      <c r="B21" s="69" t="s">
        <v>24</v>
      </c>
      <c r="C21" s="70"/>
      <c r="D21" s="70"/>
      <c r="E21" s="70"/>
      <c r="F21" s="70"/>
      <c r="G21" s="70"/>
      <c r="H21" s="526"/>
      <c r="I21" s="526"/>
      <c r="J21" s="526"/>
      <c r="K21" s="526"/>
      <c r="L21" s="526"/>
      <c r="M21" s="526"/>
      <c r="N21" s="78"/>
      <c r="O21" s="15"/>
      <c r="P21" s="9"/>
      <c r="Q21" s="9"/>
      <c r="R21" s="74"/>
      <c r="S21" s="21"/>
      <c r="V21" s="60"/>
      <c r="W21" s="61"/>
      <c r="Y21" s="60" t="s">
        <v>15</v>
      </c>
      <c r="Z21" s="61">
        <v>4135</v>
      </c>
      <c r="AB21" s="60" t="s">
        <v>15</v>
      </c>
      <c r="AC21" s="61">
        <v>13200</v>
      </c>
    </row>
    <row r="22" spans="1:29" s="15" customFormat="1" x14ac:dyDescent="0.25">
      <c r="A22" s="1"/>
      <c r="B22" s="71"/>
      <c r="C22" s="70"/>
      <c r="D22" s="70"/>
      <c r="E22" s="70"/>
      <c r="F22" s="70"/>
      <c r="G22" s="70"/>
      <c r="H22" s="244"/>
      <c r="I22" s="525"/>
      <c r="J22" s="525"/>
      <c r="K22" s="525"/>
      <c r="L22" s="525"/>
      <c r="M22" s="525"/>
      <c r="N22" s="78"/>
      <c r="P22" s="9"/>
      <c r="Q22" s="9"/>
      <c r="R22" s="74"/>
      <c r="S22" s="21"/>
      <c r="T22" s="1"/>
      <c r="U22" s="1"/>
      <c r="V22" s="60" t="s">
        <v>16</v>
      </c>
      <c r="W22" s="61">
        <v>1.1499999999999999</v>
      </c>
      <c r="Y22" s="60"/>
      <c r="Z22" s="61"/>
      <c r="AB22" s="60"/>
      <c r="AC22" s="61"/>
    </row>
    <row r="23" spans="1:29" x14ac:dyDescent="0.25">
      <c r="B23" s="71" t="s">
        <v>26</v>
      </c>
      <c r="C23" s="71" t="s">
        <v>21</v>
      </c>
      <c r="D23" s="71">
        <v>1</v>
      </c>
      <c r="E23" s="76"/>
      <c r="F23" s="76"/>
      <c r="G23" s="76"/>
      <c r="H23" s="76"/>
      <c r="I23" s="526" t="s">
        <v>1239</v>
      </c>
      <c r="J23" s="527"/>
      <c r="K23" s="527"/>
      <c r="L23" s="527"/>
      <c r="M23" s="527"/>
      <c r="N23" s="523">
        <f>S23+W65</f>
        <v>81951.778765706709</v>
      </c>
      <c r="O23" s="35"/>
      <c r="P23" s="9"/>
      <c r="Q23" s="9"/>
      <c r="R23" s="58">
        <f>ROK21A!F853</f>
        <v>54039.910267576619</v>
      </c>
      <c r="S23" s="59">
        <f>((R23/$R$64)*($R$74-$R$64))+R23</f>
        <v>80278.663765706704</v>
      </c>
      <c r="U23" s="308"/>
      <c r="V23" s="60" t="s">
        <v>18</v>
      </c>
      <c r="W23" s="401">
        <v>1</v>
      </c>
      <c r="Y23" s="60" t="s">
        <v>16</v>
      </c>
      <c r="Z23" s="61">
        <v>1.1499999999999999</v>
      </c>
      <c r="AB23" s="60" t="s">
        <v>16</v>
      </c>
      <c r="AC23" s="61">
        <v>1.1499999999999999</v>
      </c>
    </row>
    <row r="24" spans="1:29" x14ac:dyDescent="0.25">
      <c r="B24" s="71" t="s">
        <v>26</v>
      </c>
      <c r="C24" s="71" t="s">
        <v>21</v>
      </c>
      <c r="D24" s="71">
        <v>1</v>
      </c>
      <c r="E24" s="76" t="s">
        <v>21</v>
      </c>
      <c r="F24" s="76">
        <v>1</v>
      </c>
      <c r="G24" s="76"/>
      <c r="H24" s="76"/>
      <c r="I24" s="75"/>
      <c r="J24" s="245" t="s">
        <v>1237</v>
      </c>
      <c r="K24" s="323"/>
      <c r="L24" s="323"/>
      <c r="M24" s="522">
        <v>500</v>
      </c>
      <c r="N24" s="523"/>
      <c r="O24" s="35"/>
      <c r="P24" s="9"/>
      <c r="Q24" s="9"/>
      <c r="R24" s="58"/>
      <c r="S24" s="59"/>
      <c r="V24" s="60" t="s">
        <v>19</v>
      </c>
      <c r="W24" s="401">
        <v>121</v>
      </c>
      <c r="Y24" s="60" t="s">
        <v>18</v>
      </c>
      <c r="Z24" s="401">
        <v>1</v>
      </c>
      <c r="AB24" s="60" t="s">
        <v>18</v>
      </c>
      <c r="AC24" s="401">
        <v>1</v>
      </c>
    </row>
    <row r="25" spans="1:29" x14ac:dyDescent="0.25">
      <c r="B25" s="71" t="s">
        <v>26</v>
      </c>
      <c r="C25" s="71" t="s">
        <v>21</v>
      </c>
      <c r="D25" s="71">
        <v>1</v>
      </c>
      <c r="E25" s="76" t="s">
        <v>21</v>
      </c>
      <c r="F25" s="76">
        <v>2</v>
      </c>
      <c r="G25" s="76"/>
      <c r="H25" s="76"/>
      <c r="I25" s="75"/>
      <c r="J25" s="245" t="s">
        <v>1245</v>
      </c>
      <c r="K25" s="323"/>
      <c r="L25" s="323"/>
      <c r="M25" s="522">
        <v>0</v>
      </c>
      <c r="N25" s="523"/>
      <c r="O25" s="35"/>
      <c r="P25" s="9"/>
      <c r="Q25" s="9"/>
      <c r="R25" s="58"/>
      <c r="S25" s="59"/>
      <c r="V25" s="60" t="s">
        <v>22</v>
      </c>
      <c r="W25" s="61">
        <v>1000</v>
      </c>
      <c r="Y25" s="60" t="s">
        <v>19</v>
      </c>
      <c r="Z25" s="401">
        <v>121</v>
      </c>
      <c r="AB25" s="60" t="s">
        <v>19</v>
      </c>
      <c r="AC25" s="401"/>
    </row>
    <row r="26" spans="1:29" s="15" customFormat="1" ht="13.8" thickBot="1" x14ac:dyDescent="0.25">
      <c r="B26" s="71"/>
      <c r="C26" s="71"/>
      <c r="D26" s="71"/>
      <c r="E26" s="70"/>
      <c r="F26" s="70"/>
      <c r="G26" s="70"/>
      <c r="H26" s="70"/>
      <c r="I26" s="244"/>
      <c r="J26" s="245"/>
      <c r="K26" s="245"/>
      <c r="L26" s="245"/>
      <c r="M26" s="245"/>
      <c r="N26" s="524"/>
      <c r="O26" s="35"/>
      <c r="P26" s="9"/>
      <c r="Q26" s="9"/>
      <c r="R26" s="36"/>
      <c r="S26" s="21"/>
      <c r="T26" s="1"/>
      <c r="U26" s="1"/>
      <c r="V26" s="396" t="s">
        <v>23</v>
      </c>
      <c r="W26" s="62">
        <f>W20*W22*W23+W24+W25</f>
        <v>3526.7999999999997</v>
      </c>
      <c r="X26" s="59"/>
      <c r="Y26" s="60" t="s">
        <v>22</v>
      </c>
      <c r="Z26" s="61">
        <v>1000</v>
      </c>
      <c r="AB26" s="60" t="s">
        <v>22</v>
      </c>
      <c r="AC26" s="61">
        <v>1000</v>
      </c>
    </row>
    <row r="27" spans="1:29" s="15" customFormat="1" ht="13.2" customHeight="1" thickBot="1" x14ac:dyDescent="0.3">
      <c r="A27" s="1"/>
      <c r="B27" s="69" t="s">
        <v>29</v>
      </c>
      <c r="C27" s="70"/>
      <c r="D27" s="70"/>
      <c r="E27" s="70"/>
      <c r="F27" s="70"/>
      <c r="G27" s="70"/>
      <c r="H27" s="526"/>
      <c r="I27" s="526"/>
      <c r="J27" s="526"/>
      <c r="K27" s="526"/>
      <c r="L27" s="526"/>
      <c r="M27" s="526"/>
      <c r="N27" s="78"/>
      <c r="P27" s="9"/>
      <c r="Q27" s="9"/>
      <c r="R27" s="74"/>
      <c r="S27" s="21"/>
      <c r="T27" s="1"/>
      <c r="U27" s="1"/>
      <c r="Y27" s="396" t="s">
        <v>23</v>
      </c>
      <c r="Z27" s="62">
        <f>Z21*Z23*Z24+Z25+Z26</f>
        <v>5876.25</v>
      </c>
      <c r="AB27" s="396" t="s">
        <v>23</v>
      </c>
      <c r="AC27" s="62">
        <f>AC21*AC23*AC24+AC25+AC26</f>
        <v>16179.999999999998</v>
      </c>
    </row>
    <row r="28" spans="1:29" s="15" customFormat="1" x14ac:dyDescent="0.25">
      <c r="A28" s="1"/>
      <c r="B28" s="71"/>
      <c r="C28" s="70"/>
      <c r="D28" s="70"/>
      <c r="E28" s="70"/>
      <c r="F28" s="70"/>
      <c r="G28" s="70"/>
      <c r="H28" s="244"/>
      <c r="I28" s="525"/>
      <c r="J28" s="525"/>
      <c r="K28" s="525"/>
      <c r="L28" s="525"/>
      <c r="M28" s="525"/>
      <c r="N28" s="78"/>
      <c r="P28" s="9"/>
      <c r="Q28" s="9"/>
      <c r="R28" s="74"/>
      <c r="S28" s="21"/>
      <c r="T28" s="1"/>
      <c r="U28" s="1"/>
      <c r="Y28" s="1"/>
      <c r="Z28" s="1"/>
    </row>
    <row r="29" spans="1:29" s="15" customFormat="1" ht="13.8" thickBot="1" x14ac:dyDescent="0.3">
      <c r="A29" s="1"/>
      <c r="B29" s="71" t="s">
        <v>30</v>
      </c>
      <c r="C29" s="71" t="s">
        <v>21</v>
      </c>
      <c r="D29" s="71">
        <v>1</v>
      </c>
      <c r="E29" s="76"/>
      <c r="F29" s="76"/>
      <c r="G29" s="76"/>
      <c r="H29" s="76"/>
      <c r="I29" s="526" t="s">
        <v>1240</v>
      </c>
      <c r="J29" s="527"/>
      <c r="K29" s="527"/>
      <c r="L29" s="527"/>
      <c r="M29" s="527"/>
      <c r="N29" s="523">
        <f>S29+W77+Z77</f>
        <v>210148.66933292552</v>
      </c>
      <c r="O29" s="35"/>
      <c r="P29" s="9"/>
      <c r="Q29" s="9"/>
      <c r="R29" s="58">
        <f>'ROK019'!F854</f>
        <v>137986.01125379285</v>
      </c>
      <c r="S29" s="59">
        <f>((R29/$R$64)*($R$74-$R$64))+R29</f>
        <v>204984.28933292552</v>
      </c>
      <c r="T29" s="1"/>
      <c r="U29" s="1"/>
      <c r="Y29" s="1"/>
      <c r="Z29" s="1"/>
    </row>
    <row r="30" spans="1:29" s="15" customFormat="1" x14ac:dyDescent="0.25">
      <c r="A30" s="1"/>
      <c r="B30" s="71" t="s">
        <v>30</v>
      </c>
      <c r="C30" s="71" t="s">
        <v>21</v>
      </c>
      <c r="D30" s="71">
        <v>1</v>
      </c>
      <c r="E30" s="76" t="s">
        <v>21</v>
      </c>
      <c r="F30" s="76">
        <v>1</v>
      </c>
      <c r="G30" s="76"/>
      <c r="H30" s="76"/>
      <c r="I30" s="75"/>
      <c r="J30" s="245" t="s">
        <v>1237</v>
      </c>
      <c r="K30" s="323"/>
      <c r="L30" s="323"/>
      <c r="M30" s="522">
        <v>3840</v>
      </c>
      <c r="N30" s="523"/>
      <c r="O30" s="35"/>
      <c r="P30" s="9"/>
      <c r="Q30" s="9"/>
      <c r="R30" s="58"/>
      <c r="S30" s="59"/>
      <c r="T30" s="1"/>
      <c r="U30" s="1"/>
      <c r="V30" s="540" t="s">
        <v>34</v>
      </c>
      <c r="W30" s="541"/>
      <c r="X30" s="514"/>
      <c r="Y30" s="540" t="s">
        <v>35</v>
      </c>
      <c r="Z30" s="541"/>
      <c r="AB30" s="533" t="s">
        <v>36</v>
      </c>
      <c r="AC30" s="534"/>
    </row>
    <row r="31" spans="1:29" s="15" customFormat="1" x14ac:dyDescent="0.25">
      <c r="A31" s="1"/>
      <c r="B31" s="71" t="s">
        <v>30</v>
      </c>
      <c r="C31" s="71" t="s">
        <v>21</v>
      </c>
      <c r="D31" s="71">
        <v>1</v>
      </c>
      <c r="E31" s="76" t="s">
        <v>21</v>
      </c>
      <c r="F31" s="76">
        <v>2</v>
      </c>
      <c r="G31" s="76"/>
      <c r="H31" s="76"/>
      <c r="I31" s="75"/>
      <c r="J31" s="245" t="s">
        <v>1245</v>
      </c>
      <c r="K31" s="323"/>
      <c r="L31" s="323"/>
      <c r="M31" s="522">
        <v>0</v>
      </c>
      <c r="N31" s="523"/>
      <c r="O31" s="35"/>
      <c r="P31" s="9"/>
      <c r="Q31" s="9"/>
      <c r="R31" s="58"/>
      <c r="S31" s="59"/>
      <c r="T31" s="1"/>
      <c r="U31" s="1"/>
      <c r="V31" s="515" t="s">
        <v>15</v>
      </c>
      <c r="W31" s="516">
        <v>6930.1</v>
      </c>
      <c r="X31" s="514"/>
      <c r="Y31" s="515" t="s">
        <v>15</v>
      </c>
      <c r="Z31" s="516">
        <v>4056.3</v>
      </c>
      <c r="AB31" s="60" t="s">
        <v>15</v>
      </c>
      <c r="AC31" s="61">
        <v>1432.3</v>
      </c>
    </row>
    <row r="32" spans="1:29" s="15" customFormat="1" x14ac:dyDescent="0.2">
      <c r="B32" s="71"/>
      <c r="C32" s="71"/>
      <c r="D32" s="71"/>
      <c r="E32" s="70"/>
      <c r="F32" s="70"/>
      <c r="G32" s="70"/>
      <c r="H32" s="70"/>
      <c r="I32" s="244"/>
      <c r="J32" s="245"/>
      <c r="K32" s="245"/>
      <c r="L32" s="245"/>
      <c r="M32" s="245"/>
      <c r="N32" s="524"/>
      <c r="O32" s="35"/>
      <c r="P32" s="9"/>
      <c r="Q32" s="9"/>
      <c r="R32" s="58"/>
      <c r="S32" s="59"/>
      <c r="T32" s="1"/>
      <c r="U32" s="1"/>
      <c r="V32" s="515"/>
      <c r="W32" s="516"/>
      <c r="X32" s="514"/>
      <c r="Y32" s="515" t="s">
        <v>38</v>
      </c>
      <c r="Z32" s="516">
        <v>415.3</v>
      </c>
      <c r="AB32" s="60"/>
      <c r="AC32" s="61"/>
    </row>
    <row r="33" spans="1:29" s="15" customFormat="1" x14ac:dyDescent="0.25">
      <c r="A33" s="1"/>
      <c r="B33" s="69" t="s">
        <v>31</v>
      </c>
      <c r="C33" s="70"/>
      <c r="D33" s="70"/>
      <c r="E33" s="70"/>
      <c r="F33" s="70"/>
      <c r="G33" s="70"/>
      <c r="H33" s="526"/>
      <c r="I33" s="526"/>
      <c r="J33" s="526"/>
      <c r="K33" s="526"/>
      <c r="L33" s="526"/>
      <c r="M33" s="526"/>
      <c r="N33" s="78"/>
      <c r="P33" s="9"/>
      <c r="Q33" s="9"/>
      <c r="R33" s="74"/>
      <c r="S33" s="21"/>
      <c r="T33" s="1"/>
      <c r="U33" s="1"/>
      <c r="V33" s="515" t="s">
        <v>16</v>
      </c>
      <c r="W33" s="516">
        <v>1.1499999999999999</v>
      </c>
      <c r="X33" s="514"/>
      <c r="Y33" s="515" t="s">
        <v>16</v>
      </c>
      <c r="Z33" s="516">
        <v>1.1499999999999999</v>
      </c>
      <c r="AB33" s="60" t="s">
        <v>16</v>
      </c>
      <c r="AC33" s="61">
        <v>1.1499999999999999</v>
      </c>
    </row>
    <row r="34" spans="1:29" s="15" customFormat="1" x14ac:dyDescent="0.25">
      <c r="A34" s="1"/>
      <c r="B34" s="71"/>
      <c r="C34" s="70"/>
      <c r="D34" s="70"/>
      <c r="E34" s="70"/>
      <c r="F34" s="70"/>
      <c r="G34" s="70"/>
      <c r="H34" s="244"/>
      <c r="I34" s="525"/>
      <c r="J34" s="525"/>
      <c r="K34" s="525"/>
      <c r="L34" s="525"/>
      <c r="M34" s="525"/>
      <c r="N34" s="78"/>
      <c r="P34" s="9"/>
      <c r="Q34" s="9"/>
      <c r="R34" s="74"/>
      <c r="S34" s="21"/>
      <c r="T34" s="1"/>
      <c r="U34" s="1"/>
      <c r="V34" s="515" t="s">
        <v>18</v>
      </c>
      <c r="W34" s="517">
        <v>1</v>
      </c>
      <c r="X34" s="514"/>
      <c r="Y34" s="515" t="s">
        <v>18</v>
      </c>
      <c r="Z34" s="517">
        <v>1</v>
      </c>
      <c r="AB34" s="60" t="s">
        <v>18</v>
      </c>
      <c r="AC34" s="401">
        <v>1</v>
      </c>
    </row>
    <row r="35" spans="1:29" s="15" customFormat="1" x14ac:dyDescent="0.25">
      <c r="A35" s="1"/>
      <c r="B35" s="71" t="s">
        <v>32</v>
      </c>
      <c r="C35" s="71" t="s">
        <v>21</v>
      </c>
      <c r="D35" s="71">
        <v>1</v>
      </c>
      <c r="E35" s="76"/>
      <c r="F35" s="76"/>
      <c r="G35" s="76"/>
      <c r="H35" s="76"/>
      <c r="I35" s="526" t="s">
        <v>1241</v>
      </c>
      <c r="J35" s="527"/>
      <c r="K35" s="527"/>
      <c r="L35" s="527"/>
      <c r="M35" s="527"/>
      <c r="N35" s="523">
        <f>S35+W88+Z88+AC88</f>
        <v>405932.80703848705</v>
      </c>
      <c r="O35" s="35"/>
      <c r="P35" s="9"/>
      <c r="Q35" s="9"/>
      <c r="R35" s="58">
        <f>'ROK033'!F860</f>
        <v>264906.62372489716</v>
      </c>
      <c r="S35" s="59">
        <f>((R35/$R$64)*($R$74-$R$64))+R35</f>
        <v>393530.44203848706</v>
      </c>
      <c r="T35" s="1"/>
      <c r="U35" s="1"/>
      <c r="V35" s="515" t="s">
        <v>22</v>
      </c>
      <c r="W35" s="516"/>
      <c r="X35" s="514"/>
      <c r="Y35" s="515" t="s">
        <v>22</v>
      </c>
      <c r="Z35" s="516"/>
      <c r="AB35" s="60" t="s">
        <v>22</v>
      </c>
      <c r="AC35" s="61">
        <v>500</v>
      </c>
    </row>
    <row r="36" spans="1:29" s="15" customFormat="1" ht="18" customHeight="1" thickBot="1" x14ac:dyDescent="0.3">
      <c r="A36" s="1"/>
      <c r="B36" s="71" t="s">
        <v>32</v>
      </c>
      <c r="C36" s="71" t="s">
        <v>21</v>
      </c>
      <c r="D36" s="71">
        <v>1</v>
      </c>
      <c r="E36" s="76" t="s">
        <v>21</v>
      </c>
      <c r="F36" s="76">
        <v>1</v>
      </c>
      <c r="G36" s="76"/>
      <c r="H36" s="76"/>
      <c r="I36" s="75"/>
      <c r="J36" s="245" t="s">
        <v>1237</v>
      </c>
      <c r="K36" s="323"/>
      <c r="L36" s="323"/>
      <c r="M36" s="522">
        <v>3840</v>
      </c>
      <c r="N36" s="523"/>
      <c r="O36" s="35"/>
      <c r="P36" s="9"/>
      <c r="Q36" s="9"/>
      <c r="R36" s="58"/>
      <c r="S36" s="59"/>
      <c r="T36" s="1"/>
      <c r="U36" s="1"/>
      <c r="V36" s="518" t="s">
        <v>23</v>
      </c>
      <c r="W36" s="519">
        <f>W31*W33*W34+W35</f>
        <v>7969.6149999999998</v>
      </c>
      <c r="X36" s="514"/>
      <c r="Y36" s="518" t="s">
        <v>23</v>
      </c>
      <c r="Z36" s="519">
        <f>Z31*Z33*Z34+Z32+Z35</f>
        <v>5080.0450000000001</v>
      </c>
      <c r="AB36" s="396" t="s">
        <v>23</v>
      </c>
      <c r="AC36" s="62">
        <f>AC31*AC33*AC34+AC35</f>
        <v>2147.1449999999995</v>
      </c>
    </row>
    <row r="37" spans="1:29" s="15" customFormat="1" ht="19.5" customHeight="1" thickBot="1" x14ac:dyDescent="0.3">
      <c r="A37" s="1"/>
      <c r="B37" s="71" t="s">
        <v>32</v>
      </c>
      <c r="C37" s="71" t="s">
        <v>21</v>
      </c>
      <c r="D37" s="71">
        <v>1</v>
      </c>
      <c r="E37" s="76" t="s">
        <v>21</v>
      </c>
      <c r="F37" s="76">
        <v>2</v>
      </c>
      <c r="G37" s="76"/>
      <c r="H37" s="76"/>
      <c r="I37" s="75"/>
      <c r="J37" s="245" t="s">
        <v>1245</v>
      </c>
      <c r="K37" s="323"/>
      <c r="L37" s="323"/>
      <c r="M37" s="522">
        <v>0</v>
      </c>
      <c r="N37" s="523"/>
      <c r="O37" s="35"/>
      <c r="P37" s="9"/>
      <c r="Q37" s="9"/>
      <c r="R37" s="58"/>
      <c r="S37" s="59"/>
      <c r="T37" s="1"/>
      <c r="U37" s="1"/>
    </row>
    <row r="38" spans="1:29" s="15" customFormat="1" x14ac:dyDescent="0.2">
      <c r="B38" s="71"/>
      <c r="C38" s="71"/>
      <c r="D38" s="71"/>
      <c r="E38" s="70"/>
      <c r="F38" s="70"/>
      <c r="G38" s="70"/>
      <c r="H38" s="70"/>
      <c r="I38" s="244"/>
      <c r="J38" s="245"/>
      <c r="K38" s="245"/>
      <c r="L38" s="245"/>
      <c r="M38" s="245"/>
      <c r="N38" s="524"/>
      <c r="O38" s="35"/>
      <c r="P38" s="9"/>
      <c r="Q38" s="9"/>
      <c r="R38" s="58"/>
      <c r="S38" s="59"/>
      <c r="T38" s="1"/>
      <c r="U38" s="1"/>
      <c r="V38" s="533" t="s">
        <v>42</v>
      </c>
      <c r="W38" s="534"/>
      <c r="Y38" s="533" t="s">
        <v>43</v>
      </c>
      <c r="Z38" s="534"/>
      <c r="AB38" s="533" t="s">
        <v>44</v>
      </c>
      <c r="AC38" s="534"/>
    </row>
    <row r="39" spans="1:29" s="15" customFormat="1" x14ac:dyDescent="0.25">
      <c r="A39" s="1"/>
      <c r="B39" s="69" t="s">
        <v>33</v>
      </c>
      <c r="C39" s="70"/>
      <c r="D39" s="70"/>
      <c r="E39" s="70"/>
      <c r="F39" s="70"/>
      <c r="G39" s="70"/>
      <c r="H39" s="526"/>
      <c r="I39" s="526"/>
      <c r="J39" s="526"/>
      <c r="K39" s="526"/>
      <c r="L39" s="526"/>
      <c r="M39" s="526"/>
      <c r="N39" s="78"/>
      <c r="P39" s="9"/>
      <c r="Q39" s="9"/>
      <c r="R39" s="74"/>
      <c r="S39" s="21"/>
      <c r="T39" s="1"/>
      <c r="U39" s="1"/>
      <c r="V39" s="60" t="s">
        <v>15</v>
      </c>
      <c r="W39" s="61">
        <v>1302.0999999999999</v>
      </c>
      <c r="Y39" s="60" t="s">
        <v>15</v>
      </c>
      <c r="Z39" s="61">
        <v>1240.0999999999999</v>
      </c>
      <c r="AB39" s="60" t="s">
        <v>15</v>
      </c>
      <c r="AC39" s="61">
        <v>1020.1</v>
      </c>
    </row>
    <row r="40" spans="1:29" s="15" customFormat="1" x14ac:dyDescent="0.25">
      <c r="A40" s="1"/>
      <c r="B40" s="71"/>
      <c r="C40" s="70"/>
      <c r="D40" s="70"/>
      <c r="E40" s="70"/>
      <c r="F40" s="70"/>
      <c r="G40" s="70"/>
      <c r="H40" s="244"/>
      <c r="I40" s="525"/>
      <c r="J40" s="525"/>
      <c r="K40" s="525"/>
      <c r="L40" s="525"/>
      <c r="M40" s="525"/>
      <c r="N40" s="78"/>
      <c r="P40" s="9"/>
      <c r="Q40" s="9"/>
      <c r="R40" s="74"/>
      <c r="S40" s="21"/>
      <c r="T40" s="1"/>
      <c r="U40" s="1"/>
      <c r="V40" s="60"/>
      <c r="W40" s="61"/>
      <c r="Y40" s="60"/>
      <c r="Z40" s="61"/>
      <c r="AB40" s="60"/>
      <c r="AC40" s="61"/>
    </row>
    <row r="41" spans="1:29" s="15" customFormat="1" x14ac:dyDescent="0.25">
      <c r="A41" s="1"/>
      <c r="B41" s="71" t="s">
        <v>37</v>
      </c>
      <c r="C41" s="71" t="s">
        <v>21</v>
      </c>
      <c r="D41" s="71">
        <v>1</v>
      </c>
      <c r="E41" s="76"/>
      <c r="F41" s="76"/>
      <c r="G41" s="76"/>
      <c r="H41" s="76"/>
      <c r="I41" s="526" t="s">
        <v>1242</v>
      </c>
      <c r="J41" s="527"/>
      <c r="K41" s="527"/>
      <c r="L41" s="527"/>
      <c r="M41" s="527"/>
      <c r="N41" s="523">
        <f>S41</f>
        <v>71587.707930856704</v>
      </c>
      <c r="O41" s="35"/>
      <c r="P41" s="9"/>
      <c r="Q41" s="9"/>
      <c r="R41" s="58">
        <f>'ROK034'!F852</f>
        <v>48189.557864782968</v>
      </c>
      <c r="S41" s="59">
        <f>((R41/$R$64)*($R$74-$R$64))+R41</f>
        <v>71587.707930856704</v>
      </c>
      <c r="T41" s="1"/>
      <c r="U41" s="1"/>
      <c r="V41" s="60" t="s">
        <v>16</v>
      </c>
      <c r="W41" s="61">
        <v>1.1499999999999999</v>
      </c>
      <c r="Y41" s="60" t="s">
        <v>16</v>
      </c>
      <c r="Z41" s="61">
        <v>1.1499999999999999</v>
      </c>
      <c r="AB41" s="60" t="s">
        <v>16</v>
      </c>
      <c r="AC41" s="61">
        <v>1.1499999999999999</v>
      </c>
    </row>
    <row r="42" spans="1:29" s="15" customFormat="1" x14ac:dyDescent="0.25">
      <c r="A42" s="1"/>
      <c r="B42" s="71" t="s">
        <v>37</v>
      </c>
      <c r="C42" s="71" t="s">
        <v>21</v>
      </c>
      <c r="D42" s="71">
        <v>1</v>
      </c>
      <c r="E42" s="76" t="s">
        <v>21</v>
      </c>
      <c r="F42" s="76">
        <v>1</v>
      </c>
      <c r="G42" s="76"/>
      <c r="H42" s="76"/>
      <c r="I42" s="75"/>
      <c r="J42" s="245" t="s">
        <v>1237</v>
      </c>
      <c r="K42" s="323"/>
      <c r="L42" s="323"/>
      <c r="M42" s="522">
        <v>500</v>
      </c>
      <c r="N42" s="523"/>
      <c r="O42" s="35"/>
      <c r="P42" s="9"/>
      <c r="Q42" s="9"/>
      <c r="R42" s="58"/>
      <c r="S42" s="59"/>
      <c r="T42" s="1"/>
      <c r="U42" s="1"/>
      <c r="V42" s="60" t="s">
        <v>18</v>
      </c>
      <c r="W42" s="401">
        <v>1</v>
      </c>
      <c r="Y42" s="60" t="s">
        <v>18</v>
      </c>
      <c r="Z42" s="401">
        <v>3</v>
      </c>
      <c r="AB42" s="60" t="s">
        <v>18</v>
      </c>
      <c r="AC42" s="401">
        <v>1</v>
      </c>
    </row>
    <row r="43" spans="1:29" s="15" customFormat="1" x14ac:dyDescent="0.25">
      <c r="A43" s="1"/>
      <c r="B43" s="71" t="s">
        <v>37</v>
      </c>
      <c r="C43" s="71" t="s">
        <v>21</v>
      </c>
      <c r="D43" s="71">
        <v>1</v>
      </c>
      <c r="E43" s="76" t="s">
        <v>21</v>
      </c>
      <c r="F43" s="76">
        <v>2</v>
      </c>
      <c r="G43" s="76"/>
      <c r="H43" s="76"/>
      <c r="I43" s="75"/>
      <c r="J43" s="245" t="s">
        <v>1245</v>
      </c>
      <c r="K43" s="323"/>
      <c r="L43" s="323"/>
      <c r="M43" s="522">
        <v>0</v>
      </c>
      <c r="N43" s="523"/>
      <c r="O43" s="35"/>
      <c r="P43" s="9"/>
      <c r="Q43" s="9"/>
      <c r="R43" s="58"/>
      <c r="S43" s="59"/>
      <c r="T43" s="1"/>
      <c r="U43" s="1"/>
      <c r="V43" s="60" t="s">
        <v>22</v>
      </c>
      <c r="W43" s="61">
        <v>500</v>
      </c>
      <c r="Y43" s="60" t="s">
        <v>22</v>
      </c>
      <c r="Z43" s="61">
        <v>500</v>
      </c>
      <c r="AB43" s="60" t="s">
        <v>22</v>
      </c>
      <c r="AC43" s="61">
        <v>500</v>
      </c>
    </row>
    <row r="44" spans="1:29" s="15" customFormat="1" ht="13.8" thickBot="1" x14ac:dyDescent="0.25">
      <c r="B44" s="71"/>
      <c r="C44" s="71"/>
      <c r="D44" s="71"/>
      <c r="E44" s="70"/>
      <c r="F44" s="70"/>
      <c r="G44" s="70"/>
      <c r="H44" s="70"/>
      <c r="I44" s="244"/>
      <c r="J44" s="245"/>
      <c r="K44" s="245"/>
      <c r="L44" s="245"/>
      <c r="M44" s="245"/>
      <c r="N44" s="524"/>
      <c r="O44" s="35"/>
      <c r="P44" s="9"/>
      <c r="Q44" s="9"/>
      <c r="R44" s="58"/>
      <c r="S44" s="59"/>
      <c r="T44" s="1"/>
      <c r="U44" s="1"/>
      <c r="V44" s="396" t="s">
        <v>23</v>
      </c>
      <c r="W44" s="62">
        <f>W39*W41*W42+W43</f>
        <v>1997.4149999999997</v>
      </c>
      <c r="Y44" s="396" t="s">
        <v>23</v>
      </c>
      <c r="Z44" s="62">
        <f>Z39*Z41*Z42+Z43</f>
        <v>4778.3449999999993</v>
      </c>
      <c r="AB44" s="396" t="s">
        <v>23</v>
      </c>
      <c r="AC44" s="62">
        <f>AC39*AC41*AC42+AC43</f>
        <v>1673.115</v>
      </c>
    </row>
    <row r="45" spans="1:29" s="15" customFormat="1" x14ac:dyDescent="0.25">
      <c r="B45" s="69" t="s">
        <v>39</v>
      </c>
      <c r="C45" s="70"/>
      <c r="D45" s="70"/>
      <c r="E45" s="70"/>
      <c r="F45" s="70"/>
      <c r="G45" s="70"/>
      <c r="H45" s="526"/>
      <c r="I45" s="526"/>
      <c r="J45" s="526"/>
      <c r="K45" s="526"/>
      <c r="L45" s="526"/>
      <c r="M45" s="526"/>
      <c r="N45" s="78"/>
      <c r="P45" s="9"/>
      <c r="Q45" s="9"/>
      <c r="R45" s="74"/>
      <c r="S45" s="21"/>
      <c r="T45" s="1"/>
      <c r="U45" s="1"/>
    </row>
    <row r="46" spans="1:29" s="15" customFormat="1" x14ac:dyDescent="0.25">
      <c r="B46" s="71"/>
      <c r="C46" s="70"/>
      <c r="D46" s="70"/>
      <c r="E46" s="70"/>
      <c r="F46" s="70"/>
      <c r="G46" s="70"/>
      <c r="H46" s="244"/>
      <c r="I46" s="525"/>
      <c r="J46" s="525"/>
      <c r="K46" s="525"/>
      <c r="L46" s="525"/>
      <c r="M46" s="525"/>
      <c r="N46" s="78"/>
      <c r="P46" s="9"/>
      <c r="Q46" s="9"/>
      <c r="R46" s="74"/>
      <c r="S46" s="21"/>
      <c r="T46" s="1"/>
      <c r="U46" s="1"/>
    </row>
    <row r="47" spans="1:29" s="15" customFormat="1" ht="13.8" thickBot="1" x14ac:dyDescent="0.3">
      <c r="B47" s="71" t="s">
        <v>40</v>
      </c>
      <c r="C47" s="71" t="s">
        <v>21</v>
      </c>
      <c r="D47" s="71">
        <v>1</v>
      </c>
      <c r="E47" s="76"/>
      <c r="F47" s="76"/>
      <c r="G47" s="76"/>
      <c r="H47" s="76"/>
      <c r="I47" s="526" t="s">
        <v>1243</v>
      </c>
      <c r="J47" s="527"/>
      <c r="K47" s="527"/>
      <c r="L47" s="527"/>
      <c r="M47" s="527"/>
      <c r="N47" s="523">
        <f>S47+W110+AC110+Z120+W120</f>
        <v>1094184.5932870286</v>
      </c>
      <c r="O47" s="35"/>
      <c r="P47" s="9"/>
      <c r="Q47" s="9"/>
      <c r="R47" s="58">
        <f>'ROK036'!F938</f>
        <v>717701.26128103223</v>
      </c>
      <c r="S47" s="59">
        <f>((R47/$R$64)*($R$74-$R$64))+R47</f>
        <v>1066176.7932870286</v>
      </c>
      <c r="T47" s="1"/>
      <c r="U47" s="1"/>
    </row>
    <row r="48" spans="1:29" s="15" customFormat="1" x14ac:dyDescent="0.25">
      <c r="A48" s="1"/>
      <c r="B48" s="71" t="s">
        <v>40</v>
      </c>
      <c r="C48" s="71" t="s">
        <v>21</v>
      </c>
      <c r="D48" s="71">
        <v>1</v>
      </c>
      <c r="E48" s="76" t="s">
        <v>21</v>
      </c>
      <c r="F48" s="76">
        <v>1</v>
      </c>
      <c r="G48" s="76"/>
      <c r="H48" s="76"/>
      <c r="I48" s="75"/>
      <c r="J48" s="245" t="s">
        <v>1237</v>
      </c>
      <c r="K48" s="323"/>
      <c r="L48" s="323"/>
      <c r="M48" s="522">
        <v>3840</v>
      </c>
      <c r="N48" s="523"/>
      <c r="O48" s="35"/>
      <c r="P48" s="9"/>
      <c r="Q48" s="9"/>
      <c r="R48" s="58"/>
      <c r="S48" s="59"/>
      <c r="T48" s="1"/>
      <c r="U48" s="1"/>
      <c r="V48" s="533" t="s">
        <v>52</v>
      </c>
      <c r="W48" s="534"/>
    </row>
    <row r="49" spans="1:23" s="15" customFormat="1" x14ac:dyDescent="0.25">
      <c r="A49" s="1"/>
      <c r="B49" s="71" t="s">
        <v>40</v>
      </c>
      <c r="C49" s="71" t="s">
        <v>21</v>
      </c>
      <c r="D49" s="71">
        <v>1</v>
      </c>
      <c r="E49" s="76" t="s">
        <v>21</v>
      </c>
      <c r="F49" s="76">
        <v>2</v>
      </c>
      <c r="G49" s="76"/>
      <c r="H49" s="76"/>
      <c r="I49" s="75"/>
      <c r="J49" s="245" t="s">
        <v>1245</v>
      </c>
      <c r="K49" s="323"/>
      <c r="L49" s="323"/>
      <c r="M49" s="522">
        <v>0</v>
      </c>
      <c r="N49" s="523"/>
      <c r="O49" s="35"/>
      <c r="P49" s="9"/>
      <c r="Q49" s="9"/>
      <c r="R49" s="58"/>
      <c r="S49" s="59"/>
      <c r="T49" s="1"/>
      <c r="U49" s="1"/>
      <c r="V49" s="60" t="s">
        <v>15</v>
      </c>
      <c r="W49" s="402">
        <v>2500</v>
      </c>
    </row>
    <row r="50" spans="1:23" s="15" customFormat="1" x14ac:dyDescent="0.2">
      <c r="B50" s="71"/>
      <c r="C50" s="71"/>
      <c r="D50" s="71"/>
      <c r="E50" s="70"/>
      <c r="F50" s="70"/>
      <c r="G50" s="70"/>
      <c r="H50" s="70"/>
      <c r="I50" s="244"/>
      <c r="J50" s="245"/>
      <c r="K50" s="245"/>
      <c r="L50" s="245"/>
      <c r="M50" s="245"/>
      <c r="N50" s="524"/>
      <c r="O50" s="35"/>
      <c r="P50" s="9"/>
      <c r="Q50" s="9"/>
      <c r="R50" s="58"/>
      <c r="S50" s="59"/>
      <c r="T50" s="1"/>
      <c r="U50" s="1"/>
      <c r="V50" s="60"/>
      <c r="W50" s="61"/>
    </row>
    <row r="51" spans="1:23" s="15" customFormat="1" x14ac:dyDescent="0.25">
      <c r="B51" s="69" t="s">
        <v>41</v>
      </c>
      <c r="C51" s="70"/>
      <c r="D51" s="70"/>
      <c r="E51" s="70"/>
      <c r="F51" s="70"/>
      <c r="G51" s="70"/>
      <c r="H51" s="526"/>
      <c r="I51" s="526"/>
      <c r="J51" s="526"/>
      <c r="K51" s="526"/>
      <c r="L51" s="526"/>
      <c r="M51" s="526"/>
      <c r="N51" s="78"/>
      <c r="P51" s="9"/>
      <c r="Q51" s="9"/>
      <c r="R51" s="74"/>
      <c r="S51" s="21"/>
      <c r="T51" s="1"/>
      <c r="U51" s="1"/>
      <c r="V51" s="60" t="s">
        <v>16</v>
      </c>
      <c r="W51" s="61">
        <v>1.1499999999999999</v>
      </c>
    </row>
    <row r="52" spans="1:23" s="15" customFormat="1" x14ac:dyDescent="0.25">
      <c r="B52" s="71"/>
      <c r="C52" s="70"/>
      <c r="D52" s="70"/>
      <c r="E52" s="70"/>
      <c r="F52" s="70"/>
      <c r="G52" s="70"/>
      <c r="H52" s="244"/>
      <c r="I52" s="525"/>
      <c r="J52" s="525"/>
      <c r="K52" s="525"/>
      <c r="L52" s="525"/>
      <c r="M52" s="525"/>
      <c r="N52" s="78"/>
      <c r="P52" s="9"/>
      <c r="Q52" s="9"/>
      <c r="R52" s="74"/>
      <c r="S52" s="21"/>
      <c r="T52" s="1"/>
      <c r="U52" s="1"/>
      <c r="V52" s="60" t="s">
        <v>18</v>
      </c>
      <c r="W52" s="401">
        <v>1</v>
      </c>
    </row>
    <row r="53" spans="1:23" s="15" customFormat="1" x14ac:dyDescent="0.25">
      <c r="B53" s="71" t="s">
        <v>45</v>
      </c>
      <c r="C53" s="71" t="s">
        <v>21</v>
      </c>
      <c r="D53" s="71">
        <v>1</v>
      </c>
      <c r="E53" s="76"/>
      <c r="F53" s="76"/>
      <c r="G53" s="76"/>
      <c r="H53" s="76"/>
      <c r="I53" s="526" t="s">
        <v>1244</v>
      </c>
      <c r="J53" s="527"/>
      <c r="K53" s="527"/>
      <c r="L53" s="527"/>
      <c r="M53" s="527"/>
      <c r="N53" s="523">
        <f>S53+W131+Z131+AC131+Z140+W140</f>
        <v>250631.28432988859</v>
      </c>
      <c r="O53" s="35"/>
      <c r="P53" s="9"/>
      <c r="Q53" s="9"/>
      <c r="R53" s="58">
        <f>'ROK076'!F883</f>
        <v>141799.90235756352</v>
      </c>
      <c r="S53" s="59">
        <f>((R53/$R$64)*($R$74-$R$64))+R53</f>
        <v>210649.99232988863</v>
      </c>
      <c r="T53" s="1"/>
      <c r="U53" s="1"/>
      <c r="V53" s="60" t="s">
        <v>22</v>
      </c>
      <c r="W53" s="61">
        <v>500</v>
      </c>
    </row>
    <row r="54" spans="1:23" s="15" customFormat="1" ht="13.8" thickBot="1" x14ac:dyDescent="0.3">
      <c r="A54" s="1"/>
      <c r="B54" s="71" t="s">
        <v>45</v>
      </c>
      <c r="C54" s="71" t="s">
        <v>21</v>
      </c>
      <c r="D54" s="71">
        <v>1</v>
      </c>
      <c r="E54" s="76" t="s">
        <v>21</v>
      </c>
      <c r="F54" s="76">
        <v>1</v>
      </c>
      <c r="G54" s="76"/>
      <c r="H54" s="76"/>
      <c r="I54" s="75"/>
      <c r="J54" s="245" t="s">
        <v>1237</v>
      </c>
      <c r="K54" s="323"/>
      <c r="L54" s="323"/>
      <c r="M54" s="522">
        <v>500</v>
      </c>
      <c r="N54" s="523"/>
      <c r="O54" s="35"/>
      <c r="P54" s="9"/>
      <c r="Q54" s="9"/>
      <c r="R54" s="58"/>
      <c r="S54" s="59"/>
      <c r="T54" s="1"/>
      <c r="U54" s="1"/>
      <c r="V54" s="396" t="s">
        <v>23</v>
      </c>
      <c r="W54" s="62">
        <f>W49*W51*W52+W53</f>
        <v>3375</v>
      </c>
    </row>
    <row r="55" spans="1:23" s="15" customFormat="1" x14ac:dyDescent="0.25">
      <c r="A55" s="1"/>
      <c r="B55" s="71" t="s">
        <v>45</v>
      </c>
      <c r="C55" s="71" t="s">
        <v>21</v>
      </c>
      <c r="D55" s="71">
        <v>1</v>
      </c>
      <c r="E55" s="76" t="s">
        <v>21</v>
      </c>
      <c r="F55" s="76">
        <v>2</v>
      </c>
      <c r="G55" s="76"/>
      <c r="H55" s="76"/>
      <c r="I55" s="75"/>
      <c r="J55" s="245" t="s">
        <v>1245</v>
      </c>
      <c r="K55" s="323"/>
      <c r="L55" s="323"/>
      <c r="M55" s="522">
        <v>0</v>
      </c>
      <c r="N55" s="523"/>
      <c r="O55" s="35"/>
      <c r="P55" s="9"/>
      <c r="Q55" s="9"/>
      <c r="R55" s="58"/>
      <c r="S55" s="59"/>
      <c r="T55" s="1"/>
      <c r="U55" s="1"/>
    </row>
    <row r="56" spans="1:23" s="15" customFormat="1" x14ac:dyDescent="0.2">
      <c r="B56" s="71"/>
      <c r="C56" s="71"/>
      <c r="D56" s="71"/>
      <c r="E56" s="70"/>
      <c r="F56" s="70"/>
      <c r="G56" s="70"/>
      <c r="H56" s="70"/>
      <c r="I56" s="244"/>
      <c r="J56" s="245"/>
      <c r="K56" s="245"/>
      <c r="L56" s="245"/>
      <c r="M56" s="245"/>
      <c r="N56" s="524"/>
      <c r="O56" s="35"/>
      <c r="P56" s="9"/>
      <c r="Q56" s="9"/>
      <c r="R56" s="58"/>
      <c r="S56" s="59"/>
      <c r="T56" s="1"/>
      <c r="U56" s="1"/>
    </row>
    <row r="57" spans="1:23" s="15" customFormat="1" x14ac:dyDescent="0.25">
      <c r="B57" s="69" t="s">
        <v>1073</v>
      </c>
      <c r="C57" s="70"/>
      <c r="D57" s="70"/>
      <c r="E57" s="70"/>
      <c r="F57" s="70"/>
      <c r="G57" s="70"/>
      <c r="H57" s="526"/>
      <c r="I57" s="526"/>
      <c r="J57" s="526"/>
      <c r="K57" s="526"/>
      <c r="L57" s="526"/>
      <c r="M57" s="526"/>
      <c r="N57" s="78"/>
      <c r="P57" s="9"/>
      <c r="Q57" s="9"/>
      <c r="R57" s="74"/>
      <c r="S57" s="21"/>
      <c r="T57" s="1"/>
      <c r="U57" s="1"/>
      <c r="V57" s="542" t="s">
        <v>59</v>
      </c>
      <c r="W57" s="542"/>
    </row>
    <row r="58" spans="1:23" s="15" customFormat="1" ht="13.8" thickBot="1" x14ac:dyDescent="0.3">
      <c r="B58" s="71"/>
      <c r="C58" s="70"/>
      <c r="D58" s="70"/>
      <c r="E58" s="70"/>
      <c r="F58" s="70"/>
      <c r="G58" s="70"/>
      <c r="H58" s="244"/>
      <c r="I58" s="525"/>
      <c r="J58" s="525"/>
      <c r="K58" s="525"/>
      <c r="L58" s="525"/>
      <c r="M58" s="525"/>
      <c r="N58" s="78"/>
      <c r="P58" s="9"/>
      <c r="Q58" s="9"/>
      <c r="R58" s="74"/>
      <c r="S58" s="21"/>
      <c r="T58" s="1"/>
      <c r="U58" s="1"/>
    </row>
    <row r="59" spans="1:23" s="15" customFormat="1" x14ac:dyDescent="0.25">
      <c r="B59" s="71" t="s">
        <v>1247</v>
      </c>
      <c r="C59" s="71" t="s">
        <v>21</v>
      </c>
      <c r="D59" s="71">
        <v>1</v>
      </c>
      <c r="E59" s="76"/>
      <c r="F59" s="76"/>
      <c r="G59" s="76"/>
      <c r="H59" s="76"/>
      <c r="I59" s="526" t="s">
        <v>1246</v>
      </c>
      <c r="J59" s="527"/>
      <c r="K59" s="527"/>
      <c r="L59" s="527"/>
      <c r="M59" s="527"/>
      <c r="N59" s="523">
        <f>S59</f>
        <v>0</v>
      </c>
      <c r="O59" s="35"/>
      <c r="P59" s="9"/>
      <c r="Q59" s="9"/>
      <c r="R59" s="58">
        <f>'ROK076'!F887</f>
        <v>0</v>
      </c>
      <c r="S59" s="59">
        <f>((R59/$R$64)*($R$74-$R$64))+R59</f>
        <v>0</v>
      </c>
      <c r="T59" s="1"/>
      <c r="U59" s="1"/>
      <c r="V59" s="533" t="s">
        <v>60</v>
      </c>
      <c r="W59" s="534"/>
    </row>
    <row r="60" spans="1:23" s="15" customFormat="1" x14ac:dyDescent="0.25">
      <c r="A60" s="1"/>
      <c r="B60" s="71" t="s">
        <v>1247</v>
      </c>
      <c r="C60" s="71" t="s">
        <v>21</v>
      </c>
      <c r="D60" s="71">
        <v>1</v>
      </c>
      <c r="E60" s="76" t="s">
        <v>21</v>
      </c>
      <c r="F60" s="76">
        <v>1</v>
      </c>
      <c r="G60" s="76"/>
      <c r="H60" s="76"/>
      <c r="I60" s="75"/>
      <c r="J60" s="245"/>
      <c r="K60" s="323"/>
      <c r="L60" s="323"/>
      <c r="M60" s="522">
        <v>1</v>
      </c>
      <c r="N60" s="523"/>
      <c r="O60" s="35"/>
      <c r="P60" s="9"/>
      <c r="Q60" s="9"/>
      <c r="R60" s="58"/>
      <c r="S60" s="59"/>
      <c r="T60" s="1"/>
      <c r="U60" s="1"/>
      <c r="V60" s="60" t="s">
        <v>15</v>
      </c>
      <c r="W60" s="61">
        <v>1020.1</v>
      </c>
    </row>
    <row r="61" spans="1:23" s="15" customFormat="1" x14ac:dyDescent="0.25">
      <c r="A61" s="1"/>
      <c r="B61" s="71" t="s">
        <v>26</v>
      </c>
      <c r="C61" s="71" t="s">
        <v>21</v>
      </c>
      <c r="D61" s="71">
        <v>1</v>
      </c>
      <c r="E61" s="76" t="s">
        <v>21</v>
      </c>
      <c r="F61" s="76">
        <v>2</v>
      </c>
      <c r="G61" s="76"/>
      <c r="H61" s="76"/>
      <c r="I61" s="75"/>
      <c r="J61" s="245"/>
      <c r="K61" s="323"/>
      <c r="L61" s="323"/>
      <c r="M61" s="522">
        <v>0</v>
      </c>
      <c r="N61" s="523"/>
      <c r="O61" s="35"/>
      <c r="P61" s="9"/>
      <c r="Q61" s="9"/>
      <c r="R61" s="58"/>
      <c r="S61" s="59"/>
      <c r="T61" s="1"/>
      <c r="U61" s="1"/>
      <c r="V61" s="60"/>
      <c r="W61" s="61"/>
    </row>
    <row r="62" spans="1:23" s="15" customFormat="1" x14ac:dyDescent="0.2">
      <c r="B62" s="71"/>
      <c r="C62" s="71"/>
      <c r="D62" s="71"/>
      <c r="E62" s="70"/>
      <c r="F62" s="70"/>
      <c r="G62" s="70"/>
      <c r="H62" s="70"/>
      <c r="I62" s="244"/>
      <c r="J62" s="245"/>
      <c r="K62" s="245"/>
      <c r="L62" s="245"/>
      <c r="M62" s="245"/>
      <c r="N62" s="70"/>
      <c r="O62" s="35"/>
      <c r="P62" s="9"/>
      <c r="Q62" s="9"/>
      <c r="R62" s="58"/>
      <c r="S62" s="59"/>
      <c r="T62" s="1"/>
      <c r="U62" s="1"/>
      <c r="V62" s="60" t="s">
        <v>16</v>
      </c>
      <c r="W62" s="61">
        <v>1.1499999999999999</v>
      </c>
    </row>
    <row r="63" spans="1:23" s="15" customFormat="1" x14ac:dyDescent="0.2">
      <c r="B63" s="71"/>
      <c r="C63" s="71"/>
      <c r="D63" s="71"/>
      <c r="E63" s="70"/>
      <c r="F63" s="70"/>
      <c r="G63" s="70"/>
      <c r="H63" s="70"/>
      <c r="I63" s="244"/>
      <c r="J63" s="245"/>
      <c r="K63" s="245"/>
      <c r="L63" s="245"/>
      <c r="M63" s="245"/>
      <c r="N63" s="70"/>
      <c r="O63" s="35"/>
      <c r="P63" s="9"/>
      <c r="Q63" s="9"/>
      <c r="R63" s="58"/>
      <c r="S63" s="59"/>
      <c r="T63" s="1"/>
      <c r="U63" s="1"/>
      <c r="V63" s="60" t="s">
        <v>18</v>
      </c>
      <c r="W63" s="401">
        <v>1</v>
      </c>
    </row>
    <row r="64" spans="1:23" s="15" customFormat="1" ht="13.8" thickBot="1" x14ac:dyDescent="0.3">
      <c r="B64" s="71"/>
      <c r="C64" s="70"/>
      <c r="D64" s="71"/>
      <c r="E64" s="70"/>
      <c r="F64" s="70"/>
      <c r="G64" s="70"/>
      <c r="H64" s="70"/>
      <c r="I64" s="75"/>
      <c r="J64" s="245"/>
      <c r="K64" s="245"/>
      <c r="L64" s="245"/>
      <c r="M64" s="79" t="s">
        <v>46</v>
      </c>
      <c r="N64" s="80">
        <f>SUM(N16:N63)</f>
        <v>3217705.1378719565</v>
      </c>
      <c r="O64" s="35"/>
      <c r="P64" s="9"/>
      <c r="Q64" s="9"/>
      <c r="R64" s="27">
        <f>SUM(R13:R63)</f>
        <v>2015636.6231588249</v>
      </c>
      <c r="S64" s="28">
        <f>SUM(S13:S26)</f>
        <v>1047387.64095277</v>
      </c>
      <c r="T64" s="1"/>
      <c r="U64" s="308"/>
      <c r="V64" s="60" t="s">
        <v>22</v>
      </c>
      <c r="W64" s="61">
        <v>500</v>
      </c>
    </row>
    <row r="65" spans="1:29" s="15" customFormat="1" ht="14.4" thickTop="1" thickBot="1" x14ac:dyDescent="0.3">
      <c r="B65" s="71"/>
      <c r="C65" s="70"/>
      <c r="D65" s="71"/>
      <c r="E65" s="70"/>
      <c r="F65" s="70"/>
      <c r="G65" s="70"/>
      <c r="H65" s="70"/>
      <c r="I65" s="75"/>
      <c r="J65" s="245"/>
      <c r="K65" s="245"/>
      <c r="L65" s="245"/>
      <c r="M65" s="68"/>
      <c r="N65" s="81"/>
      <c r="O65" s="35"/>
      <c r="P65" s="9"/>
      <c r="Q65" s="9"/>
      <c r="R65" s="20"/>
      <c r="S65" s="1"/>
      <c r="T65" s="1"/>
      <c r="U65" s="1"/>
      <c r="V65" s="396" t="s">
        <v>23</v>
      </c>
      <c r="W65" s="62">
        <f>W60*W62*W63+W64</f>
        <v>1673.115</v>
      </c>
    </row>
    <row r="66" spans="1:29" s="15" customFormat="1" x14ac:dyDescent="0.25">
      <c r="B66" s="71"/>
      <c r="C66" s="70"/>
      <c r="D66" s="71"/>
      <c r="E66" s="70"/>
      <c r="F66" s="70"/>
      <c r="G66" s="70"/>
      <c r="H66" s="70"/>
      <c r="I66" s="75"/>
      <c r="J66" s="245"/>
      <c r="K66" s="245"/>
      <c r="L66" s="245"/>
      <c r="M66" s="68" t="s">
        <v>47</v>
      </c>
      <c r="N66" s="81">
        <f>N64*0.1</f>
        <v>321770.51378719567</v>
      </c>
      <c r="O66" s="35"/>
      <c r="P66" s="9"/>
      <c r="Q66" s="9"/>
      <c r="R66" s="34"/>
      <c r="S66" s="34"/>
      <c r="T66" s="1"/>
      <c r="U66" s="1"/>
    </row>
    <row r="67" spans="1:29" s="15" customFormat="1" x14ac:dyDescent="0.25">
      <c r="B67" s="71"/>
      <c r="C67" s="70"/>
      <c r="D67" s="71"/>
      <c r="E67" s="70"/>
      <c r="F67" s="70"/>
      <c r="G67" s="70"/>
      <c r="H67" s="70"/>
      <c r="I67" s="75"/>
      <c r="J67" s="245"/>
      <c r="K67" s="245"/>
      <c r="L67" s="245"/>
      <c r="M67" s="68"/>
      <c r="N67" s="81"/>
      <c r="O67" s="35"/>
      <c r="P67" s="219" t="s">
        <v>48</v>
      </c>
      <c r="Q67" s="315">
        <f>R67/R64</f>
        <v>8.033196111539391E-2</v>
      </c>
      <c r="R67" s="207">
        <f>'00_ TCS Prelim &amp; OH'!F89</f>
        <v>161920.04283435861</v>
      </c>
      <c r="S67" s="21" t="s">
        <v>49</v>
      </c>
      <c r="T67" s="1"/>
      <c r="U67" s="1"/>
    </row>
    <row r="68" spans="1:29" s="15" customFormat="1" ht="13.8" thickBot="1" x14ac:dyDescent="0.3">
      <c r="B68" s="71"/>
      <c r="C68" s="70"/>
      <c r="D68" s="71"/>
      <c r="E68" s="70"/>
      <c r="F68" s="70"/>
      <c r="G68" s="70"/>
      <c r="H68" s="70"/>
      <c r="I68" s="75"/>
      <c r="J68" s="245"/>
      <c r="K68" s="245"/>
      <c r="L68" s="245"/>
      <c r="M68" s="82" t="s">
        <v>50</v>
      </c>
      <c r="N68" s="83">
        <f>N64+N66</f>
        <v>3539475.651659152</v>
      </c>
      <c r="O68" s="35"/>
      <c r="P68" s="220" t="s">
        <v>51</v>
      </c>
      <c r="Q68" s="316">
        <f>R68/R64</f>
        <v>0.17860362123993481</v>
      </c>
      <c r="R68" s="207">
        <f>'00_ TCS Prelim &amp; OH'!F96</f>
        <v>360000</v>
      </c>
      <c r="S68" s="21" t="s">
        <v>49</v>
      </c>
      <c r="T68" s="1"/>
      <c r="U68" s="217"/>
      <c r="V68" s="542" t="s">
        <v>61</v>
      </c>
      <c r="W68" s="542"/>
    </row>
    <row r="69" spans="1:29" s="15" customFormat="1" ht="13.8" thickTop="1" x14ac:dyDescent="0.2">
      <c r="B69" s="71"/>
      <c r="C69" s="70"/>
      <c r="D69" s="71"/>
      <c r="E69" s="70"/>
      <c r="F69" s="70"/>
      <c r="G69" s="70"/>
      <c r="H69" s="70"/>
      <c r="I69" s="75"/>
      <c r="J69" s="245"/>
      <c r="K69" s="245"/>
      <c r="L69" s="245"/>
      <c r="M69" s="245"/>
      <c r="N69" s="70"/>
      <c r="O69" s="35"/>
      <c r="P69" s="23"/>
      <c r="Q69" s="29" t="s">
        <v>21</v>
      </c>
      <c r="R69" s="21"/>
      <c r="S69" s="21"/>
      <c r="T69" s="1"/>
      <c r="U69" s="1"/>
    </row>
    <row r="70" spans="1:29" s="15" customFormat="1" ht="13.8" thickBot="1" x14ac:dyDescent="0.25">
      <c r="B70" s="71"/>
      <c r="C70" s="70"/>
      <c r="D70" s="71"/>
      <c r="E70" s="70"/>
      <c r="F70" s="70"/>
      <c r="G70" s="70"/>
      <c r="H70" s="70"/>
      <c r="I70" s="75"/>
      <c r="J70" s="245"/>
      <c r="K70" s="245"/>
      <c r="L70" s="245"/>
      <c r="M70" s="245"/>
      <c r="N70" s="70"/>
      <c r="O70" s="35"/>
      <c r="P70" s="30" t="s">
        <v>53</v>
      </c>
      <c r="Q70" s="30"/>
      <c r="R70" s="31">
        <f>SUM(R64:R69)</f>
        <v>2537556.6659931834</v>
      </c>
      <c r="S70" s="21" t="s">
        <v>54</v>
      </c>
      <c r="T70" s="1"/>
      <c r="U70" s="1"/>
    </row>
    <row r="71" spans="1:29" s="15" customFormat="1" x14ac:dyDescent="0.2">
      <c r="B71" s="71"/>
      <c r="C71" s="70"/>
      <c r="D71" s="71"/>
      <c r="E71" s="70"/>
      <c r="F71" s="70"/>
      <c r="G71" s="70"/>
      <c r="H71" s="70"/>
      <c r="I71" s="75"/>
      <c r="J71" s="245"/>
      <c r="K71" s="245"/>
      <c r="L71" s="245"/>
      <c r="M71" s="245"/>
      <c r="N71" s="70"/>
      <c r="O71" s="1"/>
      <c r="P71" s="23"/>
      <c r="Q71" s="30"/>
      <c r="R71" s="31"/>
      <c r="S71" s="21"/>
      <c r="T71" s="1"/>
      <c r="U71" s="1"/>
      <c r="V71" s="533" t="s">
        <v>62</v>
      </c>
      <c r="W71" s="534"/>
      <c r="Y71" s="533" t="s">
        <v>63</v>
      </c>
      <c r="Z71" s="534"/>
      <c r="AB71" s="540" t="s">
        <v>64</v>
      </c>
      <c r="AC71" s="541"/>
    </row>
    <row r="72" spans="1:29" s="15" customFormat="1" x14ac:dyDescent="0.2">
      <c r="A72" s="1"/>
      <c r="B72" s="71"/>
      <c r="C72" s="71"/>
      <c r="D72" s="71"/>
      <c r="E72" s="76"/>
      <c r="F72" s="76"/>
      <c r="G72" s="76"/>
      <c r="H72" s="76"/>
      <c r="I72" s="244"/>
      <c r="J72" s="245"/>
      <c r="K72" s="245"/>
      <c r="L72" s="245"/>
      <c r="M72" s="77"/>
      <c r="N72" s="77"/>
      <c r="O72" s="1"/>
      <c r="P72" s="23" t="s">
        <v>55</v>
      </c>
      <c r="Q72" s="235">
        <v>0.18</v>
      </c>
      <c r="R72" s="21">
        <f>R70*Q72</f>
        <v>456760.19987877301</v>
      </c>
      <c r="S72" s="21" t="s">
        <v>56</v>
      </c>
      <c r="T72" s="1"/>
      <c r="U72" s="1"/>
      <c r="V72" s="60" t="s">
        <v>15</v>
      </c>
      <c r="W72" s="61">
        <v>1889</v>
      </c>
      <c r="Y72" s="60" t="s">
        <v>15</v>
      </c>
      <c r="Z72" s="61">
        <v>1732.2</v>
      </c>
      <c r="AB72" s="515" t="s">
        <v>15</v>
      </c>
      <c r="AC72" s="516">
        <v>4056.3</v>
      </c>
    </row>
    <row r="73" spans="1:29" s="15" customFormat="1" x14ac:dyDescent="0.2">
      <c r="A73" s="1"/>
      <c r="B73" s="71"/>
      <c r="C73" s="71"/>
      <c r="D73" s="71"/>
      <c r="E73" s="76"/>
      <c r="F73" s="76"/>
      <c r="G73" s="76"/>
      <c r="H73" s="76"/>
      <c r="I73" s="244"/>
      <c r="J73" s="245"/>
      <c r="K73" s="245"/>
      <c r="L73" s="245"/>
      <c r="M73" s="77"/>
      <c r="N73" s="1"/>
      <c r="O73" s="1"/>
      <c r="P73" s="22" t="s">
        <v>57</v>
      </c>
      <c r="Q73" s="322">
        <f>SUM(Q67:Q72)</f>
        <v>0.4389355823553287</v>
      </c>
      <c r="R73" s="1"/>
      <c r="S73" s="1"/>
      <c r="T73" s="1"/>
      <c r="U73" s="1"/>
      <c r="V73" s="60"/>
      <c r="W73" s="61"/>
      <c r="Y73" s="60"/>
      <c r="Z73" s="61"/>
      <c r="AB73" s="515" t="s">
        <v>38</v>
      </c>
      <c r="AC73" s="516">
        <v>415.3</v>
      </c>
    </row>
    <row r="74" spans="1:29" s="15" customFormat="1" ht="14.4" x14ac:dyDescent="0.35">
      <c r="A74" s="1"/>
      <c r="B74" s="68"/>
      <c r="C74" s="63"/>
      <c r="D74" s="63"/>
      <c r="E74" s="1"/>
      <c r="F74" s="1"/>
      <c r="G74" s="1"/>
      <c r="H74" s="1"/>
      <c r="I74" s="1"/>
      <c r="J74" s="1"/>
      <c r="K74" s="1"/>
      <c r="L74" s="1"/>
      <c r="M74" s="17"/>
      <c r="N74" s="77"/>
      <c r="O74" s="19"/>
      <c r="P74" s="23" t="s">
        <v>58</v>
      </c>
      <c r="Q74" s="32"/>
      <c r="R74" s="33">
        <f>SUM(R70:R72)</f>
        <v>2994316.8658719566</v>
      </c>
      <c r="S74" s="1"/>
      <c r="T74" s="1"/>
      <c r="U74" s="1"/>
      <c r="V74" s="60" t="s">
        <v>16</v>
      </c>
      <c r="W74" s="61">
        <v>1.1499999999999999</v>
      </c>
      <c r="Y74" s="60" t="s">
        <v>16</v>
      </c>
      <c r="Z74" s="61">
        <v>1.1499999999999999</v>
      </c>
      <c r="AB74" s="515" t="s">
        <v>16</v>
      </c>
      <c r="AC74" s="516">
        <v>1.1499999999999999</v>
      </c>
    </row>
    <row r="75" spans="1:29" s="15" customFormat="1" x14ac:dyDescent="0.25">
      <c r="A75" s="1"/>
      <c r="B75" s="63"/>
      <c r="C75" s="72"/>
      <c r="D75" s="72"/>
      <c r="E75" s="18"/>
      <c r="F75" s="18"/>
      <c r="G75" s="18"/>
      <c r="H75" s="18"/>
      <c r="I75" s="18"/>
      <c r="J75" s="18"/>
      <c r="K75" s="18"/>
      <c r="L75" s="1"/>
      <c r="M75" s="1"/>
      <c r="N75" s="10"/>
      <c r="O75" s="20"/>
      <c r="P75" s="1"/>
      <c r="Q75" s="1"/>
      <c r="R75" s="1"/>
      <c r="S75" s="1"/>
      <c r="T75" s="1"/>
      <c r="U75" s="1"/>
      <c r="V75" s="60" t="s">
        <v>18</v>
      </c>
      <c r="W75" s="401">
        <v>1</v>
      </c>
      <c r="Y75" s="60" t="s">
        <v>18</v>
      </c>
      <c r="Z75" s="401">
        <v>1</v>
      </c>
      <c r="AB75" s="515" t="s">
        <v>18</v>
      </c>
      <c r="AC75" s="517">
        <v>1</v>
      </c>
    </row>
    <row r="76" spans="1:29" s="15" customFormat="1" x14ac:dyDescent="0.25">
      <c r="A76" s="1"/>
      <c r="B76" s="63"/>
      <c r="C76" s="63"/>
      <c r="D76" s="63"/>
      <c r="E76" s="1"/>
      <c r="F76" s="1"/>
      <c r="G76" s="1"/>
      <c r="H76" s="1"/>
      <c r="I76" s="240"/>
      <c r="J76" s="1"/>
      <c r="K76" s="1"/>
      <c r="L76" s="237"/>
      <c r="M76" s="1"/>
      <c r="N76" s="1"/>
      <c r="O76" s="19"/>
      <c r="P76" s="9"/>
      <c r="Q76" s="9"/>
      <c r="R76" s="1"/>
      <c r="S76" s="1"/>
      <c r="T76" s="1"/>
      <c r="U76" s="1"/>
      <c r="V76" s="60" t="s">
        <v>22</v>
      </c>
      <c r="W76" s="61">
        <v>500</v>
      </c>
      <c r="Y76" s="60" t="s">
        <v>22</v>
      </c>
      <c r="Z76" s="61">
        <v>500</v>
      </c>
      <c r="AB76" s="515" t="s">
        <v>22</v>
      </c>
      <c r="AC76" s="516"/>
    </row>
    <row r="77" spans="1:29" s="15" customFormat="1" ht="13.8" thickBot="1" x14ac:dyDescent="0.3">
      <c r="A77" s="1"/>
      <c r="B77" s="63"/>
      <c r="C77" s="63"/>
      <c r="D77" s="63"/>
      <c r="E77" s="1"/>
      <c r="F77" s="1"/>
      <c r="G77" s="1"/>
      <c r="H77" s="1"/>
      <c r="I77" s="1"/>
      <c r="J77" s="1"/>
      <c r="K77" s="1"/>
      <c r="L77" s="1"/>
      <c r="M77" s="1"/>
      <c r="N77" s="237"/>
      <c r="O77" s="20"/>
      <c r="P77" s="9"/>
      <c r="Q77" s="9"/>
      <c r="R77" s="1"/>
      <c r="S77" s="1"/>
      <c r="T77" s="1"/>
      <c r="U77" s="1"/>
      <c r="V77" s="396" t="s">
        <v>23</v>
      </c>
      <c r="W77" s="62">
        <f>W72*W74*W75+W76</f>
        <v>2672.35</v>
      </c>
      <c r="Y77" s="396" t="s">
        <v>23</v>
      </c>
      <c r="Z77" s="62">
        <f>Z72*Z74*Z75+Z76</f>
        <v>2492.0299999999997</v>
      </c>
      <c r="AB77" s="518" t="s">
        <v>23</v>
      </c>
      <c r="AC77" s="519">
        <f>AC72*AC74*AC75+AC76</f>
        <v>4664.7449999999999</v>
      </c>
    </row>
    <row r="78" spans="1:29" s="15" customFormat="1" x14ac:dyDescent="0.25">
      <c r="A78" s="1"/>
      <c r="B78" s="63"/>
      <c r="C78" s="63"/>
      <c r="D78" s="63"/>
      <c r="E78" s="1"/>
      <c r="F78" s="1"/>
      <c r="G78" s="1"/>
      <c r="H78" s="1"/>
      <c r="I78" s="239"/>
      <c r="J78" s="2"/>
      <c r="K78" s="1"/>
      <c r="L78" s="264"/>
      <c r="M78" s="238"/>
      <c r="N78" s="1"/>
      <c r="O78" s="24"/>
      <c r="P78" s="9"/>
      <c r="Q78" s="9"/>
      <c r="R78" s="1"/>
      <c r="S78" s="1"/>
      <c r="T78" s="1"/>
      <c r="U78" s="1"/>
    </row>
    <row r="79" spans="1:29" s="15" customFormat="1" x14ac:dyDescent="0.25">
      <c r="A79" s="1"/>
      <c r="B79" s="63"/>
      <c r="C79" s="73"/>
      <c r="D79" s="73"/>
      <c r="E79" s="22"/>
      <c r="F79" s="22"/>
      <c r="G79" s="22"/>
      <c r="H79" s="22"/>
      <c r="I79" s="22"/>
      <c r="J79" s="22"/>
      <c r="K79" s="22"/>
      <c r="L79" s="81"/>
      <c r="M79" s="68"/>
      <c r="N79" s="264"/>
      <c r="O79" s="1"/>
      <c r="P79" s="9"/>
      <c r="Q79" s="9"/>
      <c r="R79" s="1"/>
      <c r="S79" s="1"/>
      <c r="T79" s="1"/>
      <c r="U79" s="1"/>
    </row>
    <row r="80" spans="1:29" s="15" customFormat="1" x14ac:dyDescent="0.25">
      <c r="A80" s="1"/>
      <c r="B80" s="63"/>
      <c r="C80" s="63"/>
      <c r="D80" s="63"/>
      <c r="E80" s="1"/>
      <c r="F80" s="1"/>
      <c r="G80" s="1"/>
      <c r="H80" s="1"/>
      <c r="I80" s="1"/>
      <c r="J80" s="1"/>
      <c r="K80" s="1"/>
      <c r="L80" s="81"/>
      <c r="M80" s="68"/>
      <c r="N80" s="81"/>
      <c r="O80" s="1"/>
      <c r="P80" s="1"/>
      <c r="Q80" s="1"/>
      <c r="R80" s="1"/>
      <c r="S80" s="1"/>
      <c r="T80" s="1"/>
      <c r="U80" s="1"/>
      <c r="V80" s="542" t="s">
        <v>65</v>
      </c>
      <c r="W80" s="542"/>
      <c r="X80" s="1"/>
      <c r="Y80" s="1"/>
      <c r="Z80" s="1"/>
      <c r="AA80" s="1"/>
      <c r="AB80" s="1"/>
      <c r="AC80" s="1"/>
    </row>
    <row r="81" spans="1:29" s="15" customFormat="1" ht="13.8" thickBot="1" x14ac:dyDescent="0.3">
      <c r="A81" s="1"/>
      <c r="B81" s="63"/>
      <c r="C81" s="63"/>
      <c r="D81" s="63"/>
      <c r="E81" s="1"/>
      <c r="F81" s="1"/>
      <c r="G81" s="1"/>
      <c r="H81" s="1"/>
      <c r="I81" s="1"/>
      <c r="J81" s="1"/>
      <c r="K81" s="1"/>
      <c r="L81" s="81"/>
      <c r="M81" s="68"/>
      <c r="N81" s="81"/>
      <c r="O81" s="1"/>
      <c r="P81" s="19"/>
      <c r="Q81" s="19"/>
      <c r="R81" s="1"/>
      <c r="S81" s="1"/>
      <c r="T81" s="1"/>
      <c r="U81" s="1"/>
      <c r="V81" s="1"/>
      <c r="W81" s="406"/>
      <c r="X81" s="1"/>
      <c r="Y81" s="1"/>
      <c r="Z81" s="1"/>
      <c r="AA81" s="1"/>
      <c r="AB81" s="1"/>
      <c r="AC81" s="1"/>
    </row>
    <row r="82" spans="1:29" s="15" customFormat="1" x14ac:dyDescent="0.25">
      <c r="A82" s="1"/>
      <c r="B82" s="63"/>
      <c r="C82" s="63"/>
      <c r="D82" s="63"/>
      <c r="E82" s="1"/>
      <c r="F82" s="1"/>
      <c r="G82" s="1"/>
      <c r="H82" s="1"/>
      <c r="I82" s="1"/>
      <c r="J82" s="1"/>
      <c r="K82" s="1"/>
      <c r="L82" s="265"/>
      <c r="M82" s="82"/>
      <c r="N82" s="81"/>
      <c r="O82" s="1"/>
      <c r="P82" s="20"/>
      <c r="Q82" s="20"/>
      <c r="R82" s="1"/>
      <c r="S82" s="1"/>
      <c r="T82" s="1"/>
      <c r="U82" s="1"/>
      <c r="V82" s="533" t="s">
        <v>66</v>
      </c>
      <c r="W82" s="534"/>
      <c r="X82" s="1"/>
      <c r="Y82" s="533" t="s">
        <v>67</v>
      </c>
      <c r="Z82" s="534"/>
      <c r="AA82" s="1"/>
      <c r="AB82" s="533" t="s">
        <v>68</v>
      </c>
      <c r="AC82" s="534"/>
    </row>
    <row r="83" spans="1:29" s="15" customFormat="1" ht="10.199999999999999" customHeight="1" x14ac:dyDescent="0.25">
      <c r="A83" s="1"/>
      <c r="B83" s="63"/>
      <c r="C83" s="63"/>
      <c r="D83" s="63"/>
      <c r="E83" s="1"/>
      <c r="F83" s="1"/>
      <c r="G83" s="1"/>
      <c r="H83" s="1"/>
      <c r="I83" s="1"/>
      <c r="J83" s="1"/>
      <c r="K83" s="1"/>
      <c r="L83" s="1"/>
      <c r="M83" s="245"/>
      <c r="N83" s="265"/>
      <c r="O83" s="1"/>
      <c r="P83" s="34"/>
      <c r="Q83" s="34"/>
      <c r="R83" s="1"/>
      <c r="S83" s="1"/>
      <c r="T83" s="1"/>
      <c r="U83" s="1"/>
      <c r="V83" s="60" t="s">
        <v>15</v>
      </c>
      <c r="W83" s="61">
        <v>4545</v>
      </c>
      <c r="X83" s="1"/>
      <c r="Y83" s="60" t="s">
        <v>15</v>
      </c>
      <c r="Z83" s="61">
        <v>3150.1</v>
      </c>
      <c r="AA83" s="1"/>
      <c r="AB83" s="60" t="s">
        <v>15</v>
      </c>
      <c r="AC83" s="402">
        <v>1600</v>
      </c>
    </row>
    <row r="84" spans="1:29" s="15" customFormat="1" ht="10.199999999999999" customHeight="1" x14ac:dyDescent="0.25">
      <c r="A84" s="1"/>
      <c r="B84" s="63"/>
      <c r="C84" s="63"/>
      <c r="D84" s="63"/>
      <c r="E84" s="1"/>
      <c r="F84" s="1"/>
      <c r="G84" s="1"/>
      <c r="H84" s="1"/>
      <c r="I84" s="1"/>
      <c r="J84" s="1"/>
      <c r="K84" s="1"/>
      <c r="L84" s="1"/>
      <c r="M84" s="2"/>
      <c r="N84" s="1"/>
      <c r="O84" s="1"/>
      <c r="P84" s="1"/>
      <c r="Q84" s="1"/>
      <c r="R84" s="1"/>
      <c r="S84" s="1"/>
      <c r="T84" s="1"/>
      <c r="U84" s="1"/>
      <c r="V84" s="60" t="s">
        <v>69</v>
      </c>
      <c r="W84" s="61">
        <v>213</v>
      </c>
      <c r="X84" s="1"/>
      <c r="Y84" s="60"/>
      <c r="Z84" s="61"/>
      <c r="AA84" s="1"/>
      <c r="AB84" s="60"/>
      <c r="AC84" s="61"/>
    </row>
    <row r="85" spans="1:29" s="15" customFormat="1" x14ac:dyDescent="0.25">
      <c r="A85" s="1"/>
      <c r="B85" s="63"/>
      <c r="C85" s="63"/>
      <c r="D85" s="63"/>
      <c r="E85" s="1"/>
      <c r="F85" s="1"/>
      <c r="G85" s="1"/>
      <c r="H85" s="1"/>
      <c r="I85" s="1"/>
      <c r="J85" s="1"/>
      <c r="K85" s="1"/>
      <c r="L85" s="1"/>
      <c r="M85" s="241"/>
      <c r="N85" s="1"/>
      <c r="O85" s="1"/>
      <c r="P85" s="1"/>
      <c r="Q85" s="1"/>
      <c r="R85" s="1"/>
      <c r="S85" s="1"/>
      <c r="T85" s="1"/>
      <c r="U85" s="1"/>
      <c r="V85" s="60" t="s">
        <v>16</v>
      </c>
      <c r="W85" s="61">
        <v>1.1499999999999999</v>
      </c>
      <c r="X85" s="1"/>
      <c r="Y85" s="60" t="s">
        <v>16</v>
      </c>
      <c r="Z85" s="61">
        <v>1.1499999999999999</v>
      </c>
      <c r="AA85" s="1"/>
      <c r="AB85" s="60" t="s">
        <v>16</v>
      </c>
      <c r="AC85" s="61">
        <v>1.1499999999999999</v>
      </c>
    </row>
    <row r="86" spans="1:29" s="15" customFormat="1" x14ac:dyDescent="0.25">
      <c r="A86" s="1"/>
      <c r="B86" s="63"/>
      <c r="C86" s="63"/>
      <c r="D86" s="63"/>
      <c r="E86" s="1"/>
      <c r="F86" s="1"/>
      <c r="G86" s="1"/>
      <c r="H86" s="1"/>
      <c r="I86" s="1"/>
      <c r="J86" s="1"/>
      <c r="K86" s="1"/>
      <c r="L86" s="1"/>
      <c r="M86" s="2"/>
      <c r="N86" s="1"/>
      <c r="O86" s="1"/>
      <c r="P86" s="1"/>
      <c r="Q86" s="1"/>
      <c r="R86" s="1"/>
      <c r="S86" s="1"/>
      <c r="T86" s="1"/>
      <c r="U86" s="1"/>
      <c r="V86" s="60" t="s">
        <v>18</v>
      </c>
      <c r="W86" s="401">
        <v>1</v>
      </c>
      <c r="X86" s="1"/>
      <c r="Y86" s="60" t="s">
        <v>18</v>
      </c>
      <c r="Z86" s="401">
        <v>1</v>
      </c>
      <c r="AA86" s="1"/>
      <c r="AB86" s="60" t="s">
        <v>18</v>
      </c>
      <c r="AC86" s="401">
        <v>1</v>
      </c>
    </row>
    <row r="87" spans="1:29" s="15" customFormat="1" x14ac:dyDescent="0.25">
      <c r="A87" s="1"/>
      <c r="B87" s="63"/>
      <c r="C87" s="63"/>
      <c r="D87" s="63"/>
      <c r="E87" s="1"/>
      <c r="F87" s="1"/>
      <c r="G87" s="1"/>
      <c r="H87" s="1"/>
      <c r="I87" s="1"/>
      <c r="J87" s="1"/>
      <c r="K87" s="1"/>
      <c r="L87" s="1"/>
      <c r="M87" s="2"/>
      <c r="N87" s="1"/>
      <c r="O87" s="1"/>
      <c r="P87" s="1"/>
      <c r="Q87" s="1"/>
      <c r="R87" s="1"/>
      <c r="S87" s="1"/>
      <c r="T87" s="1"/>
      <c r="U87" s="1"/>
      <c r="V87" s="60" t="s">
        <v>22</v>
      </c>
      <c r="W87" s="61">
        <v>500</v>
      </c>
      <c r="X87" s="1"/>
      <c r="Y87" s="60" t="s">
        <v>22</v>
      </c>
      <c r="Z87" s="61">
        <v>500</v>
      </c>
      <c r="AA87" s="1"/>
      <c r="AB87" s="60" t="s">
        <v>22</v>
      </c>
      <c r="AC87" s="61">
        <v>500</v>
      </c>
    </row>
    <row r="88" spans="1:29" ht="13.8" thickBot="1" x14ac:dyDescent="0.3">
      <c r="V88" s="396" t="s">
        <v>23</v>
      </c>
      <c r="W88" s="62">
        <f>W83*W85*W86+W87+W84</f>
        <v>5939.75</v>
      </c>
      <c r="Y88" s="396" t="s">
        <v>23</v>
      </c>
      <c r="Z88" s="62">
        <f>Z83*Z85*Z86+Z87</f>
        <v>4122.6149999999998</v>
      </c>
      <c r="AB88" s="396" t="s">
        <v>23</v>
      </c>
      <c r="AC88" s="62">
        <f>AC83*AC85*AC86+AC87</f>
        <v>2340</v>
      </c>
    </row>
    <row r="89" spans="1:29" x14ac:dyDescent="0.25">
      <c r="Y89" s="15"/>
      <c r="Z89" s="15"/>
    </row>
    <row r="90" spans="1:29" x14ac:dyDescent="0.25">
      <c r="V90" s="15"/>
      <c r="W90" s="15"/>
      <c r="Y90" s="15"/>
      <c r="Z90" s="15"/>
    </row>
    <row r="91" spans="1:29" s="15" customFormat="1" x14ac:dyDescent="0.25">
      <c r="A91" s="1"/>
      <c r="B91" s="63"/>
      <c r="C91" s="63"/>
      <c r="D91" s="63"/>
      <c r="E91" s="1"/>
      <c r="F91" s="1"/>
      <c r="G91" s="1"/>
      <c r="H91" s="1"/>
      <c r="I91" s="1"/>
      <c r="J91" s="1"/>
      <c r="K91" s="1"/>
      <c r="L91" s="1"/>
      <c r="M91" s="2"/>
      <c r="N91" s="1"/>
      <c r="O91" s="1"/>
      <c r="P91" s="1"/>
      <c r="Q91" s="1"/>
      <c r="R91" s="1"/>
      <c r="S91" s="1"/>
      <c r="T91" s="1"/>
      <c r="U91" s="1"/>
      <c r="V91" s="542" t="s">
        <v>70</v>
      </c>
      <c r="W91" s="542"/>
      <c r="AB91" s="1"/>
      <c r="AC91" s="1"/>
    </row>
    <row r="92" spans="1:29" s="15" customFormat="1" ht="13.2" customHeight="1" thickBot="1" x14ac:dyDescent="0.3">
      <c r="A92" s="1"/>
      <c r="B92" s="63"/>
      <c r="C92" s="63"/>
      <c r="D92" s="63"/>
      <c r="E92" s="1"/>
      <c r="F92" s="1"/>
      <c r="G92" s="1"/>
      <c r="H92" s="1"/>
      <c r="I92" s="1"/>
      <c r="J92" s="1"/>
      <c r="K92" s="1"/>
      <c r="L92" s="1"/>
      <c r="M92" s="2"/>
      <c r="N92" s="1"/>
      <c r="O92" s="1"/>
      <c r="P92" s="1"/>
      <c r="Q92" s="1"/>
      <c r="R92" s="1"/>
      <c r="S92" s="1"/>
      <c r="T92" s="1"/>
      <c r="U92" s="1"/>
      <c r="V92" s="1"/>
      <c r="W92" s="1"/>
    </row>
    <row r="93" spans="1:29" x14ac:dyDescent="0.25">
      <c r="V93" s="540" t="s">
        <v>71</v>
      </c>
      <c r="W93" s="541"/>
      <c r="AB93" s="15"/>
      <c r="AC93" s="15"/>
    </row>
    <row r="94" spans="1:29" x14ac:dyDescent="0.25">
      <c r="V94" s="515" t="s">
        <v>15</v>
      </c>
      <c r="W94" s="516">
        <v>4056.3</v>
      </c>
    </row>
    <row r="95" spans="1:29" x14ac:dyDescent="0.25">
      <c r="V95" s="515" t="s">
        <v>38</v>
      </c>
      <c r="W95" s="516">
        <v>415.3</v>
      </c>
    </row>
    <row r="96" spans="1:29" x14ac:dyDescent="0.25">
      <c r="V96" s="515" t="s">
        <v>16</v>
      </c>
      <c r="W96" s="516">
        <v>1.1499999999999999</v>
      </c>
      <c r="Y96" s="537"/>
      <c r="Z96" s="537"/>
      <c r="AB96" s="537"/>
      <c r="AC96" s="537"/>
    </row>
    <row r="97" spans="22:29" x14ac:dyDescent="0.25">
      <c r="V97" s="515" t="s">
        <v>18</v>
      </c>
      <c r="W97" s="517">
        <v>2</v>
      </c>
      <c r="Z97" s="406"/>
      <c r="AC97" s="406"/>
    </row>
    <row r="98" spans="22:29" x14ac:dyDescent="0.25">
      <c r="V98" s="515" t="s">
        <v>22</v>
      </c>
      <c r="W98" s="516"/>
      <c r="Z98" s="406"/>
      <c r="AC98" s="406"/>
    </row>
    <row r="99" spans="22:29" ht="13.8" thickBot="1" x14ac:dyDescent="0.3">
      <c r="V99" s="518" t="s">
        <v>23</v>
      </c>
      <c r="W99" s="519">
        <f>W94*W96*W97+W98</f>
        <v>9329.49</v>
      </c>
      <c r="Z99" s="406"/>
      <c r="AC99" s="406"/>
    </row>
    <row r="100" spans="22:29" x14ac:dyDescent="0.25">
      <c r="W100" s="407"/>
      <c r="Z100" s="407"/>
      <c r="AC100" s="407"/>
    </row>
    <row r="101" spans="22:29" x14ac:dyDescent="0.25">
      <c r="W101" s="406"/>
      <c r="Z101" s="406"/>
      <c r="AC101" s="406"/>
    </row>
    <row r="102" spans="22:29" x14ac:dyDescent="0.25">
      <c r="V102" s="542" t="s">
        <v>72</v>
      </c>
      <c r="W102" s="542"/>
      <c r="Y102" s="408"/>
      <c r="Z102" s="218"/>
      <c r="AB102" s="408"/>
      <c r="AC102" s="218"/>
    </row>
    <row r="103" spans="22:29" ht="13.8" thickBot="1" x14ac:dyDescent="0.3"/>
    <row r="104" spans="22:29" x14ac:dyDescent="0.25">
      <c r="V104" s="533" t="s">
        <v>73</v>
      </c>
      <c r="W104" s="534"/>
      <c r="Y104" s="540" t="s">
        <v>74</v>
      </c>
      <c r="Z104" s="541"/>
      <c r="AB104" s="533" t="s">
        <v>75</v>
      </c>
      <c r="AC104" s="534"/>
    </row>
    <row r="105" spans="22:29" x14ac:dyDescent="0.25">
      <c r="V105" s="60" t="s">
        <v>15</v>
      </c>
      <c r="W105" s="61">
        <v>11650</v>
      </c>
      <c r="Y105" s="515" t="s">
        <v>15</v>
      </c>
      <c r="Z105" s="516">
        <v>4056.3</v>
      </c>
      <c r="AB105" s="60" t="s">
        <v>15</v>
      </c>
      <c r="AC105" s="61">
        <v>4845</v>
      </c>
    </row>
    <row r="106" spans="22:29" x14ac:dyDescent="0.25">
      <c r="V106" s="60"/>
      <c r="W106" s="61"/>
      <c r="Y106" s="515" t="s">
        <v>38</v>
      </c>
      <c r="Z106" s="516">
        <v>415.3</v>
      </c>
      <c r="AB106" s="60" t="s">
        <v>76</v>
      </c>
      <c r="AC106" s="61">
        <v>213</v>
      </c>
    </row>
    <row r="107" spans="22:29" x14ac:dyDescent="0.25">
      <c r="V107" s="60" t="s">
        <v>16</v>
      </c>
      <c r="W107" s="61">
        <v>1.1499999999999999</v>
      </c>
      <c r="Y107" s="515" t="s">
        <v>16</v>
      </c>
      <c r="Z107" s="516">
        <v>1.1499999999999999</v>
      </c>
      <c r="AB107" s="60" t="s">
        <v>16</v>
      </c>
      <c r="AC107" s="61">
        <v>1.1499999999999999</v>
      </c>
    </row>
    <row r="108" spans="22:29" x14ac:dyDescent="0.25">
      <c r="V108" s="60" t="s">
        <v>18</v>
      </c>
      <c r="W108" s="401">
        <v>1</v>
      </c>
      <c r="Y108" s="515" t="s">
        <v>18</v>
      </c>
      <c r="Z108" s="517">
        <v>1</v>
      </c>
      <c r="AB108" s="60" t="s">
        <v>18</v>
      </c>
      <c r="AC108" s="401">
        <v>1</v>
      </c>
    </row>
    <row r="109" spans="22:29" x14ac:dyDescent="0.25">
      <c r="V109" s="60" t="s">
        <v>22</v>
      </c>
      <c r="W109" s="61">
        <v>2200</v>
      </c>
      <c r="Y109" s="515" t="s">
        <v>22</v>
      </c>
      <c r="Z109" s="516"/>
      <c r="AB109" s="60" t="s">
        <v>22</v>
      </c>
      <c r="AC109" s="61">
        <v>500</v>
      </c>
    </row>
    <row r="110" spans="22:29" ht="13.8" thickBot="1" x14ac:dyDescent="0.3">
      <c r="V110" s="396" t="s">
        <v>23</v>
      </c>
      <c r="W110" s="62">
        <f>W105*W107*W108+W109</f>
        <v>15597.499999999998</v>
      </c>
      <c r="Y110" s="518" t="s">
        <v>23</v>
      </c>
      <c r="Z110" s="519">
        <f>Z105*Z107*Z108+Z109</f>
        <v>4664.7449999999999</v>
      </c>
      <c r="AB110" s="396" t="s">
        <v>23</v>
      </c>
      <c r="AC110" s="62">
        <f>AC105*AC107*AC108+AC106+AC109</f>
        <v>6284.75</v>
      </c>
    </row>
    <row r="111" spans="22:29" x14ac:dyDescent="0.25">
      <c r="Y111" s="520"/>
      <c r="Z111" s="520"/>
    </row>
    <row r="113" spans="22:29" ht="13.8" thickBot="1" x14ac:dyDescent="0.3"/>
    <row r="114" spans="22:29" x14ac:dyDescent="0.25">
      <c r="V114" s="533" t="s">
        <v>77</v>
      </c>
      <c r="W114" s="534"/>
      <c r="Y114" s="533" t="s">
        <v>78</v>
      </c>
      <c r="Z114" s="534"/>
    </row>
    <row r="115" spans="22:29" x14ac:dyDescent="0.25">
      <c r="V115" s="60" t="s">
        <v>15</v>
      </c>
      <c r="W115" s="61">
        <v>2857</v>
      </c>
      <c r="Y115" s="60" t="s">
        <v>15</v>
      </c>
      <c r="Z115" s="402">
        <v>1600</v>
      </c>
    </row>
    <row r="116" spans="22:29" x14ac:dyDescent="0.25">
      <c r="V116" s="60" t="s">
        <v>38</v>
      </c>
      <c r="W116" s="61"/>
      <c r="Y116" s="60"/>
      <c r="Z116" s="61"/>
    </row>
    <row r="117" spans="22:29" x14ac:dyDescent="0.25">
      <c r="V117" s="60" t="s">
        <v>16</v>
      </c>
      <c r="W117" s="61">
        <v>1.1499999999999999</v>
      </c>
      <c r="Y117" s="60" t="s">
        <v>16</v>
      </c>
      <c r="Z117" s="61">
        <v>1.1499999999999999</v>
      </c>
    </row>
    <row r="118" spans="22:29" x14ac:dyDescent="0.25">
      <c r="V118" s="60" t="s">
        <v>18</v>
      </c>
      <c r="W118" s="401">
        <v>1</v>
      </c>
      <c r="Y118" s="60" t="s">
        <v>18</v>
      </c>
      <c r="Z118" s="401">
        <v>1</v>
      </c>
    </row>
    <row r="119" spans="22:29" x14ac:dyDescent="0.25">
      <c r="V119" s="60" t="s">
        <v>22</v>
      </c>
      <c r="W119" s="61">
        <v>500</v>
      </c>
      <c r="Y119" s="60" t="s">
        <v>22</v>
      </c>
      <c r="Z119" s="61">
        <v>500</v>
      </c>
    </row>
    <row r="120" spans="22:29" ht="13.8" thickBot="1" x14ac:dyDescent="0.3">
      <c r="V120" s="396" t="s">
        <v>23</v>
      </c>
      <c r="W120" s="62">
        <f>W115*W117*W118+W119</f>
        <v>3785.5499999999997</v>
      </c>
      <c r="Y120" s="396" t="s">
        <v>23</v>
      </c>
      <c r="Z120" s="62">
        <f>Z115*Z117*Z118+Z119</f>
        <v>2340</v>
      </c>
    </row>
    <row r="123" spans="22:29" x14ac:dyDescent="0.25">
      <c r="V123" s="542" t="s">
        <v>79</v>
      </c>
      <c r="W123" s="542"/>
    </row>
    <row r="124" spans="22:29" ht="13.8" thickBot="1" x14ac:dyDescent="0.3"/>
    <row r="125" spans="22:29" x14ac:dyDescent="0.25">
      <c r="V125" s="533" t="s">
        <v>80</v>
      </c>
      <c r="W125" s="534"/>
      <c r="Y125" s="533" t="s">
        <v>81</v>
      </c>
      <c r="Z125" s="534"/>
      <c r="AB125" s="533" t="s">
        <v>82</v>
      </c>
      <c r="AC125" s="534"/>
    </row>
    <row r="126" spans="22:29" x14ac:dyDescent="0.25">
      <c r="V126" s="60" t="s">
        <v>15</v>
      </c>
      <c r="W126" s="61">
        <v>11500</v>
      </c>
      <c r="Y126" s="60" t="s">
        <v>15</v>
      </c>
      <c r="Z126" s="61">
        <v>2092</v>
      </c>
      <c r="AB126" s="60" t="s">
        <v>15</v>
      </c>
      <c r="AC126" s="61">
        <v>4135.88</v>
      </c>
    </row>
    <row r="127" spans="22:29" x14ac:dyDescent="0.25">
      <c r="V127" s="60"/>
      <c r="W127" s="61"/>
      <c r="Y127" s="60" t="s">
        <v>83</v>
      </c>
      <c r="Z127" s="61">
        <v>120</v>
      </c>
      <c r="AB127" s="60" t="s">
        <v>83</v>
      </c>
      <c r="AC127" s="61">
        <v>150</v>
      </c>
    </row>
    <row r="128" spans="22:29" x14ac:dyDescent="0.25">
      <c r="V128" s="60" t="s">
        <v>16</v>
      </c>
      <c r="W128" s="61">
        <v>1.1499999999999999</v>
      </c>
      <c r="Y128" s="60" t="s">
        <v>16</v>
      </c>
      <c r="Z128" s="61">
        <v>1.1499999999999999</v>
      </c>
      <c r="AB128" s="60" t="s">
        <v>16</v>
      </c>
      <c r="AC128" s="61">
        <v>1.1499999999999999</v>
      </c>
    </row>
    <row r="129" spans="22:29" x14ac:dyDescent="0.25">
      <c r="V129" s="60" t="s">
        <v>18</v>
      </c>
      <c r="W129" s="401">
        <v>2</v>
      </c>
      <c r="Y129" s="60" t="s">
        <v>18</v>
      </c>
      <c r="Z129" s="401">
        <v>1</v>
      </c>
      <c r="AB129" s="60" t="s">
        <v>18</v>
      </c>
      <c r="AC129" s="401">
        <v>1</v>
      </c>
    </row>
    <row r="130" spans="22:29" x14ac:dyDescent="0.25">
      <c r="V130" s="60" t="s">
        <v>22</v>
      </c>
      <c r="W130" s="61">
        <v>1500</v>
      </c>
      <c r="Y130" s="60" t="s">
        <v>22</v>
      </c>
      <c r="Z130" s="61">
        <v>500</v>
      </c>
      <c r="AB130" s="60" t="s">
        <v>22</v>
      </c>
      <c r="AC130" s="61">
        <v>500</v>
      </c>
    </row>
    <row r="131" spans="22:29" ht="13.8" thickBot="1" x14ac:dyDescent="0.3">
      <c r="V131" s="396" t="s">
        <v>23</v>
      </c>
      <c r="W131" s="62">
        <f>W126*W128*W129+W130</f>
        <v>27949.999999999996</v>
      </c>
      <c r="Y131" s="396" t="s">
        <v>23</v>
      </c>
      <c r="Z131" s="62">
        <f>Z126*Z128*Z129+Z127+Z130</f>
        <v>3025.7999999999997</v>
      </c>
      <c r="AB131" s="396" t="s">
        <v>23</v>
      </c>
      <c r="AC131" s="62">
        <f>AC126*AC128*AC129+AC127+AC130</f>
        <v>5406.2619999999997</v>
      </c>
    </row>
    <row r="133" spans="22:29" ht="13.8" thickBot="1" x14ac:dyDescent="0.3"/>
    <row r="134" spans="22:29" x14ac:dyDescent="0.25">
      <c r="V134" s="533" t="s">
        <v>84</v>
      </c>
      <c r="W134" s="534"/>
      <c r="X134" s="15"/>
      <c r="Y134" s="533" t="s">
        <v>85</v>
      </c>
      <c r="Z134" s="534"/>
    </row>
    <row r="135" spans="22:29" x14ac:dyDescent="0.25">
      <c r="V135" s="60" t="s">
        <v>15</v>
      </c>
      <c r="W135" s="61">
        <v>1240.0999999999999</v>
      </c>
      <c r="X135" s="15"/>
      <c r="Y135" s="60" t="s">
        <v>15</v>
      </c>
      <c r="Z135" s="61">
        <v>1020.1</v>
      </c>
    </row>
    <row r="136" spans="22:29" x14ac:dyDescent="0.25">
      <c r="V136" s="60"/>
      <c r="W136" s="61"/>
      <c r="X136" s="15"/>
      <c r="Y136" s="60"/>
      <c r="Z136" s="61"/>
    </row>
    <row r="137" spans="22:29" x14ac:dyDescent="0.25">
      <c r="V137" s="60" t="s">
        <v>16</v>
      </c>
      <c r="W137" s="61">
        <v>1.1499999999999999</v>
      </c>
      <c r="X137" s="15"/>
      <c r="Y137" s="60" t="s">
        <v>16</v>
      </c>
      <c r="Z137" s="61">
        <v>1.1499999999999999</v>
      </c>
    </row>
    <row r="138" spans="22:29" x14ac:dyDescent="0.25">
      <c r="V138" s="60" t="s">
        <v>18</v>
      </c>
      <c r="W138" s="401">
        <v>1</v>
      </c>
      <c r="X138" s="15"/>
      <c r="Y138" s="60" t="s">
        <v>18</v>
      </c>
      <c r="Z138" s="401">
        <v>1</v>
      </c>
    </row>
    <row r="139" spans="22:29" x14ac:dyDescent="0.25">
      <c r="V139" s="60" t="s">
        <v>22</v>
      </c>
      <c r="W139" s="61">
        <v>500</v>
      </c>
      <c r="X139" s="15"/>
      <c r="Y139" s="60" t="s">
        <v>22</v>
      </c>
      <c r="Z139" s="61">
        <v>500</v>
      </c>
    </row>
    <row r="140" spans="22:29" ht="13.8" thickBot="1" x14ac:dyDescent="0.3">
      <c r="V140" s="396" t="s">
        <v>23</v>
      </c>
      <c r="W140" s="62">
        <f>W135*W137*W138+W139</f>
        <v>1926.1149999999998</v>
      </c>
      <c r="X140" s="15"/>
      <c r="Y140" s="396" t="s">
        <v>23</v>
      </c>
      <c r="Z140" s="62">
        <f>Z135*Z137*Z138+Z139</f>
        <v>1673.115</v>
      </c>
    </row>
  </sheetData>
  <mergeCells count="70">
    <mergeCell ref="H57:M57"/>
    <mergeCell ref="I58:M58"/>
    <mergeCell ref="I59:M59"/>
    <mergeCell ref="V123:W123"/>
    <mergeCell ref="V125:W125"/>
    <mergeCell ref="V91:W91"/>
    <mergeCell ref="Y125:Z125"/>
    <mergeCell ref="AB125:AC125"/>
    <mergeCell ref="V134:W134"/>
    <mergeCell ref="Y134:Z134"/>
    <mergeCell ref="V93:W93"/>
    <mergeCell ref="Y96:Z96"/>
    <mergeCell ref="AB96:AC96"/>
    <mergeCell ref="V102:W102"/>
    <mergeCell ref="V104:W104"/>
    <mergeCell ref="Y104:Z104"/>
    <mergeCell ref="AB104:AC104"/>
    <mergeCell ref="V114:W114"/>
    <mergeCell ref="Y114:Z114"/>
    <mergeCell ref="Y82:Z82"/>
    <mergeCell ref="AB82:AC82"/>
    <mergeCell ref="Y71:Z71"/>
    <mergeCell ref="AB71:AC71"/>
    <mergeCell ref="V80:W80"/>
    <mergeCell ref="V82:W82"/>
    <mergeCell ref="V48:W48"/>
    <mergeCell ref="V57:W57"/>
    <mergeCell ref="V59:W59"/>
    <mergeCell ref="V68:W68"/>
    <mergeCell ref="V71:W71"/>
    <mergeCell ref="V30:W30"/>
    <mergeCell ref="Y30:Z30"/>
    <mergeCell ref="AB30:AC30"/>
    <mergeCell ref="V38:W38"/>
    <mergeCell ref="Y38:Z38"/>
    <mergeCell ref="AB38:AC38"/>
    <mergeCell ref="B3:N4"/>
    <mergeCell ref="Y10:Z10"/>
    <mergeCell ref="S10:T10"/>
    <mergeCell ref="H14:M14"/>
    <mergeCell ref="I16:M16"/>
    <mergeCell ref="I15:M15"/>
    <mergeCell ref="V8:X8"/>
    <mergeCell ref="V10:W10"/>
    <mergeCell ref="I22:M22"/>
    <mergeCell ref="I23:M23"/>
    <mergeCell ref="V6:AD7"/>
    <mergeCell ref="B6:N6"/>
    <mergeCell ref="I8:M8"/>
    <mergeCell ref="I9:L9"/>
    <mergeCell ref="H21:M21"/>
    <mergeCell ref="AB10:AC10"/>
    <mergeCell ref="V19:W19"/>
    <mergeCell ref="Y20:Z20"/>
    <mergeCell ref="AB20:AC20"/>
    <mergeCell ref="H27:M27"/>
    <mergeCell ref="I28:M28"/>
    <mergeCell ref="I29:M29"/>
    <mergeCell ref="H33:M33"/>
    <mergeCell ref="I34:M34"/>
    <mergeCell ref="I35:M35"/>
    <mergeCell ref="H39:M39"/>
    <mergeCell ref="I40:M40"/>
    <mergeCell ref="I41:M41"/>
    <mergeCell ref="H45:M45"/>
    <mergeCell ref="I46:M46"/>
    <mergeCell ref="I47:M47"/>
    <mergeCell ref="H51:M51"/>
    <mergeCell ref="I52:M52"/>
    <mergeCell ref="I53:M53"/>
  </mergeCells>
  <phoneticPr fontId="9" type="noConversion"/>
  <pageMargins left="0.7" right="0.7" top="0.75" bottom="0.75" header="0.3" footer="0.3"/>
  <pageSetup paperSize="9" scale="81" fitToHeight="0"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5A174-9942-4BB9-92EF-F62B6F0950B9}">
  <sheetPr>
    <tabColor theme="7"/>
  </sheetPr>
  <dimension ref="A1:L101"/>
  <sheetViews>
    <sheetView topLeftCell="A68" zoomScale="85" zoomScaleNormal="85" workbookViewId="0">
      <selection activeCell="H85" sqref="H85"/>
    </sheetView>
  </sheetViews>
  <sheetFormatPr defaultColWidth="9.109375" defaultRowHeight="10.199999999999999" x14ac:dyDescent="0.2"/>
  <cols>
    <col min="1" max="1" width="8.109375" style="38" customWidth="1"/>
    <col min="2" max="2" width="79" style="38" customWidth="1"/>
    <col min="3" max="3" width="11.44140625" style="40" customWidth="1"/>
    <col min="4" max="4" width="10.44140625" style="40" customWidth="1"/>
    <col min="5" max="5" width="13.109375" style="41" customWidth="1"/>
    <col min="6" max="6" width="14.109375" style="41" customWidth="1"/>
    <col min="7" max="7" width="15.33203125" style="38" customWidth="1"/>
    <col min="8" max="8" width="18.33203125" style="40" customWidth="1"/>
    <col min="9" max="9" width="20.5546875" style="38" customWidth="1"/>
    <col min="10" max="10" width="14.6640625" style="38" customWidth="1"/>
    <col min="11" max="11" width="12.6640625" style="38" customWidth="1"/>
    <col min="12" max="256" width="9.109375" style="38"/>
    <col min="257" max="257" width="8.109375" style="38" customWidth="1"/>
    <col min="258" max="258" width="70.44140625" style="38" bestFit="1" customWidth="1"/>
    <col min="259" max="259" width="11.44140625" style="38" customWidth="1"/>
    <col min="260" max="260" width="10.44140625" style="38" customWidth="1"/>
    <col min="261" max="261" width="13.109375" style="38" customWidth="1"/>
    <col min="262" max="262" width="14.109375" style="38" customWidth="1"/>
    <col min="263" max="263" width="12.33203125" style="38" customWidth="1"/>
    <col min="264" max="512" width="9.109375" style="38"/>
    <col min="513" max="513" width="8.109375" style="38" customWidth="1"/>
    <col min="514" max="514" width="70.44140625" style="38" bestFit="1" customWidth="1"/>
    <col min="515" max="515" width="11.44140625" style="38" customWidth="1"/>
    <col min="516" max="516" width="10.44140625" style="38" customWidth="1"/>
    <col min="517" max="517" width="13.109375" style="38" customWidth="1"/>
    <col min="518" max="518" width="14.109375" style="38" customWidth="1"/>
    <col min="519" max="519" width="12.33203125" style="38" customWidth="1"/>
    <col min="520" max="768" width="9.109375" style="38"/>
    <col min="769" max="769" width="8.109375" style="38" customWidth="1"/>
    <col min="770" max="770" width="70.44140625" style="38" bestFit="1" customWidth="1"/>
    <col min="771" max="771" width="11.44140625" style="38" customWidth="1"/>
    <col min="772" max="772" width="10.44140625" style="38" customWidth="1"/>
    <col min="773" max="773" width="13.109375" style="38" customWidth="1"/>
    <col min="774" max="774" width="14.109375" style="38" customWidth="1"/>
    <col min="775" max="775" width="12.33203125" style="38" customWidth="1"/>
    <col min="776" max="1024" width="9.109375" style="38"/>
    <col min="1025" max="1025" width="8.109375" style="38" customWidth="1"/>
    <col min="1026" max="1026" width="70.44140625" style="38" bestFit="1" customWidth="1"/>
    <col min="1027" max="1027" width="11.44140625" style="38" customWidth="1"/>
    <col min="1028" max="1028" width="10.44140625" style="38" customWidth="1"/>
    <col min="1029" max="1029" width="13.109375" style="38" customWidth="1"/>
    <col min="1030" max="1030" width="14.109375" style="38" customWidth="1"/>
    <col min="1031" max="1031" width="12.33203125" style="38" customWidth="1"/>
    <col min="1032" max="1280" width="9.109375" style="38"/>
    <col min="1281" max="1281" width="8.109375" style="38" customWidth="1"/>
    <col min="1282" max="1282" width="70.44140625" style="38" bestFit="1" customWidth="1"/>
    <col min="1283" max="1283" width="11.44140625" style="38" customWidth="1"/>
    <col min="1284" max="1284" width="10.44140625" style="38" customWidth="1"/>
    <col min="1285" max="1285" width="13.109375" style="38" customWidth="1"/>
    <col min="1286" max="1286" width="14.109375" style="38" customWidth="1"/>
    <col min="1287" max="1287" width="12.33203125" style="38" customWidth="1"/>
    <col min="1288" max="1536" width="9.109375" style="38"/>
    <col min="1537" max="1537" width="8.109375" style="38" customWidth="1"/>
    <col min="1538" max="1538" width="70.44140625" style="38" bestFit="1" customWidth="1"/>
    <col min="1539" max="1539" width="11.44140625" style="38" customWidth="1"/>
    <col min="1540" max="1540" width="10.44140625" style="38" customWidth="1"/>
    <col min="1541" max="1541" width="13.109375" style="38" customWidth="1"/>
    <col min="1542" max="1542" width="14.109375" style="38" customWidth="1"/>
    <col min="1543" max="1543" width="12.33203125" style="38" customWidth="1"/>
    <col min="1544" max="1792" width="9.109375" style="38"/>
    <col min="1793" max="1793" width="8.109375" style="38" customWidth="1"/>
    <col min="1794" max="1794" width="70.44140625" style="38" bestFit="1" customWidth="1"/>
    <col min="1795" max="1795" width="11.44140625" style="38" customWidth="1"/>
    <col min="1796" max="1796" width="10.44140625" style="38" customWidth="1"/>
    <col min="1797" max="1797" width="13.109375" style="38" customWidth="1"/>
    <col min="1798" max="1798" width="14.109375" style="38" customWidth="1"/>
    <col min="1799" max="1799" width="12.33203125" style="38" customWidth="1"/>
    <col min="1800" max="2048" width="9.109375" style="38"/>
    <col min="2049" max="2049" width="8.109375" style="38" customWidth="1"/>
    <col min="2050" max="2050" width="70.44140625" style="38" bestFit="1" customWidth="1"/>
    <col min="2051" max="2051" width="11.44140625" style="38" customWidth="1"/>
    <col min="2052" max="2052" width="10.44140625" style="38" customWidth="1"/>
    <col min="2053" max="2053" width="13.109375" style="38" customWidth="1"/>
    <col min="2054" max="2054" width="14.109375" style="38" customWidth="1"/>
    <col min="2055" max="2055" width="12.33203125" style="38" customWidth="1"/>
    <col min="2056" max="2304" width="9.109375" style="38"/>
    <col min="2305" max="2305" width="8.109375" style="38" customWidth="1"/>
    <col min="2306" max="2306" width="70.44140625" style="38" bestFit="1" customWidth="1"/>
    <col min="2307" max="2307" width="11.44140625" style="38" customWidth="1"/>
    <col min="2308" max="2308" width="10.44140625" style="38" customWidth="1"/>
    <col min="2309" max="2309" width="13.109375" style="38" customWidth="1"/>
    <col min="2310" max="2310" width="14.109375" style="38" customWidth="1"/>
    <col min="2311" max="2311" width="12.33203125" style="38" customWidth="1"/>
    <col min="2312" max="2560" width="9.109375" style="38"/>
    <col min="2561" max="2561" width="8.109375" style="38" customWidth="1"/>
    <col min="2562" max="2562" width="70.44140625" style="38" bestFit="1" customWidth="1"/>
    <col min="2563" max="2563" width="11.44140625" style="38" customWidth="1"/>
    <col min="2564" max="2564" width="10.44140625" style="38" customWidth="1"/>
    <col min="2565" max="2565" width="13.109375" style="38" customWidth="1"/>
    <col min="2566" max="2566" width="14.109375" style="38" customWidth="1"/>
    <col min="2567" max="2567" width="12.33203125" style="38" customWidth="1"/>
    <col min="2568" max="2816" width="9.109375" style="38"/>
    <col min="2817" max="2817" width="8.109375" style="38" customWidth="1"/>
    <col min="2818" max="2818" width="70.44140625" style="38" bestFit="1" customWidth="1"/>
    <col min="2819" max="2819" width="11.44140625" style="38" customWidth="1"/>
    <col min="2820" max="2820" width="10.44140625" style="38" customWidth="1"/>
    <col min="2821" max="2821" width="13.109375" style="38" customWidth="1"/>
    <col min="2822" max="2822" width="14.109375" style="38" customWidth="1"/>
    <col min="2823" max="2823" width="12.33203125" style="38" customWidth="1"/>
    <col min="2824" max="3072" width="9.109375" style="38"/>
    <col min="3073" max="3073" width="8.109375" style="38" customWidth="1"/>
    <col min="3074" max="3074" width="70.44140625" style="38" bestFit="1" customWidth="1"/>
    <col min="3075" max="3075" width="11.44140625" style="38" customWidth="1"/>
    <col min="3076" max="3076" width="10.44140625" style="38" customWidth="1"/>
    <col min="3077" max="3077" width="13.109375" style="38" customWidth="1"/>
    <col min="3078" max="3078" width="14.109375" style="38" customWidth="1"/>
    <col min="3079" max="3079" width="12.33203125" style="38" customWidth="1"/>
    <col min="3080" max="3328" width="9.109375" style="38"/>
    <col min="3329" max="3329" width="8.109375" style="38" customWidth="1"/>
    <col min="3330" max="3330" width="70.44140625" style="38" bestFit="1" customWidth="1"/>
    <col min="3331" max="3331" width="11.44140625" style="38" customWidth="1"/>
    <col min="3332" max="3332" width="10.44140625" style="38" customWidth="1"/>
    <col min="3333" max="3333" width="13.109375" style="38" customWidth="1"/>
    <col min="3334" max="3334" width="14.109375" style="38" customWidth="1"/>
    <col min="3335" max="3335" width="12.33203125" style="38" customWidth="1"/>
    <col min="3336" max="3584" width="9.109375" style="38"/>
    <col min="3585" max="3585" width="8.109375" style="38" customWidth="1"/>
    <col min="3586" max="3586" width="70.44140625" style="38" bestFit="1" customWidth="1"/>
    <col min="3587" max="3587" width="11.44140625" style="38" customWidth="1"/>
    <col min="3588" max="3588" width="10.44140625" style="38" customWidth="1"/>
    <col min="3589" max="3589" width="13.109375" style="38" customWidth="1"/>
    <col min="3590" max="3590" width="14.109375" style="38" customWidth="1"/>
    <col min="3591" max="3591" width="12.33203125" style="38" customWidth="1"/>
    <col min="3592" max="3840" width="9.109375" style="38"/>
    <col min="3841" max="3841" width="8.109375" style="38" customWidth="1"/>
    <col min="3842" max="3842" width="70.44140625" style="38" bestFit="1" customWidth="1"/>
    <col min="3843" max="3843" width="11.44140625" style="38" customWidth="1"/>
    <col min="3844" max="3844" width="10.44140625" style="38" customWidth="1"/>
    <col min="3845" max="3845" width="13.109375" style="38" customWidth="1"/>
    <col min="3846" max="3846" width="14.109375" style="38" customWidth="1"/>
    <col min="3847" max="3847" width="12.33203125" style="38" customWidth="1"/>
    <col min="3848" max="4096" width="9.109375" style="38"/>
    <col min="4097" max="4097" width="8.109375" style="38" customWidth="1"/>
    <col min="4098" max="4098" width="70.44140625" style="38" bestFit="1" customWidth="1"/>
    <col min="4099" max="4099" width="11.44140625" style="38" customWidth="1"/>
    <col min="4100" max="4100" width="10.44140625" style="38" customWidth="1"/>
    <col min="4101" max="4101" width="13.109375" style="38" customWidth="1"/>
    <col min="4102" max="4102" width="14.109375" style="38" customWidth="1"/>
    <col min="4103" max="4103" width="12.33203125" style="38" customWidth="1"/>
    <col min="4104" max="4352" width="9.109375" style="38"/>
    <col min="4353" max="4353" width="8.109375" style="38" customWidth="1"/>
    <col min="4354" max="4354" width="70.44140625" style="38" bestFit="1" customWidth="1"/>
    <col min="4355" max="4355" width="11.44140625" style="38" customWidth="1"/>
    <col min="4356" max="4356" width="10.44140625" style="38" customWidth="1"/>
    <col min="4357" max="4357" width="13.109375" style="38" customWidth="1"/>
    <col min="4358" max="4358" width="14.109375" style="38" customWidth="1"/>
    <col min="4359" max="4359" width="12.33203125" style="38" customWidth="1"/>
    <col min="4360" max="4608" width="9.109375" style="38"/>
    <col min="4609" max="4609" width="8.109375" style="38" customWidth="1"/>
    <col min="4610" max="4610" width="70.44140625" style="38" bestFit="1" customWidth="1"/>
    <col min="4611" max="4611" width="11.44140625" style="38" customWidth="1"/>
    <col min="4612" max="4612" width="10.44140625" style="38" customWidth="1"/>
    <col min="4613" max="4613" width="13.109375" style="38" customWidth="1"/>
    <col min="4614" max="4614" width="14.109375" style="38" customWidth="1"/>
    <col min="4615" max="4615" width="12.33203125" style="38" customWidth="1"/>
    <col min="4616" max="4864" width="9.109375" style="38"/>
    <col min="4865" max="4865" width="8.109375" style="38" customWidth="1"/>
    <col min="4866" max="4866" width="70.44140625" style="38" bestFit="1" customWidth="1"/>
    <col min="4867" max="4867" width="11.44140625" style="38" customWidth="1"/>
    <col min="4868" max="4868" width="10.44140625" style="38" customWidth="1"/>
    <col min="4869" max="4869" width="13.109375" style="38" customWidth="1"/>
    <col min="4870" max="4870" width="14.109375" style="38" customWidth="1"/>
    <col min="4871" max="4871" width="12.33203125" style="38" customWidth="1"/>
    <col min="4872" max="5120" width="9.109375" style="38"/>
    <col min="5121" max="5121" width="8.109375" style="38" customWidth="1"/>
    <col min="5122" max="5122" width="70.44140625" style="38" bestFit="1" customWidth="1"/>
    <col min="5123" max="5123" width="11.44140625" style="38" customWidth="1"/>
    <col min="5124" max="5124" width="10.44140625" style="38" customWidth="1"/>
    <col min="5125" max="5125" width="13.109375" style="38" customWidth="1"/>
    <col min="5126" max="5126" width="14.109375" style="38" customWidth="1"/>
    <col min="5127" max="5127" width="12.33203125" style="38" customWidth="1"/>
    <col min="5128" max="5376" width="9.109375" style="38"/>
    <col min="5377" max="5377" width="8.109375" style="38" customWidth="1"/>
    <col min="5378" max="5378" width="70.44140625" style="38" bestFit="1" customWidth="1"/>
    <col min="5379" max="5379" width="11.44140625" style="38" customWidth="1"/>
    <col min="5380" max="5380" width="10.44140625" style="38" customWidth="1"/>
    <col min="5381" max="5381" width="13.109375" style="38" customWidth="1"/>
    <col min="5382" max="5382" width="14.109375" style="38" customWidth="1"/>
    <col min="5383" max="5383" width="12.33203125" style="38" customWidth="1"/>
    <col min="5384" max="5632" width="9.109375" style="38"/>
    <col min="5633" max="5633" width="8.109375" style="38" customWidth="1"/>
    <col min="5634" max="5634" width="70.44140625" style="38" bestFit="1" customWidth="1"/>
    <col min="5635" max="5635" width="11.44140625" style="38" customWidth="1"/>
    <col min="5636" max="5636" width="10.44140625" style="38" customWidth="1"/>
    <col min="5637" max="5637" width="13.109375" style="38" customWidth="1"/>
    <col min="5638" max="5638" width="14.109375" style="38" customWidth="1"/>
    <col min="5639" max="5639" width="12.33203125" style="38" customWidth="1"/>
    <col min="5640" max="5888" width="9.109375" style="38"/>
    <col min="5889" max="5889" width="8.109375" style="38" customWidth="1"/>
    <col min="5890" max="5890" width="70.44140625" style="38" bestFit="1" customWidth="1"/>
    <col min="5891" max="5891" width="11.44140625" style="38" customWidth="1"/>
    <col min="5892" max="5892" width="10.44140625" style="38" customWidth="1"/>
    <col min="5893" max="5893" width="13.109375" style="38" customWidth="1"/>
    <col min="5894" max="5894" width="14.109375" style="38" customWidth="1"/>
    <col min="5895" max="5895" width="12.33203125" style="38" customWidth="1"/>
    <col min="5896" max="6144" width="9.109375" style="38"/>
    <col min="6145" max="6145" width="8.109375" style="38" customWidth="1"/>
    <col min="6146" max="6146" width="70.44140625" style="38" bestFit="1" customWidth="1"/>
    <col min="6147" max="6147" width="11.44140625" style="38" customWidth="1"/>
    <col min="6148" max="6148" width="10.44140625" style="38" customWidth="1"/>
    <col min="6149" max="6149" width="13.109375" style="38" customWidth="1"/>
    <col min="6150" max="6150" width="14.109375" style="38" customWidth="1"/>
    <col min="6151" max="6151" width="12.33203125" style="38" customWidth="1"/>
    <col min="6152" max="6400" width="9.109375" style="38"/>
    <col min="6401" max="6401" width="8.109375" style="38" customWidth="1"/>
    <col min="6402" max="6402" width="70.44140625" style="38" bestFit="1" customWidth="1"/>
    <col min="6403" max="6403" width="11.44140625" style="38" customWidth="1"/>
    <col min="6404" max="6404" width="10.44140625" style="38" customWidth="1"/>
    <col min="6405" max="6405" width="13.109375" style="38" customWidth="1"/>
    <col min="6406" max="6406" width="14.109375" style="38" customWidth="1"/>
    <col min="6407" max="6407" width="12.33203125" style="38" customWidth="1"/>
    <col min="6408" max="6656" width="9.109375" style="38"/>
    <col min="6657" max="6657" width="8.109375" style="38" customWidth="1"/>
    <col min="6658" max="6658" width="70.44140625" style="38" bestFit="1" customWidth="1"/>
    <col min="6659" max="6659" width="11.44140625" style="38" customWidth="1"/>
    <col min="6660" max="6660" width="10.44140625" style="38" customWidth="1"/>
    <col min="6661" max="6661" width="13.109375" style="38" customWidth="1"/>
    <col min="6662" max="6662" width="14.109375" style="38" customWidth="1"/>
    <col min="6663" max="6663" width="12.33203125" style="38" customWidth="1"/>
    <col min="6664" max="6912" width="9.109375" style="38"/>
    <col min="6913" max="6913" width="8.109375" style="38" customWidth="1"/>
    <col min="6914" max="6914" width="70.44140625" style="38" bestFit="1" customWidth="1"/>
    <col min="6915" max="6915" width="11.44140625" style="38" customWidth="1"/>
    <col min="6916" max="6916" width="10.44140625" style="38" customWidth="1"/>
    <col min="6917" max="6917" width="13.109375" style="38" customWidth="1"/>
    <col min="6918" max="6918" width="14.109375" style="38" customWidth="1"/>
    <col min="6919" max="6919" width="12.33203125" style="38" customWidth="1"/>
    <col min="6920" max="7168" width="9.109375" style="38"/>
    <col min="7169" max="7169" width="8.109375" style="38" customWidth="1"/>
    <col min="7170" max="7170" width="70.44140625" style="38" bestFit="1" customWidth="1"/>
    <col min="7171" max="7171" width="11.44140625" style="38" customWidth="1"/>
    <col min="7172" max="7172" width="10.44140625" style="38" customWidth="1"/>
    <col min="7173" max="7173" width="13.109375" style="38" customWidth="1"/>
    <col min="7174" max="7174" width="14.109375" style="38" customWidth="1"/>
    <col min="7175" max="7175" width="12.33203125" style="38" customWidth="1"/>
    <col min="7176" max="7424" width="9.109375" style="38"/>
    <col min="7425" max="7425" width="8.109375" style="38" customWidth="1"/>
    <col min="7426" max="7426" width="70.44140625" style="38" bestFit="1" customWidth="1"/>
    <col min="7427" max="7427" width="11.44140625" style="38" customWidth="1"/>
    <col min="7428" max="7428" width="10.44140625" style="38" customWidth="1"/>
    <col min="7429" max="7429" width="13.109375" style="38" customWidth="1"/>
    <col min="7430" max="7430" width="14.109375" style="38" customWidth="1"/>
    <col min="7431" max="7431" width="12.33203125" style="38" customWidth="1"/>
    <col min="7432" max="7680" width="9.109375" style="38"/>
    <col min="7681" max="7681" width="8.109375" style="38" customWidth="1"/>
    <col min="7682" max="7682" width="70.44140625" style="38" bestFit="1" customWidth="1"/>
    <col min="7683" max="7683" width="11.44140625" style="38" customWidth="1"/>
    <col min="7684" max="7684" width="10.44140625" style="38" customWidth="1"/>
    <col min="7685" max="7685" width="13.109375" style="38" customWidth="1"/>
    <col min="7686" max="7686" width="14.109375" style="38" customWidth="1"/>
    <col min="7687" max="7687" width="12.33203125" style="38" customWidth="1"/>
    <col min="7688" max="7936" width="9.109375" style="38"/>
    <col min="7937" max="7937" width="8.109375" style="38" customWidth="1"/>
    <col min="7938" max="7938" width="70.44140625" style="38" bestFit="1" customWidth="1"/>
    <col min="7939" max="7939" width="11.44140625" style="38" customWidth="1"/>
    <col min="7940" max="7940" width="10.44140625" style="38" customWidth="1"/>
    <col min="7941" max="7941" width="13.109375" style="38" customWidth="1"/>
    <col min="7942" max="7942" width="14.109375" style="38" customWidth="1"/>
    <col min="7943" max="7943" width="12.33203125" style="38" customWidth="1"/>
    <col min="7944" max="8192" width="9.109375" style="38"/>
    <col min="8193" max="8193" width="8.109375" style="38" customWidth="1"/>
    <col min="8194" max="8194" width="70.44140625" style="38" bestFit="1" customWidth="1"/>
    <col min="8195" max="8195" width="11.44140625" style="38" customWidth="1"/>
    <col min="8196" max="8196" width="10.44140625" style="38" customWidth="1"/>
    <col min="8197" max="8197" width="13.109375" style="38" customWidth="1"/>
    <col min="8198" max="8198" width="14.109375" style="38" customWidth="1"/>
    <col min="8199" max="8199" width="12.33203125" style="38" customWidth="1"/>
    <col min="8200" max="8448" width="9.109375" style="38"/>
    <col min="8449" max="8449" width="8.109375" style="38" customWidth="1"/>
    <col min="8450" max="8450" width="70.44140625" style="38" bestFit="1" customWidth="1"/>
    <col min="8451" max="8451" width="11.44140625" style="38" customWidth="1"/>
    <col min="8452" max="8452" width="10.44140625" style="38" customWidth="1"/>
    <col min="8453" max="8453" width="13.109375" style="38" customWidth="1"/>
    <col min="8454" max="8454" width="14.109375" style="38" customWidth="1"/>
    <col min="8455" max="8455" width="12.33203125" style="38" customWidth="1"/>
    <col min="8456" max="8704" width="9.109375" style="38"/>
    <col min="8705" max="8705" width="8.109375" style="38" customWidth="1"/>
    <col min="8706" max="8706" width="70.44140625" style="38" bestFit="1" customWidth="1"/>
    <col min="8707" max="8707" width="11.44140625" style="38" customWidth="1"/>
    <col min="8708" max="8708" width="10.44140625" style="38" customWidth="1"/>
    <col min="8709" max="8709" width="13.109375" style="38" customWidth="1"/>
    <col min="8710" max="8710" width="14.109375" style="38" customWidth="1"/>
    <col min="8711" max="8711" width="12.33203125" style="38" customWidth="1"/>
    <col min="8712" max="8960" width="9.109375" style="38"/>
    <col min="8961" max="8961" width="8.109375" style="38" customWidth="1"/>
    <col min="8962" max="8962" width="70.44140625" style="38" bestFit="1" customWidth="1"/>
    <col min="8963" max="8963" width="11.44140625" style="38" customWidth="1"/>
    <col min="8964" max="8964" width="10.44140625" style="38" customWidth="1"/>
    <col min="8965" max="8965" width="13.109375" style="38" customWidth="1"/>
    <col min="8966" max="8966" width="14.109375" style="38" customWidth="1"/>
    <col min="8967" max="8967" width="12.33203125" style="38" customWidth="1"/>
    <col min="8968" max="9216" width="9.109375" style="38"/>
    <col min="9217" max="9217" width="8.109375" style="38" customWidth="1"/>
    <col min="9218" max="9218" width="70.44140625" style="38" bestFit="1" customWidth="1"/>
    <col min="9219" max="9219" width="11.44140625" style="38" customWidth="1"/>
    <col min="9220" max="9220" width="10.44140625" style="38" customWidth="1"/>
    <col min="9221" max="9221" width="13.109375" style="38" customWidth="1"/>
    <col min="9222" max="9222" width="14.109375" style="38" customWidth="1"/>
    <col min="9223" max="9223" width="12.33203125" style="38" customWidth="1"/>
    <col min="9224" max="9472" width="9.109375" style="38"/>
    <col min="9473" max="9473" width="8.109375" style="38" customWidth="1"/>
    <col min="9474" max="9474" width="70.44140625" style="38" bestFit="1" customWidth="1"/>
    <col min="9475" max="9475" width="11.44140625" style="38" customWidth="1"/>
    <col min="9476" max="9476" width="10.44140625" style="38" customWidth="1"/>
    <col min="9477" max="9477" width="13.109375" style="38" customWidth="1"/>
    <col min="9478" max="9478" width="14.109375" style="38" customWidth="1"/>
    <col min="9479" max="9479" width="12.33203125" style="38" customWidth="1"/>
    <col min="9480" max="9728" width="9.109375" style="38"/>
    <col min="9729" max="9729" width="8.109375" style="38" customWidth="1"/>
    <col min="9730" max="9730" width="70.44140625" style="38" bestFit="1" customWidth="1"/>
    <col min="9731" max="9731" width="11.44140625" style="38" customWidth="1"/>
    <col min="9732" max="9732" width="10.44140625" style="38" customWidth="1"/>
    <col min="9733" max="9733" width="13.109375" style="38" customWidth="1"/>
    <col min="9734" max="9734" width="14.109375" style="38" customWidth="1"/>
    <col min="9735" max="9735" width="12.33203125" style="38" customWidth="1"/>
    <col min="9736" max="9984" width="9.109375" style="38"/>
    <col min="9985" max="9985" width="8.109375" style="38" customWidth="1"/>
    <col min="9986" max="9986" width="70.44140625" style="38" bestFit="1" customWidth="1"/>
    <col min="9987" max="9987" width="11.44140625" style="38" customWidth="1"/>
    <col min="9988" max="9988" width="10.44140625" style="38" customWidth="1"/>
    <col min="9989" max="9989" width="13.109375" style="38" customWidth="1"/>
    <col min="9990" max="9990" width="14.109375" style="38" customWidth="1"/>
    <col min="9991" max="9991" width="12.33203125" style="38" customWidth="1"/>
    <col min="9992" max="10240" width="9.109375" style="38"/>
    <col min="10241" max="10241" width="8.109375" style="38" customWidth="1"/>
    <col min="10242" max="10242" width="70.44140625" style="38" bestFit="1" customWidth="1"/>
    <col min="10243" max="10243" width="11.44140625" style="38" customWidth="1"/>
    <col min="10244" max="10244" width="10.44140625" style="38" customWidth="1"/>
    <col min="10245" max="10245" width="13.109375" style="38" customWidth="1"/>
    <col min="10246" max="10246" width="14.109375" style="38" customWidth="1"/>
    <col min="10247" max="10247" width="12.33203125" style="38" customWidth="1"/>
    <col min="10248" max="10496" width="9.109375" style="38"/>
    <col min="10497" max="10497" width="8.109375" style="38" customWidth="1"/>
    <col min="10498" max="10498" width="70.44140625" style="38" bestFit="1" customWidth="1"/>
    <col min="10499" max="10499" width="11.44140625" style="38" customWidth="1"/>
    <col min="10500" max="10500" width="10.44140625" style="38" customWidth="1"/>
    <col min="10501" max="10501" width="13.109375" style="38" customWidth="1"/>
    <col min="10502" max="10502" width="14.109375" style="38" customWidth="1"/>
    <col min="10503" max="10503" width="12.33203125" style="38" customWidth="1"/>
    <col min="10504" max="10752" width="9.109375" style="38"/>
    <col min="10753" max="10753" width="8.109375" style="38" customWidth="1"/>
    <col min="10754" max="10754" width="70.44140625" style="38" bestFit="1" customWidth="1"/>
    <col min="10755" max="10755" width="11.44140625" style="38" customWidth="1"/>
    <col min="10756" max="10756" width="10.44140625" style="38" customWidth="1"/>
    <col min="10757" max="10757" width="13.109375" style="38" customWidth="1"/>
    <col min="10758" max="10758" width="14.109375" style="38" customWidth="1"/>
    <col min="10759" max="10759" width="12.33203125" style="38" customWidth="1"/>
    <col min="10760" max="11008" width="9.109375" style="38"/>
    <col min="11009" max="11009" width="8.109375" style="38" customWidth="1"/>
    <col min="11010" max="11010" width="70.44140625" style="38" bestFit="1" customWidth="1"/>
    <col min="11011" max="11011" width="11.44140625" style="38" customWidth="1"/>
    <col min="11012" max="11012" width="10.44140625" style="38" customWidth="1"/>
    <col min="11013" max="11013" width="13.109375" style="38" customWidth="1"/>
    <col min="11014" max="11014" width="14.109375" style="38" customWidth="1"/>
    <col min="11015" max="11015" width="12.33203125" style="38" customWidth="1"/>
    <col min="11016" max="11264" width="9.109375" style="38"/>
    <col min="11265" max="11265" width="8.109375" style="38" customWidth="1"/>
    <col min="11266" max="11266" width="70.44140625" style="38" bestFit="1" customWidth="1"/>
    <col min="11267" max="11267" width="11.44140625" style="38" customWidth="1"/>
    <col min="11268" max="11268" width="10.44140625" style="38" customWidth="1"/>
    <col min="11269" max="11269" width="13.109375" style="38" customWidth="1"/>
    <col min="11270" max="11270" width="14.109375" style="38" customWidth="1"/>
    <col min="11271" max="11271" width="12.33203125" style="38" customWidth="1"/>
    <col min="11272" max="11520" width="9.109375" style="38"/>
    <col min="11521" max="11521" width="8.109375" style="38" customWidth="1"/>
    <col min="11522" max="11522" width="70.44140625" style="38" bestFit="1" customWidth="1"/>
    <col min="11523" max="11523" width="11.44140625" style="38" customWidth="1"/>
    <col min="11524" max="11524" width="10.44140625" style="38" customWidth="1"/>
    <col min="11525" max="11525" width="13.109375" style="38" customWidth="1"/>
    <col min="11526" max="11526" width="14.109375" style="38" customWidth="1"/>
    <col min="11527" max="11527" width="12.33203125" style="38" customWidth="1"/>
    <col min="11528" max="11776" width="9.109375" style="38"/>
    <col min="11777" max="11777" width="8.109375" style="38" customWidth="1"/>
    <col min="11778" max="11778" width="70.44140625" style="38" bestFit="1" customWidth="1"/>
    <col min="11779" max="11779" width="11.44140625" style="38" customWidth="1"/>
    <col min="11780" max="11780" width="10.44140625" style="38" customWidth="1"/>
    <col min="11781" max="11781" width="13.109375" style="38" customWidth="1"/>
    <col min="11782" max="11782" width="14.109375" style="38" customWidth="1"/>
    <col min="11783" max="11783" width="12.33203125" style="38" customWidth="1"/>
    <col min="11784" max="12032" width="9.109375" style="38"/>
    <col min="12033" max="12033" width="8.109375" style="38" customWidth="1"/>
    <col min="12034" max="12034" width="70.44140625" style="38" bestFit="1" customWidth="1"/>
    <col min="12035" max="12035" width="11.44140625" style="38" customWidth="1"/>
    <col min="12036" max="12036" width="10.44140625" style="38" customWidth="1"/>
    <col min="12037" max="12037" width="13.109375" style="38" customWidth="1"/>
    <col min="12038" max="12038" width="14.109375" style="38" customWidth="1"/>
    <col min="12039" max="12039" width="12.33203125" style="38" customWidth="1"/>
    <col min="12040" max="12288" width="9.109375" style="38"/>
    <col min="12289" max="12289" width="8.109375" style="38" customWidth="1"/>
    <col min="12290" max="12290" width="70.44140625" style="38" bestFit="1" customWidth="1"/>
    <col min="12291" max="12291" width="11.44140625" style="38" customWidth="1"/>
    <col min="12292" max="12292" width="10.44140625" style="38" customWidth="1"/>
    <col min="12293" max="12293" width="13.109375" style="38" customWidth="1"/>
    <col min="12294" max="12294" width="14.109375" style="38" customWidth="1"/>
    <col min="12295" max="12295" width="12.33203125" style="38" customWidth="1"/>
    <col min="12296" max="12544" width="9.109375" style="38"/>
    <col min="12545" max="12545" width="8.109375" style="38" customWidth="1"/>
    <col min="12546" max="12546" width="70.44140625" style="38" bestFit="1" customWidth="1"/>
    <col min="12547" max="12547" width="11.44140625" style="38" customWidth="1"/>
    <col min="12548" max="12548" width="10.44140625" style="38" customWidth="1"/>
    <col min="12549" max="12549" width="13.109375" style="38" customWidth="1"/>
    <col min="12550" max="12550" width="14.109375" style="38" customWidth="1"/>
    <col min="12551" max="12551" width="12.33203125" style="38" customWidth="1"/>
    <col min="12552" max="12800" width="9.109375" style="38"/>
    <col min="12801" max="12801" width="8.109375" style="38" customWidth="1"/>
    <col min="12802" max="12802" width="70.44140625" style="38" bestFit="1" customWidth="1"/>
    <col min="12803" max="12803" width="11.44140625" style="38" customWidth="1"/>
    <col min="12804" max="12804" width="10.44140625" style="38" customWidth="1"/>
    <col min="12805" max="12805" width="13.109375" style="38" customWidth="1"/>
    <col min="12806" max="12806" width="14.109375" style="38" customWidth="1"/>
    <col min="12807" max="12807" width="12.33203125" style="38" customWidth="1"/>
    <col min="12808" max="13056" width="9.109375" style="38"/>
    <col min="13057" max="13057" width="8.109375" style="38" customWidth="1"/>
    <col min="13058" max="13058" width="70.44140625" style="38" bestFit="1" customWidth="1"/>
    <col min="13059" max="13059" width="11.44140625" style="38" customWidth="1"/>
    <col min="13060" max="13060" width="10.44140625" style="38" customWidth="1"/>
    <col min="13061" max="13061" width="13.109375" style="38" customWidth="1"/>
    <col min="13062" max="13062" width="14.109375" style="38" customWidth="1"/>
    <col min="13063" max="13063" width="12.33203125" style="38" customWidth="1"/>
    <col min="13064" max="13312" width="9.109375" style="38"/>
    <col min="13313" max="13313" width="8.109375" style="38" customWidth="1"/>
    <col min="13314" max="13314" width="70.44140625" style="38" bestFit="1" customWidth="1"/>
    <col min="13315" max="13315" width="11.44140625" style="38" customWidth="1"/>
    <col min="13316" max="13316" width="10.44140625" style="38" customWidth="1"/>
    <col min="13317" max="13317" width="13.109375" style="38" customWidth="1"/>
    <col min="13318" max="13318" width="14.109375" style="38" customWidth="1"/>
    <col min="13319" max="13319" width="12.33203125" style="38" customWidth="1"/>
    <col min="13320" max="13568" width="9.109375" style="38"/>
    <col min="13569" max="13569" width="8.109375" style="38" customWidth="1"/>
    <col min="13570" max="13570" width="70.44140625" style="38" bestFit="1" customWidth="1"/>
    <col min="13571" max="13571" width="11.44140625" style="38" customWidth="1"/>
    <col min="13572" max="13572" width="10.44140625" style="38" customWidth="1"/>
    <col min="13573" max="13573" width="13.109375" style="38" customWidth="1"/>
    <col min="13574" max="13574" width="14.109375" style="38" customWidth="1"/>
    <col min="13575" max="13575" width="12.33203125" style="38" customWidth="1"/>
    <col min="13576" max="13824" width="9.109375" style="38"/>
    <col min="13825" max="13825" width="8.109375" style="38" customWidth="1"/>
    <col min="13826" max="13826" width="70.44140625" style="38" bestFit="1" customWidth="1"/>
    <col min="13827" max="13827" width="11.44140625" style="38" customWidth="1"/>
    <col min="13828" max="13828" width="10.44140625" style="38" customWidth="1"/>
    <col min="13829" max="13829" width="13.109375" style="38" customWidth="1"/>
    <col min="13830" max="13830" width="14.109375" style="38" customWidth="1"/>
    <col min="13831" max="13831" width="12.33203125" style="38" customWidth="1"/>
    <col min="13832" max="14080" width="9.109375" style="38"/>
    <col min="14081" max="14081" width="8.109375" style="38" customWidth="1"/>
    <col min="14082" max="14082" width="70.44140625" style="38" bestFit="1" customWidth="1"/>
    <col min="14083" max="14083" width="11.44140625" style="38" customWidth="1"/>
    <col min="14084" max="14084" width="10.44140625" style="38" customWidth="1"/>
    <col min="14085" max="14085" width="13.109375" style="38" customWidth="1"/>
    <col min="14086" max="14086" width="14.109375" style="38" customWidth="1"/>
    <col min="14087" max="14087" width="12.33203125" style="38" customWidth="1"/>
    <col min="14088" max="14336" width="9.109375" style="38"/>
    <col min="14337" max="14337" width="8.109375" style="38" customWidth="1"/>
    <col min="14338" max="14338" width="70.44140625" style="38" bestFit="1" customWidth="1"/>
    <col min="14339" max="14339" width="11.44140625" style="38" customWidth="1"/>
    <col min="14340" max="14340" width="10.44140625" style="38" customWidth="1"/>
    <col min="14341" max="14341" width="13.109375" style="38" customWidth="1"/>
    <col min="14342" max="14342" width="14.109375" style="38" customWidth="1"/>
    <col min="14343" max="14343" width="12.33203125" style="38" customWidth="1"/>
    <col min="14344" max="14592" width="9.109375" style="38"/>
    <col min="14593" max="14593" width="8.109375" style="38" customWidth="1"/>
    <col min="14594" max="14594" width="70.44140625" style="38" bestFit="1" customWidth="1"/>
    <col min="14595" max="14595" width="11.44140625" style="38" customWidth="1"/>
    <col min="14596" max="14596" width="10.44140625" style="38" customWidth="1"/>
    <col min="14597" max="14597" width="13.109375" style="38" customWidth="1"/>
    <col min="14598" max="14598" width="14.109375" style="38" customWidth="1"/>
    <col min="14599" max="14599" width="12.33203125" style="38" customWidth="1"/>
    <col min="14600" max="14848" width="9.109375" style="38"/>
    <col min="14849" max="14849" width="8.109375" style="38" customWidth="1"/>
    <col min="14850" max="14850" width="70.44140625" style="38" bestFit="1" customWidth="1"/>
    <col min="14851" max="14851" width="11.44140625" style="38" customWidth="1"/>
    <col min="14852" max="14852" width="10.44140625" style="38" customWidth="1"/>
    <col min="14853" max="14853" width="13.109375" style="38" customWidth="1"/>
    <col min="14854" max="14854" width="14.109375" style="38" customWidth="1"/>
    <col min="14855" max="14855" width="12.33203125" style="38" customWidth="1"/>
    <col min="14856" max="15104" width="9.109375" style="38"/>
    <col min="15105" max="15105" width="8.109375" style="38" customWidth="1"/>
    <col min="15106" max="15106" width="70.44140625" style="38" bestFit="1" customWidth="1"/>
    <col min="15107" max="15107" width="11.44140625" style="38" customWidth="1"/>
    <col min="15108" max="15108" width="10.44140625" style="38" customWidth="1"/>
    <col min="15109" max="15109" width="13.109375" style="38" customWidth="1"/>
    <col min="15110" max="15110" width="14.109375" style="38" customWidth="1"/>
    <col min="15111" max="15111" width="12.33203125" style="38" customWidth="1"/>
    <col min="15112" max="15360" width="9.109375" style="38"/>
    <col min="15361" max="15361" width="8.109375" style="38" customWidth="1"/>
    <col min="15362" max="15362" width="70.44140625" style="38" bestFit="1" customWidth="1"/>
    <col min="15363" max="15363" width="11.44140625" style="38" customWidth="1"/>
    <col min="15364" max="15364" width="10.44140625" style="38" customWidth="1"/>
    <col min="15365" max="15365" width="13.109375" style="38" customWidth="1"/>
    <col min="15366" max="15366" width="14.109375" style="38" customWidth="1"/>
    <col min="15367" max="15367" width="12.33203125" style="38" customWidth="1"/>
    <col min="15368" max="15616" width="9.109375" style="38"/>
    <col min="15617" max="15617" width="8.109375" style="38" customWidth="1"/>
    <col min="15618" max="15618" width="70.44140625" style="38" bestFit="1" customWidth="1"/>
    <col min="15619" max="15619" width="11.44140625" style="38" customWidth="1"/>
    <col min="15620" max="15620" width="10.44140625" style="38" customWidth="1"/>
    <col min="15621" max="15621" width="13.109375" style="38" customWidth="1"/>
    <col min="15622" max="15622" width="14.109375" style="38" customWidth="1"/>
    <col min="15623" max="15623" width="12.33203125" style="38" customWidth="1"/>
    <col min="15624" max="15872" width="9.109375" style="38"/>
    <col min="15873" max="15873" width="8.109375" style="38" customWidth="1"/>
    <col min="15874" max="15874" width="70.44140625" style="38" bestFit="1" customWidth="1"/>
    <col min="15875" max="15875" width="11.44140625" style="38" customWidth="1"/>
    <col min="15876" max="15876" width="10.44140625" style="38" customWidth="1"/>
    <col min="15877" max="15877" width="13.109375" style="38" customWidth="1"/>
    <col min="15878" max="15878" width="14.109375" style="38" customWidth="1"/>
    <col min="15879" max="15879" width="12.33203125" style="38" customWidth="1"/>
    <col min="15880" max="16128" width="9.109375" style="38"/>
    <col min="16129" max="16129" width="8.109375" style="38" customWidth="1"/>
    <col min="16130" max="16130" width="70.44140625" style="38" bestFit="1" customWidth="1"/>
    <col min="16131" max="16131" width="11.44140625" style="38" customWidth="1"/>
    <col min="16132" max="16132" width="10.44140625" style="38" customWidth="1"/>
    <col min="16133" max="16133" width="13.109375" style="38" customWidth="1"/>
    <col min="16134" max="16134" width="14.109375" style="38" customWidth="1"/>
    <col min="16135" max="16135" width="12.33203125" style="38" customWidth="1"/>
    <col min="16136" max="16384" width="9.109375" style="38"/>
  </cols>
  <sheetData>
    <row r="1" spans="1:10" x14ac:dyDescent="0.2">
      <c r="B1" s="39" t="s">
        <v>86</v>
      </c>
    </row>
    <row r="2" spans="1:10" x14ac:dyDescent="0.2">
      <c r="B2" s="39" t="s">
        <v>87</v>
      </c>
    </row>
    <row r="3" spans="1:10" x14ac:dyDescent="0.2">
      <c r="B3" s="38" t="s">
        <v>88</v>
      </c>
    </row>
    <row r="4" spans="1:10" ht="13.8" x14ac:dyDescent="0.25">
      <c r="A4" s="42" t="s">
        <v>89</v>
      </c>
      <c r="B4" s="43"/>
    </row>
    <row r="5" spans="1:10" ht="10.8" thickBot="1" x14ac:dyDescent="0.25">
      <c r="A5" s="42"/>
      <c r="B5" s="132"/>
      <c r="E5" s="45"/>
      <c r="F5" s="45"/>
      <c r="I5" s="45"/>
    </row>
    <row r="6" spans="1:10" ht="6" customHeight="1" thickBot="1" x14ac:dyDescent="0.25">
      <c r="A6" s="543"/>
      <c r="B6" s="543"/>
      <c r="C6" s="543"/>
      <c r="D6" s="543"/>
      <c r="E6" s="543"/>
      <c r="F6" s="543"/>
    </row>
    <row r="7" spans="1:10" ht="16.2" thickBot="1" x14ac:dyDescent="0.35">
      <c r="A7" s="42" t="s">
        <v>20</v>
      </c>
      <c r="B7" s="304" t="s">
        <v>90</v>
      </c>
    </row>
    <row r="8" spans="1:10" ht="13.8" thickBot="1" x14ac:dyDescent="0.3">
      <c r="A8" s="42"/>
      <c r="B8" s="544" t="s">
        <v>91</v>
      </c>
      <c r="C8" s="545"/>
      <c r="D8" s="545"/>
      <c r="E8" s="545"/>
      <c r="F8" s="546"/>
      <c r="H8" s="39"/>
    </row>
    <row r="9" spans="1:10" ht="15.6" x14ac:dyDescent="0.3">
      <c r="A9" s="42"/>
      <c r="B9" s="228"/>
      <c r="C9" s="149" t="str">
        <f>[1]Program_MASTER!$B$102</f>
        <v>TOTAL Days Mobilized On Site</v>
      </c>
      <c r="D9" s="42"/>
      <c r="E9" s="38"/>
      <c r="F9" s="38"/>
      <c r="I9" s="317"/>
      <c r="J9" s="20"/>
    </row>
    <row r="10" spans="1:10" ht="15.6" x14ac:dyDescent="0.3">
      <c r="A10" s="42"/>
      <c r="B10" s="228"/>
      <c r="C10" s="149" t="str">
        <f>[1]Program_MASTER!B103</f>
        <v>Months Mobilized</v>
      </c>
      <c r="D10" s="42"/>
      <c r="E10" s="38"/>
      <c r="F10" s="38"/>
    </row>
    <row r="11" spans="1:10" ht="15.6" x14ac:dyDescent="0.3">
      <c r="A11" s="42"/>
      <c r="B11" s="228"/>
      <c r="C11" s="149" t="str">
        <f>[1]Program_MASTER!B104</f>
        <v>Work Weeks' Mobilized On Site</v>
      </c>
      <c r="D11" s="42"/>
      <c r="E11" s="38"/>
      <c r="F11" s="38"/>
      <c r="H11" s="42"/>
    </row>
    <row r="12" spans="1:10" ht="15.6" x14ac:dyDescent="0.3">
      <c r="A12" s="42"/>
      <c r="B12" s="228"/>
      <c r="C12" s="149" t="str">
        <f>[1]Program_MASTER!B105</f>
        <v>Work Days</v>
      </c>
      <c r="D12" s="42"/>
      <c r="E12" s="44"/>
      <c r="F12" s="305"/>
      <c r="I12" s="47"/>
      <c r="J12" s="317"/>
    </row>
    <row r="13" spans="1:10" ht="15.6" x14ac:dyDescent="0.3">
      <c r="A13" s="42"/>
      <c r="B13" s="228"/>
      <c r="C13" s="547" t="s">
        <v>92</v>
      </c>
      <c r="D13" s="547"/>
      <c r="E13" s="547"/>
      <c r="F13" s="547"/>
      <c r="I13" s="47"/>
    </row>
    <row r="14" spans="1:10" x14ac:dyDescent="0.2">
      <c r="A14" s="42"/>
      <c r="B14" s="149" t="str">
        <f>'LabourProject Rates_Master'!$B$14</f>
        <v>TRADESMAN_LEADING HAND</v>
      </c>
      <c r="C14" s="40" t="s">
        <v>93</v>
      </c>
      <c r="D14" s="42"/>
      <c r="E14" s="50">
        <f>E36</f>
        <v>1231.1428571428571</v>
      </c>
      <c r="F14" s="302">
        <f>D14*E14</f>
        <v>0</v>
      </c>
    </row>
    <row r="15" spans="1:10" x14ac:dyDescent="0.2">
      <c r="A15" s="42"/>
      <c r="B15" s="149" t="str">
        <f>'LabourProject Rates_Master'!$B$23</f>
        <v>TRADESMAN_PLUMBER_OPERATOR</v>
      </c>
      <c r="C15" s="40" t="s">
        <v>93</v>
      </c>
      <c r="D15" s="42"/>
      <c r="E15" s="50">
        <f t="shared" ref="E15:E18" si="0">E37</f>
        <v>941.16472848788635</v>
      </c>
      <c r="F15" s="302">
        <f t="shared" ref="F15:F18" si="1">D15*E15</f>
        <v>0</v>
      </c>
      <c r="H15" s="39"/>
    </row>
    <row r="16" spans="1:10" x14ac:dyDescent="0.2">
      <c r="A16" s="42"/>
      <c r="B16" s="149" t="str">
        <f>'LabourProject Rates_Master'!$B$30</f>
        <v>T/A &amp; Apprentice</v>
      </c>
      <c r="C16" s="40" t="s">
        <v>93</v>
      </c>
      <c r="D16" s="42"/>
      <c r="E16" s="50">
        <f t="shared" si="0"/>
        <v>768.06507936507944</v>
      </c>
      <c r="F16" s="302">
        <f t="shared" si="1"/>
        <v>0</v>
      </c>
      <c r="I16" s="47"/>
    </row>
    <row r="17" spans="1:8" x14ac:dyDescent="0.2">
      <c r="A17" s="42"/>
      <c r="B17" s="149" t="str">
        <f>'LabourProject Rates_Master'!$B$36</f>
        <v>Crew #1 - InGround Drainage</v>
      </c>
      <c r="C17" s="40" t="s">
        <v>93</v>
      </c>
      <c r="D17" s="42"/>
      <c r="E17" s="50">
        <f t="shared" si="0"/>
        <v>2650.394536340852</v>
      </c>
      <c r="F17" s="302">
        <f t="shared" si="1"/>
        <v>0</v>
      </c>
    </row>
    <row r="18" spans="1:8" x14ac:dyDescent="0.2">
      <c r="A18" s="42"/>
      <c r="B18" s="149" t="str">
        <f>'LabourProject Rates_Master'!$B$43</f>
        <v>Crew #2 - InGround Water/Fire</v>
      </c>
      <c r="C18" s="40" t="s">
        <v>93</v>
      </c>
      <c r="D18" s="42"/>
      <c r="E18" s="50">
        <f t="shared" si="0"/>
        <v>2650.394536340852</v>
      </c>
      <c r="F18" s="302">
        <f t="shared" si="1"/>
        <v>0</v>
      </c>
    </row>
    <row r="19" spans="1:8" ht="15.6" x14ac:dyDescent="0.3">
      <c r="A19" s="42"/>
      <c r="B19" s="228"/>
      <c r="C19" s="149"/>
      <c r="D19" s="42"/>
      <c r="E19" s="306" t="s">
        <v>94</v>
      </c>
      <c r="F19" s="305">
        <f>SUM(F14:F18)</f>
        <v>0</v>
      </c>
    </row>
    <row r="20" spans="1:8" ht="15.6" x14ac:dyDescent="0.3">
      <c r="A20" s="42"/>
      <c r="B20" s="228"/>
      <c r="C20" s="547" t="s">
        <v>95</v>
      </c>
      <c r="D20" s="547"/>
      <c r="E20" s="547"/>
      <c r="F20" s="547"/>
    </row>
    <row r="21" spans="1:8" ht="15.6" x14ac:dyDescent="0.3">
      <c r="A21" s="42"/>
      <c r="B21" s="228"/>
      <c r="C21" s="149"/>
      <c r="D21" s="42"/>
      <c r="E21" s="307" t="s">
        <v>96</v>
      </c>
      <c r="F21" s="394">
        <v>0</v>
      </c>
    </row>
    <row r="22" spans="1:8" ht="15.6" x14ac:dyDescent="0.3">
      <c r="A22" s="42"/>
      <c r="B22" s="228"/>
      <c r="C22" s="149"/>
      <c r="D22" s="42"/>
      <c r="E22" s="307" t="s">
        <v>97</v>
      </c>
      <c r="F22" s="394">
        <v>0</v>
      </c>
    </row>
    <row r="23" spans="1:8" ht="15.6" x14ac:dyDescent="0.3">
      <c r="A23" s="42"/>
      <c r="B23" s="228"/>
      <c r="C23" s="149"/>
      <c r="D23" s="42"/>
      <c r="E23" s="307" t="s">
        <v>98</v>
      </c>
      <c r="F23" s="394">
        <v>0</v>
      </c>
    </row>
    <row r="24" spans="1:8" ht="15.6" x14ac:dyDescent="0.3">
      <c r="A24" s="42"/>
      <c r="B24" s="228"/>
      <c r="C24" s="149"/>
      <c r="D24" s="42"/>
      <c r="E24" s="307" t="s">
        <v>99</v>
      </c>
      <c r="F24" s="394">
        <v>0</v>
      </c>
    </row>
    <row r="25" spans="1:8" ht="15.6" x14ac:dyDescent="0.3">
      <c r="A25" s="42"/>
      <c r="B25" s="228"/>
      <c r="C25" s="149"/>
      <c r="D25" s="42"/>
      <c r="E25" s="307" t="s">
        <v>100</v>
      </c>
      <c r="F25" s="394">
        <v>0</v>
      </c>
    </row>
    <row r="26" spans="1:8" ht="15.6" x14ac:dyDescent="0.3">
      <c r="A26" s="42"/>
      <c r="B26" s="228"/>
      <c r="C26" s="149"/>
      <c r="D26" s="42"/>
      <c r="E26" s="44"/>
      <c r="F26" s="305">
        <f>SUM(F21:F25)</f>
        <v>0</v>
      </c>
    </row>
    <row r="27" spans="1:8" ht="15.6" x14ac:dyDescent="0.3">
      <c r="A27" s="42"/>
      <c r="B27" s="228"/>
      <c r="C27" s="149"/>
      <c r="D27" s="42"/>
      <c r="E27" s="309" t="s">
        <v>101</v>
      </c>
      <c r="F27" s="310">
        <f>F26-F19</f>
        <v>0</v>
      </c>
    </row>
    <row r="28" spans="1:8" ht="15.6" x14ac:dyDescent="0.3">
      <c r="A28" s="42"/>
      <c r="B28" s="228"/>
      <c r="C28" s="42"/>
      <c r="D28" s="42"/>
      <c r="E28" s="44"/>
      <c r="F28" s="44"/>
    </row>
    <row r="29" spans="1:8" ht="16.2" thickBot="1" x14ac:dyDescent="0.35">
      <c r="A29" s="42"/>
      <c r="B29" s="228"/>
      <c r="C29" s="42" t="s">
        <v>102</v>
      </c>
      <c r="D29" s="42" t="s">
        <v>103</v>
      </c>
      <c r="E29" s="44" t="s">
        <v>104</v>
      </c>
      <c r="F29" s="44" t="s">
        <v>105</v>
      </c>
    </row>
    <row r="30" spans="1:8" ht="13.95" customHeight="1" thickBot="1" x14ac:dyDescent="0.3">
      <c r="A30" s="42"/>
      <c r="B30" s="544" t="s">
        <v>106</v>
      </c>
      <c r="C30" s="545"/>
      <c r="D30" s="545"/>
      <c r="E30" s="545"/>
      <c r="F30" s="546"/>
      <c r="H30" s="38"/>
    </row>
    <row r="31" spans="1:8" ht="15.6" x14ac:dyDescent="0.3">
      <c r="A31" s="42"/>
      <c r="B31" s="228"/>
    </row>
    <row r="32" spans="1:8" ht="15.6" x14ac:dyDescent="0.3">
      <c r="A32" s="42"/>
      <c r="B32" s="228"/>
    </row>
    <row r="33" spans="1:12" x14ac:dyDescent="0.2">
      <c r="A33" s="42"/>
      <c r="B33" s="216" t="s">
        <v>107</v>
      </c>
    </row>
    <row r="34" spans="1:12" ht="7.2" customHeight="1" x14ac:dyDescent="0.3">
      <c r="A34" s="42"/>
      <c r="B34" s="228"/>
    </row>
    <row r="35" spans="1:12" x14ac:dyDescent="0.2">
      <c r="A35" s="42"/>
      <c r="B35" s="38" t="s">
        <v>108</v>
      </c>
      <c r="C35" s="40" t="s">
        <v>109</v>
      </c>
      <c r="D35" s="40">
        <v>4</v>
      </c>
      <c r="E35" s="197">
        <v>2423.8309956709954</v>
      </c>
      <c r="F35" s="41">
        <f>D35*E35</f>
        <v>9695.3239826839817</v>
      </c>
      <c r="H35" s="189"/>
      <c r="I35" s="190"/>
    </row>
    <row r="36" spans="1:12" s="40" customFormat="1" x14ac:dyDescent="0.2">
      <c r="A36" s="38"/>
      <c r="B36" s="38" t="str">
        <f>'LabourProject Rates_Master'!$B$14</f>
        <v>TRADESMAN_LEADING HAND</v>
      </c>
      <c r="C36" s="40" t="s">
        <v>93</v>
      </c>
      <c r="D36" s="40">
        <v>14</v>
      </c>
      <c r="E36" s="48">
        <f>'LabourProject Rates_Master'!$E$15</f>
        <v>1231.1428571428571</v>
      </c>
      <c r="F36" s="48">
        <f t="shared" ref="F36:F40" si="2">E36*D36</f>
        <v>17236</v>
      </c>
      <c r="G36" s="38"/>
      <c r="I36" s="38"/>
      <c r="J36" s="38"/>
      <c r="K36" s="38"/>
      <c r="L36" s="38"/>
    </row>
    <row r="37" spans="1:12" s="40" customFormat="1" ht="11.4" customHeight="1" x14ac:dyDescent="0.2">
      <c r="A37" s="38"/>
      <c r="B37" s="38" t="str">
        <f>'LabourProject Rates_Master'!$B$23</f>
        <v>TRADESMAN_PLUMBER_OPERATOR</v>
      </c>
      <c r="C37" s="40" t="s">
        <v>93</v>
      </c>
      <c r="D37" s="40">
        <v>14</v>
      </c>
      <c r="E37" s="48">
        <f>'LabourProject Rates_Master'!$E$22</f>
        <v>941.16472848788635</v>
      </c>
      <c r="F37" s="48">
        <f t="shared" si="2"/>
        <v>13176.306198830409</v>
      </c>
      <c r="G37" s="47"/>
      <c r="I37" s="38"/>
      <c r="J37" s="38"/>
      <c r="K37" s="38"/>
      <c r="L37" s="38"/>
    </row>
    <row r="38" spans="1:12" s="40" customFormat="1" ht="11.4" customHeight="1" x14ac:dyDescent="0.2">
      <c r="A38" s="42"/>
      <c r="B38" s="38" t="str">
        <f>'LabourProject Rates_Master'!$B$30</f>
        <v>T/A &amp; Apprentice</v>
      </c>
      <c r="C38" s="40" t="s">
        <v>93</v>
      </c>
      <c r="D38" s="40">
        <v>7</v>
      </c>
      <c r="E38" s="48">
        <f>'LabourProject Rates_Master'!$E$29</f>
        <v>768.06507936507944</v>
      </c>
      <c r="F38" s="48">
        <f t="shared" si="2"/>
        <v>5376.4555555555562</v>
      </c>
      <c r="G38" s="38"/>
      <c r="I38" s="38"/>
      <c r="J38" s="38"/>
      <c r="K38" s="38"/>
      <c r="L38" s="38"/>
    </row>
    <row r="39" spans="1:12" s="40" customFormat="1" ht="11.4" customHeight="1" x14ac:dyDescent="0.2">
      <c r="A39" s="42"/>
      <c r="B39" s="38" t="str">
        <f>'LabourProject Rates_Master'!$B$36</f>
        <v>Crew #1 - InGround Drainage</v>
      </c>
      <c r="C39" s="40" t="s">
        <v>93</v>
      </c>
      <c r="D39" s="40">
        <v>5</v>
      </c>
      <c r="E39" s="48">
        <f>'LabourProject Rates_Master'!$E$37</f>
        <v>2650.394536340852</v>
      </c>
      <c r="F39" s="48">
        <f t="shared" si="2"/>
        <v>13251.972681704261</v>
      </c>
      <c r="G39" s="38"/>
      <c r="I39" s="38"/>
      <c r="J39" s="38"/>
      <c r="K39" s="38"/>
      <c r="L39" s="38"/>
    </row>
    <row r="40" spans="1:12" s="40" customFormat="1" x14ac:dyDescent="0.2">
      <c r="A40" s="42"/>
      <c r="B40" s="38" t="str">
        <f>'LabourProject Rates_Master'!$B$43</f>
        <v>Crew #2 - InGround Water/Fire</v>
      </c>
      <c r="C40" s="40" t="s">
        <v>93</v>
      </c>
      <c r="D40" s="40">
        <v>0</v>
      </c>
      <c r="E40" s="48">
        <f>'LabourProject Rates_Master'!$E$44</f>
        <v>2650.394536340852</v>
      </c>
      <c r="F40" s="48">
        <f t="shared" si="2"/>
        <v>0</v>
      </c>
      <c r="G40" s="38"/>
      <c r="I40" s="38"/>
      <c r="J40" s="38"/>
      <c r="K40" s="38"/>
      <c r="L40" s="38"/>
    </row>
    <row r="41" spans="1:12" s="40" customFormat="1" x14ac:dyDescent="0.2">
      <c r="A41" s="42"/>
      <c r="B41" s="38"/>
      <c r="D41" s="48"/>
      <c r="E41" s="48"/>
      <c r="F41" s="48"/>
      <c r="G41" s="38"/>
      <c r="I41" s="38"/>
      <c r="J41" s="38"/>
      <c r="K41" s="38"/>
      <c r="L41" s="38"/>
    </row>
    <row r="42" spans="1:12" s="40" customFormat="1" x14ac:dyDescent="0.2">
      <c r="A42" s="42"/>
      <c r="B42" s="216" t="s">
        <v>110</v>
      </c>
      <c r="D42" s="48"/>
      <c r="E42" s="48"/>
      <c r="F42" s="48"/>
      <c r="G42" s="38"/>
      <c r="I42" s="38"/>
      <c r="J42" s="38"/>
      <c r="K42" s="38"/>
      <c r="L42" s="38"/>
    </row>
    <row r="43" spans="1:12" s="40" customFormat="1" x14ac:dyDescent="0.2">
      <c r="A43" s="42"/>
      <c r="B43" s="38"/>
      <c r="D43" s="48"/>
      <c r="E43" s="48"/>
      <c r="F43" s="48"/>
      <c r="G43" s="38"/>
      <c r="I43" s="38"/>
      <c r="J43" s="38"/>
      <c r="K43" s="38"/>
      <c r="L43" s="38"/>
    </row>
    <row r="44" spans="1:12" s="40" customFormat="1" x14ac:dyDescent="0.2">
      <c r="A44" s="42"/>
      <c r="B44" s="38" t="str">
        <f>'LabourProject Rates_Master'!$B$14</f>
        <v>TRADESMAN_LEADING HAND</v>
      </c>
      <c r="C44" s="40" t="s">
        <v>93</v>
      </c>
      <c r="D44" s="230">
        <v>5</v>
      </c>
      <c r="E44" s="48">
        <f>'LabourProject Rates_Master'!$E$15</f>
        <v>1231.1428571428571</v>
      </c>
      <c r="F44" s="48">
        <f t="shared" ref="F44" si="3">E44*D44</f>
        <v>6155.7142857142853</v>
      </c>
      <c r="G44" s="38" t="s">
        <v>111</v>
      </c>
      <c r="I44" s="38"/>
      <c r="J44" s="38"/>
      <c r="K44" s="38"/>
      <c r="L44" s="38"/>
    </row>
    <row r="45" spans="1:12" s="40" customFormat="1" x14ac:dyDescent="0.2">
      <c r="A45" s="42"/>
      <c r="B45" s="38" t="s">
        <v>112</v>
      </c>
      <c r="C45" s="40" t="s">
        <v>93</v>
      </c>
      <c r="D45" s="230">
        <f>[1]Program_MASTER!$C$144</f>
        <v>44</v>
      </c>
      <c r="E45" s="48">
        <v>120</v>
      </c>
      <c r="F45" s="48">
        <f t="shared" ref="F45" si="4">E45*D45</f>
        <v>5280</v>
      </c>
      <c r="G45" s="201" t="s">
        <v>113</v>
      </c>
      <c r="I45" s="38"/>
      <c r="J45" s="38"/>
      <c r="K45" s="38"/>
      <c r="L45" s="38"/>
    </row>
    <row r="46" spans="1:12" s="40" customFormat="1" x14ac:dyDescent="0.2">
      <c r="A46" s="42"/>
      <c r="B46" s="38" t="s">
        <v>114</v>
      </c>
      <c r="C46" s="40" t="s">
        <v>115</v>
      </c>
      <c r="D46" s="230">
        <v>20</v>
      </c>
      <c r="E46" s="48">
        <v>200</v>
      </c>
      <c r="F46" s="48">
        <f t="shared" ref="F46" si="5">E46*D46</f>
        <v>4000</v>
      </c>
      <c r="G46" s="38"/>
      <c r="I46" s="38"/>
      <c r="J46" s="38"/>
      <c r="K46" s="38"/>
      <c r="L46" s="38"/>
    </row>
    <row r="47" spans="1:12" s="40" customFormat="1" x14ac:dyDescent="0.2">
      <c r="A47" s="42"/>
      <c r="B47" s="38"/>
      <c r="D47" s="48"/>
      <c r="E47" s="48"/>
      <c r="F47" s="48"/>
      <c r="G47" s="38"/>
      <c r="I47" s="38"/>
      <c r="J47" s="38"/>
      <c r="K47" s="38"/>
      <c r="L47" s="38"/>
    </row>
    <row r="48" spans="1:12" s="40" customFormat="1" x14ac:dyDescent="0.2">
      <c r="A48" s="42"/>
      <c r="B48" s="38"/>
      <c r="D48" s="48"/>
      <c r="E48" s="48"/>
      <c r="F48" s="48"/>
      <c r="G48" s="38"/>
      <c r="I48" s="38"/>
      <c r="J48" s="38"/>
      <c r="K48" s="38"/>
      <c r="L48" s="38"/>
    </row>
    <row r="49" spans="1:12" s="40" customFormat="1" x14ac:dyDescent="0.2">
      <c r="A49" s="42"/>
      <c r="B49" s="38"/>
      <c r="D49" s="48"/>
      <c r="E49" s="48"/>
      <c r="F49" s="48"/>
      <c r="G49" s="38"/>
      <c r="I49" s="38"/>
      <c r="J49" s="38"/>
      <c r="K49" s="38"/>
      <c r="L49" s="38"/>
    </row>
    <row r="50" spans="1:12" ht="16.2" thickBot="1" x14ac:dyDescent="0.35">
      <c r="A50" s="42"/>
      <c r="B50" s="227"/>
    </row>
    <row r="51" spans="1:12" ht="13.95" customHeight="1" thickBot="1" x14ac:dyDescent="0.3">
      <c r="A51" s="42"/>
      <c r="B51" s="544" t="s">
        <v>116</v>
      </c>
      <c r="C51" s="545"/>
      <c r="D51" s="545"/>
      <c r="E51" s="545"/>
      <c r="F51" s="546"/>
      <c r="H51" s="38"/>
    </row>
    <row r="52" spans="1:12" x14ac:dyDescent="0.2">
      <c r="A52" s="42"/>
      <c r="B52" s="212" t="s">
        <v>117</v>
      </c>
      <c r="C52" s="42"/>
      <c r="D52" s="42"/>
      <c r="E52" s="44"/>
      <c r="F52" s="44"/>
      <c r="G52" s="44"/>
      <c r="H52" s="44"/>
      <c r="I52" s="223"/>
      <c r="J52" s="223"/>
      <c r="K52" s="223"/>
    </row>
    <row r="53" spans="1:12" x14ac:dyDescent="0.2">
      <c r="A53" s="42"/>
      <c r="B53" s="38" t="str">
        <f>'LabourProject Rates_Master'!B100</f>
        <v>Full Apartment / TownHouse / Unit - VIA AGENT</v>
      </c>
      <c r="C53" s="40" t="s">
        <v>118</v>
      </c>
      <c r="D53" s="230">
        <v>12</v>
      </c>
      <c r="E53" s="197">
        <f>'LabourProject Rates_Master'!E103</f>
        <v>4606.060606060606</v>
      </c>
      <c r="F53" s="48">
        <f>D53*E53</f>
        <v>55272.727272727272</v>
      </c>
      <c r="G53" s="47" t="s">
        <v>119</v>
      </c>
      <c r="I53" s="231"/>
      <c r="J53" s="236"/>
      <c r="K53" s="190"/>
    </row>
    <row r="54" spans="1:12" x14ac:dyDescent="0.2">
      <c r="A54" s="42"/>
      <c r="B54" s="38" t="str">
        <f>'LabourProject Rates_Master'!B100</f>
        <v>Full Apartment / TownHouse / Unit - VIA AGENT</v>
      </c>
      <c r="C54" s="40" t="s">
        <v>118</v>
      </c>
      <c r="D54" s="230">
        <v>0</v>
      </c>
      <c r="E54" s="197">
        <f>'LabourProject Rates_Master'!E103</f>
        <v>4606.060606060606</v>
      </c>
      <c r="F54" s="48">
        <f>D54*E54</f>
        <v>0</v>
      </c>
      <c r="G54" s="47" t="s">
        <v>119</v>
      </c>
      <c r="I54" s="231"/>
      <c r="J54" s="236"/>
      <c r="K54" s="190"/>
    </row>
    <row r="55" spans="1:12" x14ac:dyDescent="0.2">
      <c r="A55" s="42"/>
      <c r="E55" s="197"/>
      <c r="F55" s="48"/>
      <c r="G55" s="47"/>
      <c r="I55" s="231"/>
      <c r="J55" s="236"/>
      <c r="K55" s="190"/>
    </row>
    <row r="56" spans="1:12" x14ac:dyDescent="0.2">
      <c r="A56" s="42"/>
      <c r="B56" s="38" t="s">
        <v>120</v>
      </c>
      <c r="E56" s="197"/>
      <c r="F56" s="48"/>
      <c r="G56" s="47"/>
      <c r="H56" s="40" t="s">
        <v>121</v>
      </c>
      <c r="I56" s="231"/>
      <c r="J56" s="236"/>
      <c r="K56" s="190"/>
    </row>
    <row r="57" spans="1:12" x14ac:dyDescent="0.2">
      <c r="A57" s="42"/>
      <c r="B57" s="149" t="str">
        <f>'LabourProject Rates_Master'!$B$14</f>
        <v>TRADESMAN_LEADING HAND</v>
      </c>
      <c r="E57" s="197"/>
      <c r="F57" s="48"/>
      <c r="G57" s="317">
        <f>D14</f>
        <v>0</v>
      </c>
      <c r="H57" s="319">
        <f>'LabourProject Rates_Master'!$E$109</f>
        <v>103.24675324675326</v>
      </c>
      <c r="I57" s="320">
        <f>H57*G57</f>
        <v>0</v>
      </c>
      <c r="J57" s="236"/>
      <c r="K57" s="190"/>
    </row>
    <row r="58" spans="1:12" x14ac:dyDescent="0.2">
      <c r="A58" s="42"/>
      <c r="B58" s="149" t="str">
        <f>'LabourProject Rates_Master'!$B$23</f>
        <v>TRADESMAN_PLUMBER_OPERATOR</v>
      </c>
      <c r="E58" s="197"/>
      <c r="F58" s="48"/>
      <c r="G58" s="317">
        <f>D15</f>
        <v>0</v>
      </c>
      <c r="H58" s="319">
        <f>'LabourProject Rates_Master'!$E$109</f>
        <v>103.24675324675326</v>
      </c>
      <c r="I58" s="320">
        <f t="shared" ref="I58:I60" si="6">H58*G58</f>
        <v>0</v>
      </c>
      <c r="J58" s="236"/>
      <c r="K58" s="190"/>
    </row>
    <row r="59" spans="1:12" x14ac:dyDescent="0.2">
      <c r="A59" s="42"/>
      <c r="B59" s="149" t="str">
        <f>'LabourProject Rates_Master'!$B$30</f>
        <v>T/A &amp; Apprentice</v>
      </c>
      <c r="E59" s="197"/>
      <c r="F59" s="48"/>
      <c r="G59" s="317">
        <f>D16</f>
        <v>0</v>
      </c>
      <c r="H59" s="319">
        <f>'LabourProject Rates_Master'!$E$109</f>
        <v>103.24675324675326</v>
      </c>
      <c r="I59" s="320">
        <f t="shared" si="6"/>
        <v>0</v>
      </c>
      <c r="J59" s="236"/>
      <c r="K59" s="190"/>
    </row>
    <row r="60" spans="1:12" x14ac:dyDescent="0.2">
      <c r="A60" s="42"/>
      <c r="B60" s="149" t="str">
        <f>'LabourProject Rates_Master'!$B$36</f>
        <v>Crew #1 - InGround Drainage</v>
      </c>
      <c r="E60" s="197"/>
      <c r="F60" s="48"/>
      <c r="G60" s="317">
        <f>D17*3</f>
        <v>0</v>
      </c>
      <c r="H60" s="319">
        <f>'LabourProject Rates_Master'!$E$109</f>
        <v>103.24675324675326</v>
      </c>
      <c r="I60" s="320">
        <f t="shared" si="6"/>
        <v>0</v>
      </c>
      <c r="J60" s="236"/>
      <c r="K60" s="190"/>
    </row>
    <row r="61" spans="1:12" x14ac:dyDescent="0.2">
      <c r="A61" s="42"/>
      <c r="E61" s="197"/>
      <c r="F61" s="48"/>
      <c r="G61" s="47"/>
      <c r="I61" s="231"/>
      <c r="J61" s="236"/>
      <c r="K61" s="190"/>
    </row>
    <row r="62" spans="1:12" x14ac:dyDescent="0.2">
      <c r="A62" s="42"/>
      <c r="B62" s="212" t="s">
        <v>122</v>
      </c>
      <c r="E62" s="197"/>
      <c r="F62" s="48"/>
      <c r="I62" s="231"/>
      <c r="J62" s="236"/>
      <c r="K62" s="190"/>
    </row>
    <row r="63" spans="1:12" x14ac:dyDescent="0.2">
      <c r="A63" s="42"/>
      <c r="B63" s="38" t="str">
        <f>'LabourProject Rates_Master'!B110</f>
        <v>TCS Cost Per Person - Private Unit - NO SHARE - Nightly Booking (average allowance)</v>
      </c>
      <c r="C63" s="40" t="s">
        <v>109</v>
      </c>
      <c r="D63" s="230">
        <v>20</v>
      </c>
      <c r="E63" s="197">
        <f>Accomodation_Master!$F$343</f>
        <v>112.85714285714286</v>
      </c>
      <c r="F63" s="48">
        <f>D63*E63</f>
        <v>2257.1428571428573</v>
      </c>
      <c r="I63" s="231"/>
      <c r="J63" s="236"/>
      <c r="K63" s="190"/>
    </row>
    <row r="64" spans="1:12" x14ac:dyDescent="0.2">
      <c r="A64" s="42"/>
      <c r="E64" s="197"/>
      <c r="F64" s="48"/>
      <c r="I64" s="231"/>
      <c r="J64" s="236"/>
      <c r="K64" s="190"/>
    </row>
    <row r="65" spans="1:12" x14ac:dyDescent="0.2">
      <c r="A65" s="42"/>
      <c r="B65" s="38" t="s">
        <v>112</v>
      </c>
      <c r="C65" s="40" t="s">
        <v>109</v>
      </c>
      <c r="D65" s="230">
        <v>20</v>
      </c>
      <c r="E65" s="197">
        <v>140</v>
      </c>
      <c r="F65" s="48">
        <f>D65*E65</f>
        <v>2800</v>
      </c>
      <c r="G65" s="38" t="s">
        <v>123</v>
      </c>
      <c r="I65" s="231"/>
      <c r="J65" s="236"/>
      <c r="K65" s="190"/>
    </row>
    <row r="66" spans="1:12" x14ac:dyDescent="0.2">
      <c r="A66" s="42"/>
      <c r="E66" s="197"/>
      <c r="F66" s="48"/>
      <c r="G66" s="47">
        <f>SUM(F53:F66)</f>
        <v>60329.870129870127</v>
      </c>
      <c r="I66" s="321">
        <f>SUM(I57:I65)</f>
        <v>0</v>
      </c>
      <c r="J66" s="236"/>
      <c r="K66" s="190"/>
    </row>
    <row r="67" spans="1:12" ht="10.8" thickBot="1" x14ac:dyDescent="0.25">
      <c r="A67" s="42"/>
      <c r="C67" s="42"/>
      <c r="D67" s="42"/>
      <c r="E67" s="44"/>
      <c r="F67" s="44"/>
    </row>
    <row r="68" spans="1:12" ht="13.95" customHeight="1" thickBot="1" x14ac:dyDescent="0.3">
      <c r="A68" s="42"/>
      <c r="B68" s="544" t="s">
        <v>124</v>
      </c>
      <c r="C68" s="545"/>
      <c r="D68" s="545"/>
      <c r="E68" s="545"/>
      <c r="F68" s="546"/>
      <c r="H68" s="38"/>
    </row>
    <row r="69" spans="1:12" x14ac:dyDescent="0.2">
      <c r="A69" s="42"/>
      <c r="C69" s="42"/>
      <c r="D69" s="42"/>
      <c r="E69" s="44"/>
      <c r="F69" s="38"/>
    </row>
    <row r="70" spans="1:12" s="40" customFormat="1" x14ac:dyDescent="0.2">
      <c r="A70" s="38"/>
      <c r="B70" s="57" t="s">
        <v>125</v>
      </c>
      <c r="C70" s="230" t="s">
        <v>93</v>
      </c>
      <c r="D70" s="230">
        <f>D14</f>
        <v>0</v>
      </c>
      <c r="E70" s="249">
        <v>90</v>
      </c>
      <c r="F70" s="229">
        <f t="shared" ref="F70" si="7">D70*E70</f>
        <v>0</v>
      </c>
      <c r="I70" s="38"/>
      <c r="J70" s="38"/>
      <c r="K70" s="38"/>
      <c r="L70" s="38"/>
    </row>
    <row r="71" spans="1:12" s="40" customFormat="1" x14ac:dyDescent="0.2">
      <c r="A71" s="38"/>
      <c r="B71" s="57" t="s">
        <v>126</v>
      </c>
      <c r="C71" s="230" t="s">
        <v>93</v>
      </c>
      <c r="D71" s="230">
        <f>D15</f>
        <v>0</v>
      </c>
      <c r="E71" s="249">
        <v>60</v>
      </c>
      <c r="F71" s="229">
        <f t="shared" ref="F71:F72" si="8">D71*E71</f>
        <v>0</v>
      </c>
      <c r="I71" s="38"/>
      <c r="J71" s="38"/>
      <c r="K71" s="38"/>
      <c r="L71" s="38"/>
    </row>
    <row r="72" spans="1:12" s="40" customFormat="1" x14ac:dyDescent="0.2">
      <c r="A72" s="38"/>
      <c r="B72" s="57" t="s">
        <v>127</v>
      </c>
      <c r="C72" s="230" t="s">
        <v>93</v>
      </c>
      <c r="D72" s="230">
        <f>D16</f>
        <v>0</v>
      </c>
      <c r="E72" s="249">
        <v>40</v>
      </c>
      <c r="F72" s="229">
        <f t="shared" si="8"/>
        <v>0</v>
      </c>
      <c r="I72" s="38"/>
      <c r="J72" s="38"/>
      <c r="K72" s="38"/>
      <c r="L72" s="38"/>
    </row>
    <row r="73" spans="1:12" s="40" customFormat="1" x14ac:dyDescent="0.2">
      <c r="A73" s="38"/>
      <c r="B73" s="38"/>
      <c r="E73" s="197"/>
      <c r="F73" s="41"/>
      <c r="I73" s="38"/>
      <c r="J73" s="38"/>
      <c r="K73" s="38"/>
      <c r="L73" s="38"/>
    </row>
    <row r="74" spans="1:12" s="40" customFormat="1" x14ac:dyDescent="0.2">
      <c r="A74" s="38"/>
      <c r="B74" s="57" t="s">
        <v>128</v>
      </c>
      <c r="C74" s="230" t="s">
        <v>93</v>
      </c>
      <c r="D74" s="230">
        <v>40</v>
      </c>
      <c r="E74" s="249">
        <v>90</v>
      </c>
      <c r="F74" s="229">
        <f t="shared" ref="F74" si="9">D74*E74</f>
        <v>3600</v>
      </c>
      <c r="I74" s="38"/>
      <c r="J74" s="38"/>
      <c r="K74" s="38"/>
      <c r="L74" s="38"/>
    </row>
    <row r="75" spans="1:12" s="40" customFormat="1" x14ac:dyDescent="0.2">
      <c r="A75" s="38"/>
      <c r="B75" s="38"/>
      <c r="E75" s="197"/>
      <c r="F75" s="41"/>
      <c r="I75" s="38"/>
      <c r="J75" s="38"/>
      <c r="K75" s="38"/>
      <c r="L75" s="38"/>
    </row>
    <row r="76" spans="1:12" s="40" customFormat="1" x14ac:dyDescent="0.2">
      <c r="A76" s="38"/>
      <c r="B76" s="38"/>
      <c r="E76" s="197"/>
      <c r="F76" s="41"/>
      <c r="I76" s="38"/>
      <c r="J76" s="38"/>
      <c r="K76" s="38"/>
      <c r="L76" s="38"/>
    </row>
    <row r="77" spans="1:12" s="40" customFormat="1" x14ac:dyDescent="0.2">
      <c r="A77" s="38"/>
      <c r="B77" s="38" t="str">
        <f>'Equip&amp;HIRE_Master'!A40</f>
        <v>Porta Loo_No Tank</v>
      </c>
      <c r="C77" s="40" t="s">
        <v>93</v>
      </c>
      <c r="D77" s="40">
        <v>40</v>
      </c>
      <c r="E77" s="197">
        <f>'Equip&amp;HIRE_Master'!D40</f>
        <v>5.46</v>
      </c>
      <c r="F77" s="41">
        <f>D77*E77</f>
        <v>218.4</v>
      </c>
      <c r="I77" s="38"/>
      <c r="J77" s="38"/>
      <c r="K77" s="38"/>
      <c r="L77" s="38"/>
    </row>
    <row r="78" spans="1:12" s="40" customFormat="1" x14ac:dyDescent="0.2">
      <c r="A78" s="38"/>
      <c r="B78" s="38" t="str">
        <f>'Equip&amp;HIRE_Master'!A41</f>
        <v>6*3m Demantable Lunchroom - COMPLETE</v>
      </c>
      <c r="C78" s="40" t="s">
        <v>93</v>
      </c>
      <c r="D78" s="40">
        <f>D9</f>
        <v>0</v>
      </c>
      <c r="E78" s="197">
        <f>'Equip&amp;HIRE_Master'!D41</f>
        <v>23</v>
      </c>
      <c r="F78" s="41">
        <f>D78*E78</f>
        <v>0</v>
      </c>
      <c r="I78" s="38"/>
      <c r="J78" s="38"/>
      <c r="K78" s="38"/>
      <c r="L78" s="38"/>
    </row>
    <row r="79" spans="1:12" s="40" customFormat="1" x14ac:dyDescent="0.2">
      <c r="A79" s="38"/>
      <c r="B79" s="38" t="str">
        <f>'Equip&amp;HIRE_Master'!A42</f>
        <v>6*3m Demantable Office - COMPLETE</v>
      </c>
      <c r="C79" s="40" t="s">
        <v>93</v>
      </c>
      <c r="D79" s="40">
        <f>D9</f>
        <v>0</v>
      </c>
      <c r="E79" s="197">
        <f>'Equip&amp;HIRE_Master'!D42</f>
        <v>23</v>
      </c>
      <c r="F79" s="41">
        <f>D79*E79</f>
        <v>0</v>
      </c>
      <c r="I79" s="38"/>
      <c r="J79" s="38"/>
      <c r="K79" s="38"/>
      <c r="L79" s="38"/>
    </row>
    <row r="80" spans="1:12" s="40" customFormat="1" x14ac:dyDescent="0.2">
      <c r="A80" s="38"/>
      <c r="B80" s="38" t="str">
        <f>'Equip&amp;HIRE_Master'!A43</f>
        <v>20Ft Shipping Container</v>
      </c>
      <c r="C80" s="40" t="s">
        <v>129</v>
      </c>
      <c r="D80" s="40">
        <v>2</v>
      </c>
      <c r="E80" s="197">
        <v>1800</v>
      </c>
      <c r="F80" s="41">
        <f t="shared" ref="F80:F81" si="10">D80*E80</f>
        <v>3600</v>
      </c>
      <c r="I80" s="38"/>
      <c r="J80" s="38"/>
      <c r="K80" s="38"/>
      <c r="L80" s="38"/>
    </row>
    <row r="81" spans="1:12" s="40" customFormat="1" x14ac:dyDescent="0.2">
      <c r="A81" s="38"/>
      <c r="B81" s="38" t="s">
        <v>130</v>
      </c>
      <c r="C81" s="40" t="s">
        <v>131</v>
      </c>
      <c r="D81" s="40">
        <f>D10</f>
        <v>0</v>
      </c>
      <c r="E81" s="197">
        <f>'Equip&amp;HIRE_Master'!D59</f>
        <v>239.8</v>
      </c>
      <c r="F81" s="41">
        <f t="shared" si="10"/>
        <v>0</v>
      </c>
      <c r="I81" s="38"/>
      <c r="J81" s="38"/>
      <c r="K81" s="38"/>
      <c r="L81" s="38"/>
    </row>
    <row r="82" spans="1:12" s="40" customFormat="1" x14ac:dyDescent="0.2">
      <c r="A82" s="38"/>
      <c r="B82" s="38"/>
      <c r="E82" s="197"/>
      <c r="F82" s="41"/>
      <c r="I82" s="38"/>
      <c r="J82" s="38"/>
      <c r="K82" s="38"/>
      <c r="L82" s="38"/>
    </row>
    <row r="83" spans="1:12" s="40" customFormat="1" x14ac:dyDescent="0.2">
      <c r="A83" s="38"/>
      <c r="B83" s="38"/>
      <c r="E83" s="197"/>
      <c r="F83" s="41"/>
      <c r="I83" s="38"/>
      <c r="J83" s="38"/>
      <c r="K83" s="38"/>
      <c r="L83" s="38"/>
    </row>
    <row r="84" spans="1:12" s="40" customFormat="1" ht="10.8" thickBot="1" x14ac:dyDescent="0.25">
      <c r="A84" s="38"/>
      <c r="B84" s="159"/>
      <c r="E84" s="48"/>
      <c r="F84" s="47"/>
      <c r="I84" s="38"/>
      <c r="J84" s="38"/>
      <c r="K84" s="38"/>
      <c r="L84" s="38"/>
    </row>
    <row r="85" spans="1:12" ht="13.95" customHeight="1" thickBot="1" x14ac:dyDescent="0.3">
      <c r="A85" s="42"/>
      <c r="B85" s="544" t="s">
        <v>132</v>
      </c>
      <c r="C85" s="545"/>
      <c r="D85" s="545"/>
      <c r="E85" s="545"/>
      <c r="F85" s="546"/>
      <c r="H85" s="38"/>
    </row>
    <row r="86" spans="1:12" x14ac:dyDescent="0.2">
      <c r="A86" s="42"/>
      <c r="C86" s="42"/>
      <c r="D86" s="42"/>
      <c r="E86" s="44"/>
      <c r="F86" s="38"/>
    </row>
    <row r="87" spans="1:12" x14ac:dyDescent="0.2">
      <c r="B87" s="38" t="s">
        <v>1248</v>
      </c>
      <c r="C87" s="40" t="s">
        <v>109</v>
      </c>
      <c r="D87" s="230">
        <v>1</v>
      </c>
      <c r="E87" s="197">
        <v>20000</v>
      </c>
      <c r="F87" s="48">
        <f>D87*E87</f>
        <v>20000</v>
      </c>
    </row>
    <row r="88" spans="1:12" s="40" customFormat="1" x14ac:dyDescent="0.2">
      <c r="A88" s="38"/>
      <c r="B88" s="159"/>
      <c r="E88" s="48"/>
      <c r="F88" s="47"/>
      <c r="I88" s="38"/>
      <c r="J88" s="38"/>
      <c r="K88" s="38"/>
      <c r="L88" s="38"/>
    </row>
    <row r="89" spans="1:12" s="40" customFormat="1" x14ac:dyDescent="0.2">
      <c r="A89" s="42"/>
      <c r="B89" s="38"/>
      <c r="E89" s="214" t="s">
        <v>133</v>
      </c>
      <c r="F89" s="215">
        <f>SUM(F32:F88)</f>
        <v>161920.04283435861</v>
      </c>
      <c r="I89" s="38"/>
      <c r="J89" s="38"/>
      <c r="K89" s="38"/>
      <c r="L89" s="38"/>
    </row>
    <row r="90" spans="1:12" s="40" customFormat="1" x14ac:dyDescent="0.2">
      <c r="A90" s="42"/>
      <c r="B90" s="38"/>
      <c r="E90" s="41"/>
      <c r="F90" s="54"/>
      <c r="G90" s="38"/>
      <c r="I90" s="38"/>
      <c r="J90" s="38"/>
      <c r="K90" s="38"/>
      <c r="L90" s="38"/>
    </row>
    <row r="91" spans="1:12" s="40" customFormat="1" ht="10.8" thickBot="1" x14ac:dyDescent="0.25">
      <c r="B91" s="38"/>
      <c r="E91" s="41"/>
      <c r="F91" s="55"/>
      <c r="G91" s="38"/>
      <c r="I91" s="38"/>
      <c r="J91" s="38"/>
      <c r="K91" s="38"/>
      <c r="L91" s="38"/>
    </row>
    <row r="92" spans="1:12" ht="16.2" thickBot="1" x14ac:dyDescent="0.35">
      <c r="A92" s="42" t="s">
        <v>20</v>
      </c>
      <c r="B92" s="224" t="s">
        <v>134</v>
      </c>
    </row>
    <row r="93" spans="1:12" x14ac:dyDescent="0.2">
      <c r="A93" s="42"/>
      <c r="C93" s="42" t="s">
        <v>102</v>
      </c>
      <c r="D93" s="42" t="s">
        <v>103</v>
      </c>
      <c r="E93" s="44" t="s">
        <v>104</v>
      </c>
      <c r="F93" s="44" t="s">
        <v>105</v>
      </c>
      <c r="G93" s="312" t="s">
        <v>135</v>
      </c>
      <c r="H93" s="44"/>
      <c r="I93" s="44"/>
    </row>
    <row r="94" spans="1:12" x14ac:dyDescent="0.2">
      <c r="A94" s="42"/>
      <c r="B94" s="216" t="s">
        <v>136</v>
      </c>
      <c r="C94" s="40" t="s">
        <v>109</v>
      </c>
      <c r="D94" s="40">
        <v>9</v>
      </c>
      <c r="E94" s="314">
        <v>40000</v>
      </c>
      <c r="F94" s="41">
        <f>D94*E94</f>
        <v>360000</v>
      </c>
      <c r="G94" s="313">
        <f>'TCS $ Sched'!$Q$68</f>
        <v>0.17860362123993481</v>
      </c>
      <c r="H94" s="189"/>
      <c r="I94" s="190"/>
    </row>
    <row r="95" spans="1:12" s="40" customFormat="1" x14ac:dyDescent="0.2">
      <c r="A95" s="38"/>
      <c r="B95" s="159"/>
      <c r="E95" s="48"/>
      <c r="F95" s="47"/>
      <c r="I95" s="38"/>
      <c r="J95" s="38"/>
      <c r="K95" s="38"/>
      <c r="L95" s="38"/>
    </row>
    <row r="96" spans="1:12" s="40" customFormat="1" x14ac:dyDescent="0.2">
      <c r="A96" s="42"/>
      <c r="B96" s="38"/>
      <c r="E96" s="214" t="s">
        <v>137</v>
      </c>
      <c r="F96" s="215">
        <f>SUM(F94:F95)</f>
        <v>360000</v>
      </c>
      <c r="I96" s="38"/>
      <c r="J96" s="38"/>
      <c r="K96" s="38"/>
      <c r="L96" s="38"/>
    </row>
    <row r="97" spans="1:12" s="40" customFormat="1" x14ac:dyDescent="0.2">
      <c r="A97" s="38"/>
      <c r="B97" s="38"/>
      <c r="E97" s="41"/>
      <c r="F97" s="47"/>
      <c r="G97" s="38"/>
      <c r="I97" s="38"/>
      <c r="J97" s="38"/>
      <c r="K97" s="38"/>
      <c r="L97" s="38"/>
    </row>
    <row r="98" spans="1:12" s="40" customFormat="1" x14ac:dyDescent="0.2">
      <c r="A98" s="38"/>
      <c r="B98" s="56"/>
      <c r="C98" s="38"/>
      <c r="E98" s="41"/>
      <c r="F98" s="38"/>
      <c r="G98" s="38"/>
      <c r="I98" s="38"/>
      <c r="J98" s="38"/>
      <c r="K98" s="38"/>
      <c r="L98" s="38"/>
    </row>
    <row r="99" spans="1:12" s="40" customFormat="1" x14ac:dyDescent="0.2">
      <c r="A99" s="38"/>
      <c r="B99" s="38"/>
      <c r="E99" s="41"/>
      <c r="F99" s="41"/>
      <c r="G99" s="38"/>
      <c r="I99" s="38"/>
      <c r="J99" s="38"/>
      <c r="K99" s="38"/>
      <c r="L99" s="38"/>
    </row>
    <row r="100" spans="1:12" s="40" customFormat="1" x14ac:dyDescent="0.2">
      <c r="A100" s="38"/>
      <c r="B100" s="38"/>
      <c r="E100" s="41"/>
      <c r="F100" s="41"/>
      <c r="G100" s="38"/>
      <c r="I100" s="38"/>
      <c r="J100" s="38"/>
      <c r="K100" s="38"/>
      <c r="L100" s="38"/>
    </row>
    <row r="101" spans="1:12" s="40" customFormat="1" x14ac:dyDescent="0.2">
      <c r="A101" s="38"/>
      <c r="B101" s="38"/>
      <c r="E101" s="41"/>
      <c r="F101" s="41"/>
      <c r="G101" s="38"/>
      <c r="I101" s="38"/>
      <c r="J101" s="38"/>
      <c r="K101" s="38"/>
      <c r="L101" s="38"/>
    </row>
  </sheetData>
  <mergeCells count="8">
    <mergeCell ref="A6:F6"/>
    <mergeCell ref="B51:F51"/>
    <mergeCell ref="B68:F68"/>
    <mergeCell ref="B85:F85"/>
    <mergeCell ref="B30:F30"/>
    <mergeCell ref="B8:F8"/>
    <mergeCell ref="C13:F13"/>
    <mergeCell ref="C20:F20"/>
  </mergeCells>
  <printOptions gridLines="1"/>
  <pageMargins left="0.46" right="0.42" top="0.37" bottom="0.4" header="0.39" footer="0.38"/>
  <pageSetup paperSize="8" scale="80"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EE992-6624-4C7D-8C39-90BE54430FD1}">
  <sheetPr>
    <tabColor theme="7"/>
  </sheetPr>
  <dimension ref="A1:R981"/>
  <sheetViews>
    <sheetView topLeftCell="A788" zoomScale="115" zoomScaleNormal="115" workbookViewId="0">
      <selection activeCell="B790" sqref="B790"/>
    </sheetView>
  </sheetViews>
  <sheetFormatPr defaultColWidth="9.109375" defaultRowHeight="10.199999999999999" x14ac:dyDescent="0.2"/>
  <cols>
    <col min="1" max="1" width="8.109375" style="38" customWidth="1"/>
    <col min="2" max="2" width="72.109375" style="38" customWidth="1"/>
    <col min="3" max="3" width="23.5546875" style="40" customWidth="1"/>
    <col min="4" max="4" width="14.109375" style="40" customWidth="1"/>
    <col min="5" max="5" width="17.33203125" style="41" customWidth="1"/>
    <col min="6" max="6" width="14.109375" style="41" customWidth="1"/>
    <col min="7" max="9" width="9.109375" style="38" bestFit="1" customWidth="1"/>
    <col min="10" max="10" width="16" style="38" customWidth="1"/>
    <col min="11" max="12" width="9.109375" style="38" bestFit="1" customWidth="1"/>
    <col min="13" max="13" width="13.88671875" style="38" customWidth="1"/>
    <col min="14" max="237" width="9.109375" style="38" bestFit="1" customWidth="1"/>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bestFit="1" customWidth="1"/>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bestFit="1" customWidth="1"/>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bestFit="1" customWidth="1"/>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bestFit="1" customWidth="1"/>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bestFit="1" customWidth="1"/>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bestFit="1" customWidth="1"/>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bestFit="1" customWidth="1"/>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bestFit="1" customWidth="1"/>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bestFit="1" customWidth="1"/>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bestFit="1" customWidth="1"/>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bestFit="1" customWidth="1"/>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bestFit="1" customWidth="1"/>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bestFit="1" customWidth="1"/>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bestFit="1" customWidth="1"/>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bestFit="1" customWidth="1"/>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bestFit="1" customWidth="1"/>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bestFit="1" customWidth="1"/>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bestFit="1" customWidth="1"/>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bestFit="1" customWidth="1"/>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bestFit="1" customWidth="1"/>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bestFit="1" customWidth="1"/>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bestFit="1" customWidth="1"/>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bestFit="1" customWidth="1"/>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bestFit="1" customWidth="1"/>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bestFit="1" customWidth="1"/>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bestFit="1" customWidth="1"/>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bestFit="1" customWidth="1"/>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bestFit="1" customWidth="1"/>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bestFit="1" customWidth="1"/>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bestFit="1" customWidth="1"/>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bestFit="1" customWidth="1"/>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bestFit="1" customWidth="1"/>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bestFit="1" customWidth="1"/>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bestFit="1" customWidth="1"/>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bestFit="1" customWidth="1"/>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bestFit="1" customWidth="1"/>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bestFit="1" customWidth="1"/>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bestFit="1" customWidth="1"/>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bestFit="1" customWidth="1"/>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bestFit="1" customWidth="1"/>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bestFit="1" customWidth="1"/>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bestFit="1" customWidth="1"/>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bestFit="1" customWidth="1"/>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bestFit="1" customWidth="1"/>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bestFit="1" customWidth="1"/>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bestFit="1" customWidth="1"/>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bestFit="1" customWidth="1"/>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bestFit="1" customWidth="1"/>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bestFit="1" customWidth="1"/>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bestFit="1" customWidth="1"/>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bestFit="1" customWidth="1"/>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bestFit="1" customWidth="1"/>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bestFit="1" customWidth="1"/>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bestFit="1" customWidth="1"/>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bestFit="1" customWidth="1"/>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bestFit="1" customWidth="1"/>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bestFit="1" customWidth="1"/>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bestFit="1" customWidth="1"/>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bestFit="1" customWidth="1"/>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bestFit="1" customWidth="1"/>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bestFit="1" customWidth="1"/>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bestFit="1" customWidth="1"/>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x14ac:dyDescent="0.2">
      <c r="A5" s="42"/>
      <c r="B5" s="132"/>
    </row>
    <row r="6" spans="1:16" ht="6" customHeight="1" x14ac:dyDescent="0.2">
      <c r="A6" s="543"/>
      <c r="B6" s="543"/>
      <c r="C6" s="543"/>
      <c r="D6" s="543"/>
      <c r="E6" s="543"/>
      <c r="F6" s="543"/>
    </row>
    <row r="7" spans="1:16" s="40" customFormat="1" x14ac:dyDescent="0.2">
      <c r="A7" s="38"/>
      <c r="B7" s="159"/>
      <c r="E7" s="41"/>
      <c r="F7" s="41"/>
    </row>
    <row r="8" spans="1:16" s="40" customFormat="1" x14ac:dyDescent="0.2">
      <c r="A8" s="42"/>
      <c r="B8" s="39"/>
      <c r="C8" s="42"/>
      <c r="D8" s="42"/>
      <c r="E8" s="41"/>
      <c r="F8" s="41"/>
    </row>
    <row r="9" spans="1:16" s="40" customFormat="1" ht="15.6" x14ac:dyDescent="0.3">
      <c r="A9" s="266">
        <v>1</v>
      </c>
      <c r="B9" s="549" t="s">
        <v>138</v>
      </c>
      <c r="C9" s="549"/>
      <c r="D9" s="549"/>
      <c r="E9" s="549"/>
      <c r="F9" s="549"/>
      <c r="G9" s="549"/>
    </row>
    <row r="10" spans="1:16" s="40" customFormat="1" x14ac:dyDescent="0.2">
      <c r="A10" s="42"/>
      <c r="B10" s="39"/>
      <c r="C10" s="42"/>
      <c r="D10" s="42"/>
      <c r="E10" s="41"/>
      <c r="F10" s="41"/>
    </row>
    <row r="11" spans="1:16" s="40" customFormat="1" x14ac:dyDescent="0.2">
      <c r="A11" s="42"/>
      <c r="B11" s="39"/>
      <c r="C11" s="42"/>
      <c r="D11" s="42"/>
      <c r="E11" s="41"/>
      <c r="F11" s="41"/>
    </row>
    <row r="12" spans="1:16" s="40" customFormat="1" x14ac:dyDescent="0.2">
      <c r="A12" s="42"/>
      <c r="B12" s="49" t="s">
        <v>106</v>
      </c>
      <c r="C12" s="42"/>
      <c r="D12" s="42"/>
      <c r="E12" s="41"/>
      <c r="F12" s="41"/>
    </row>
    <row r="13" spans="1:16" s="40" customFormat="1" ht="5.25" customHeight="1" x14ac:dyDescent="0.2">
      <c r="A13" s="42"/>
      <c r="B13" s="39"/>
      <c r="C13" s="42"/>
      <c r="D13" s="42"/>
      <c r="E13" s="41"/>
      <c r="F13" s="41"/>
    </row>
    <row r="14" spans="1:16" s="40" customFormat="1" ht="12.75" customHeight="1" x14ac:dyDescent="0.2">
      <c r="A14" s="38"/>
      <c r="B14" s="191" t="s">
        <v>139</v>
      </c>
      <c r="C14" s="42"/>
      <c r="D14" s="550"/>
      <c r="E14" s="550"/>
      <c r="F14" s="41"/>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1">
        <f>'LabourProject Rates_Master'!$E$15</f>
        <v>1231.1428571428571</v>
      </c>
      <c r="F15" s="41">
        <f>E15*D15</f>
        <v>0</v>
      </c>
    </row>
    <row r="16" spans="1:16" s="40" customFormat="1" ht="11.4" customHeight="1" x14ac:dyDescent="0.2">
      <c r="A16" s="38"/>
      <c r="B16" s="38" t="str">
        <f>'LabourProject Rates_Master'!$B$23</f>
        <v>TRADESMAN_PLUMBER_OPERATOR</v>
      </c>
      <c r="C16" s="40" t="s">
        <v>93</v>
      </c>
      <c r="D16" s="333"/>
      <c r="E16" s="41">
        <f>'LabourProject Rates_Master'!$E$22</f>
        <v>941.16472848788635</v>
      </c>
      <c r="F16" s="41">
        <f>E16*D16</f>
        <v>0</v>
      </c>
      <c r="K16" s="149" t="s">
        <v>141</v>
      </c>
      <c r="L16" s="189">
        <v>0.38</v>
      </c>
      <c r="M16" s="40">
        <v>1.38</v>
      </c>
    </row>
    <row r="17" spans="1:13" s="40" customFormat="1" ht="11.4" customHeight="1" x14ac:dyDescent="0.2">
      <c r="A17" s="42"/>
      <c r="B17" s="38" t="str">
        <f>'LabourProject Rates_Master'!$B$30</f>
        <v>T/A &amp; Apprentice</v>
      </c>
      <c r="C17" s="40" t="s">
        <v>93</v>
      </c>
      <c r="D17" s="333"/>
      <c r="E17" s="41">
        <f>'LabourProject Rates_Master'!$E$29</f>
        <v>768.06507936507944</v>
      </c>
      <c r="F17" s="41">
        <f>E17*D17</f>
        <v>0</v>
      </c>
      <c r="K17" s="149" t="s">
        <v>142</v>
      </c>
      <c r="L17" s="189">
        <v>0.38</v>
      </c>
      <c r="M17" s="40">
        <v>1.38</v>
      </c>
    </row>
    <row r="18" spans="1:13" s="40" customFormat="1" ht="11.4" customHeight="1" x14ac:dyDescent="0.2">
      <c r="A18" s="42"/>
      <c r="B18" s="38" t="str">
        <f>'LabourProject Rates_Master'!$B$36</f>
        <v>Crew #1 - InGround Drainage</v>
      </c>
      <c r="C18" s="40" t="s">
        <v>93</v>
      </c>
      <c r="D18" s="333"/>
      <c r="E18" s="41">
        <f>'LabourProject Rates_Master'!$E$37</f>
        <v>2650.394536340852</v>
      </c>
      <c r="F18" s="41">
        <f>E18*D18</f>
        <v>0</v>
      </c>
      <c r="K18" s="149" t="s">
        <v>143</v>
      </c>
      <c r="L18" s="189">
        <v>0.15</v>
      </c>
      <c r="M18" s="40">
        <v>1.1499999999999999</v>
      </c>
    </row>
    <row r="19" spans="1:13" s="40" customFormat="1" x14ac:dyDescent="0.2">
      <c r="A19" s="42"/>
      <c r="B19" s="38" t="str">
        <f>'LabourProject Rates_Master'!$B$43</f>
        <v>Crew #2 - InGround Water/Fire</v>
      </c>
      <c r="C19" s="40" t="s">
        <v>93</v>
      </c>
      <c r="D19" s="333"/>
      <c r="E19" s="41">
        <f>'LabourProject Rates_Master'!$E$44</f>
        <v>2650.394536340852</v>
      </c>
      <c r="F19" s="41">
        <f>E19*D19</f>
        <v>0</v>
      </c>
      <c r="K19" s="149" t="s">
        <v>144</v>
      </c>
      <c r="L19" s="189">
        <v>0.2</v>
      </c>
      <c r="M19" s="40">
        <v>1.2</v>
      </c>
    </row>
    <row r="20" spans="1:13" s="40" customFormat="1" ht="6.6" customHeight="1" x14ac:dyDescent="0.2">
      <c r="A20" s="42"/>
      <c r="B20" s="38"/>
      <c r="E20" s="50"/>
      <c r="F20" s="41"/>
    </row>
    <row r="21" spans="1:13" s="40" customFormat="1" x14ac:dyDescent="0.2">
      <c r="A21" s="38"/>
      <c r="B21" s="191" t="s">
        <v>145</v>
      </c>
      <c r="C21" s="42"/>
      <c r="D21" s="42"/>
      <c r="E21" s="41"/>
      <c r="F21" s="41"/>
    </row>
    <row r="22" spans="1:13" s="40" customFormat="1" x14ac:dyDescent="0.2">
      <c r="A22" s="38"/>
      <c r="B22" s="38" t="str">
        <f>'LabourProject Rates_Master'!$B$14</f>
        <v>TRADESMAN_LEADING HAND</v>
      </c>
      <c r="C22" s="40" t="s">
        <v>146</v>
      </c>
      <c r="D22" s="40">
        <v>0</v>
      </c>
      <c r="E22" s="41">
        <f>'LabourProject Rates_Master'!$E$14</f>
        <v>123.11428571428571</v>
      </c>
      <c r="F22" s="41">
        <f>E22*D22</f>
        <v>0</v>
      </c>
    </row>
    <row r="23" spans="1:13" s="40" customFormat="1" ht="11.4" customHeight="1" x14ac:dyDescent="0.2">
      <c r="A23" s="38"/>
      <c r="B23" s="38" t="str">
        <f>'LabourProject Rates_Master'!$B$23</f>
        <v>TRADESMAN_PLUMBER_OPERATOR</v>
      </c>
      <c r="C23" s="40" t="s">
        <v>146</v>
      </c>
      <c r="D23" s="40">
        <v>0</v>
      </c>
      <c r="E23" s="41">
        <f>'LabourProject Rates_Master'!$E$21</f>
        <v>94.116472848788632</v>
      </c>
      <c r="F23" s="41">
        <f>E23*D23</f>
        <v>0</v>
      </c>
    </row>
    <row r="24" spans="1:13" s="40" customFormat="1" ht="11.4" customHeight="1" x14ac:dyDescent="0.2">
      <c r="A24" s="42"/>
      <c r="B24" s="38" t="str">
        <f>'LabourProject Rates_Master'!$B$30</f>
        <v>T/A &amp; Apprentice</v>
      </c>
      <c r="C24" s="40" t="s">
        <v>146</v>
      </c>
      <c r="D24" s="40">
        <v>0</v>
      </c>
      <c r="E24" s="41">
        <f>'LabourProject Rates_Master'!$E$28</f>
        <v>76.806507936507941</v>
      </c>
      <c r="F24" s="41">
        <f>E24*D24</f>
        <v>0</v>
      </c>
    </row>
    <row r="25" spans="1:13" s="40" customFormat="1" ht="11.4" customHeight="1" x14ac:dyDescent="0.2">
      <c r="A25" s="42"/>
      <c r="B25" s="38" t="str">
        <f>'LabourProject Rates_Master'!$B$36</f>
        <v>Crew #1 - InGround Drainage</v>
      </c>
      <c r="C25" s="40" t="s">
        <v>146</v>
      </c>
      <c r="D25" s="40">
        <v>0</v>
      </c>
      <c r="E25" s="41">
        <f>'LabourProject Rates_Master'!$E$36</f>
        <v>265.03945363408519</v>
      </c>
      <c r="F25" s="41">
        <f>E25*D25</f>
        <v>0</v>
      </c>
    </row>
    <row r="26" spans="1:13" s="40" customFormat="1" x14ac:dyDescent="0.2">
      <c r="A26" s="42"/>
      <c r="B26" s="38" t="str">
        <f>'LabourProject Rates_Master'!$B$43</f>
        <v>Crew #2 - InGround Water/Fire</v>
      </c>
      <c r="C26" s="40" t="s">
        <v>146</v>
      </c>
      <c r="D26" s="40">
        <v>0</v>
      </c>
      <c r="E26" s="41">
        <f>'LabourProject Rates_Master'!$E$43</f>
        <v>265.03945363408519</v>
      </c>
      <c r="F26" s="41">
        <f>E26*D26</f>
        <v>0</v>
      </c>
    </row>
    <row r="27" spans="1:13" ht="7.5" customHeight="1" x14ac:dyDescent="0.2"/>
    <row r="28" spans="1:13" x14ac:dyDescent="0.2">
      <c r="A28" s="40"/>
    </row>
    <row r="29" spans="1:13" x14ac:dyDescent="0.2">
      <c r="A29" s="42"/>
      <c r="B29" s="386" t="s">
        <v>147</v>
      </c>
      <c r="C29" s="387"/>
      <c r="D29" s="387"/>
      <c r="E29" s="451"/>
      <c r="F29" s="451"/>
    </row>
    <row r="30" spans="1:13" x14ac:dyDescent="0.2">
      <c r="A30" s="40"/>
      <c r="B30" s="389" t="s">
        <v>148</v>
      </c>
      <c r="C30" s="387"/>
      <c r="D30" s="387"/>
      <c r="E30" s="451"/>
      <c r="F30" s="451"/>
    </row>
    <row r="31" spans="1:13" x14ac:dyDescent="0.2">
      <c r="A31" s="40"/>
      <c r="B31" s="390" t="str">
        <f>'Misc Subbie Rates_Master'!A49</f>
        <v>Asphalt Cutting</v>
      </c>
      <c r="C31" s="387" t="s">
        <v>149</v>
      </c>
      <c r="D31" s="391"/>
      <c r="E31" s="451">
        <f>'Misc Subbie Rates_Master'!D49+('Misc Subbie Rates_Master'!D49*$L$18)</f>
        <v>15.525</v>
      </c>
      <c r="F31" s="451">
        <f>E31*D31</f>
        <v>0</v>
      </c>
    </row>
    <row r="32" spans="1:13" x14ac:dyDescent="0.2">
      <c r="A32" s="40"/>
      <c r="B32" s="390" t="str">
        <f>'Misc Subbie Rates_Master'!A50</f>
        <v>Concrete Cutting</v>
      </c>
      <c r="C32" s="387" t="s">
        <v>149</v>
      </c>
      <c r="D32" s="387"/>
      <c r="E32" s="451">
        <f>'Misc Subbie Rates_Master'!D50+('Misc Subbie Rates_Master'!D50*$L$18)</f>
        <v>18.399999999999999</v>
      </c>
      <c r="F32" s="451">
        <f>E32*D32</f>
        <v>0</v>
      </c>
    </row>
    <row r="33" spans="1:6" x14ac:dyDescent="0.2">
      <c r="A33" s="40"/>
      <c r="B33" s="390" t="s">
        <v>150</v>
      </c>
      <c r="C33" s="387" t="s">
        <v>115</v>
      </c>
      <c r="D33" s="387"/>
      <c r="E33" s="451">
        <f>'Misc Subbie Rates_Master'!D51+('Misc Subbie Rates_Master'!D51*$L$18)</f>
        <v>92</v>
      </c>
      <c r="F33" s="451">
        <f>E33*D33</f>
        <v>0</v>
      </c>
    </row>
    <row r="34" spans="1:6" x14ac:dyDescent="0.2">
      <c r="A34" s="40"/>
      <c r="B34" s="389" t="s">
        <v>151</v>
      </c>
      <c r="C34" s="387"/>
      <c r="D34" s="387"/>
      <c r="E34" s="451"/>
      <c r="F34" s="451"/>
    </row>
    <row r="35" spans="1:6" x14ac:dyDescent="0.2">
      <c r="A35" s="40"/>
      <c r="B35" s="390" t="str">
        <f>'Misc Subbie Rates_Master'!A56</f>
        <v>Road/Drveway Reinstate; 1mW x 150 Thck, N25/20/80, Incl Reinforcement</v>
      </c>
      <c r="C35" s="387" t="s">
        <v>149</v>
      </c>
      <c r="D35" s="387"/>
      <c r="E35" s="451">
        <f>'Misc Subbie Rates_Master'!D56</f>
        <v>145</v>
      </c>
      <c r="F35" s="451">
        <f>E35*D35</f>
        <v>0</v>
      </c>
    </row>
    <row r="36" spans="1:6" x14ac:dyDescent="0.2">
      <c r="A36" s="40"/>
      <c r="B36" s="390" t="str">
        <f>'Misc Subbie Rates_Master'!A57</f>
        <v>Kerb &amp; Channel - 1m Wide</v>
      </c>
      <c r="C36" s="387" t="s">
        <v>115</v>
      </c>
      <c r="D36" s="387"/>
      <c r="E36" s="451">
        <f>'Misc Subbie Rates_Master'!D57</f>
        <v>155</v>
      </c>
      <c r="F36" s="451">
        <f>E36*D36</f>
        <v>0</v>
      </c>
    </row>
    <row r="37" spans="1:6" x14ac:dyDescent="0.2">
      <c r="A37" s="40"/>
      <c r="B37" s="390" t="str">
        <f>'Misc Subbie Rates_Master'!A58</f>
        <v>Footpath - 1.5mW, N25/20/80, Incl Reinforcement</v>
      </c>
      <c r="C37" s="387" t="s">
        <v>152</v>
      </c>
      <c r="D37" s="387"/>
      <c r="E37" s="451">
        <f>'Misc Subbie Rates_Master'!D58</f>
        <v>180</v>
      </c>
      <c r="F37" s="451">
        <f>E37*D37</f>
        <v>0</v>
      </c>
    </row>
    <row r="38" spans="1:6" x14ac:dyDescent="0.2">
      <c r="A38" s="40"/>
      <c r="B38" s="390" t="str">
        <f>'Misc Subbie Rates_Master'!A59</f>
        <v>Footpath - 1.5mW, EXPOSED AGG, N25/20/80, Incl Reinforcement</v>
      </c>
      <c r="C38" s="387" t="s">
        <v>152</v>
      </c>
      <c r="D38" s="387"/>
      <c r="E38" s="451">
        <f>'Misc Subbie Rates_Master'!D59</f>
        <v>185</v>
      </c>
      <c r="F38" s="451">
        <f>E38*D38</f>
        <v>0</v>
      </c>
    </row>
    <row r="39" spans="1:6" x14ac:dyDescent="0.2">
      <c r="A39" s="40"/>
      <c r="B39" s="389" t="s">
        <v>153</v>
      </c>
      <c r="C39" s="387"/>
      <c r="D39" s="387"/>
      <c r="E39" s="451"/>
      <c r="F39" s="451"/>
    </row>
    <row r="40" spans="1:6" x14ac:dyDescent="0.2">
      <c r="A40" s="40"/>
      <c r="B40" s="390" t="str">
        <f>'Misc Subbie Rates_Master'!A64</f>
        <v xml:space="preserve">50mm Thck - Trench Reinstatement Through Road/Driveway </v>
      </c>
      <c r="C40" s="387" t="s">
        <v>154</v>
      </c>
      <c r="D40" s="387"/>
      <c r="E40" s="451">
        <f>'Misc Subbie Rates_Master'!D64</f>
        <v>97</v>
      </c>
      <c r="F40" s="451">
        <f>E40*D40</f>
        <v>0</v>
      </c>
    </row>
    <row r="41" spans="1:6" x14ac:dyDescent="0.2">
      <c r="A41" s="40"/>
      <c r="B41" s="390" t="str">
        <f>'Misc Subbie Rates_Master'!A65</f>
        <v xml:space="preserve">50mm Thck - 1.5-2m Wide Footpath reinstatements </v>
      </c>
      <c r="C41" s="387" t="s">
        <v>154</v>
      </c>
      <c r="D41" s="387"/>
      <c r="E41" s="451">
        <f>'Misc Subbie Rates_Master'!D65</f>
        <v>97</v>
      </c>
      <c r="F41" s="451">
        <f>E41*D41</f>
        <v>0</v>
      </c>
    </row>
    <row r="42" spans="1:6" x14ac:dyDescent="0.2">
      <c r="A42" s="40"/>
      <c r="B42" s="390" t="str">
        <f>'Misc Subbie Rates_Master'!A66</f>
        <v>Establishment Fee (1 per stage)</v>
      </c>
      <c r="C42" s="387" t="s">
        <v>155</v>
      </c>
      <c r="D42" s="387"/>
      <c r="E42" s="451">
        <f>'Misc Subbie Rates_Master'!D66</f>
        <v>5500</v>
      </c>
      <c r="F42" s="451">
        <f>E42*D42</f>
        <v>0</v>
      </c>
    </row>
    <row r="43" spans="1:6" x14ac:dyDescent="0.2">
      <c r="A43" s="40"/>
    </row>
    <row r="44" spans="1:6" x14ac:dyDescent="0.2">
      <c r="A44" s="42"/>
      <c r="B44" s="49" t="s">
        <v>156</v>
      </c>
    </row>
    <row r="45" spans="1:6" x14ac:dyDescent="0.2">
      <c r="A45" s="40"/>
    </row>
    <row r="46" spans="1:6" x14ac:dyDescent="0.2">
      <c r="B46" s="284" t="s">
        <v>157</v>
      </c>
    </row>
    <row r="47" spans="1:6" x14ac:dyDescent="0.2">
      <c r="B47" s="38" t="s">
        <v>158</v>
      </c>
      <c r="C47" s="40" t="s">
        <v>159</v>
      </c>
      <c r="E47" s="41">
        <f>'Misc Subbie Rates_Master'!D10</f>
        <v>100</v>
      </c>
      <c r="F47" s="41">
        <f t="shared" ref="F47:F65" si="0">E47*D47</f>
        <v>0</v>
      </c>
    </row>
    <row r="48" spans="1:6" x14ac:dyDescent="0.2">
      <c r="B48" s="38" t="s">
        <v>160</v>
      </c>
      <c r="C48" s="40" t="s">
        <v>159</v>
      </c>
      <c r="E48" s="41">
        <f>'Misc Subbie Rates_Master'!D11</f>
        <v>115</v>
      </c>
      <c r="F48" s="41">
        <f t="shared" si="0"/>
        <v>0</v>
      </c>
    </row>
    <row r="49" spans="2:6" x14ac:dyDescent="0.2">
      <c r="B49" s="38" t="s">
        <v>161</v>
      </c>
      <c r="C49" s="40" t="s">
        <v>159</v>
      </c>
      <c r="E49" s="41">
        <f>'Misc Subbie Rates_Master'!D12</f>
        <v>154</v>
      </c>
      <c r="F49" s="41">
        <f t="shared" si="0"/>
        <v>0</v>
      </c>
    </row>
    <row r="50" spans="2:6" x14ac:dyDescent="0.2">
      <c r="B50" s="38" t="s">
        <v>162</v>
      </c>
      <c r="C50" s="40" t="s">
        <v>159</v>
      </c>
      <c r="E50" s="41">
        <f>'Misc Subbie Rates_Master'!D13</f>
        <v>21</v>
      </c>
      <c r="F50" s="41">
        <f t="shared" si="0"/>
        <v>0</v>
      </c>
    </row>
    <row r="51" spans="2:6" x14ac:dyDescent="0.2">
      <c r="B51" s="38" t="s">
        <v>163</v>
      </c>
      <c r="C51" s="40" t="s">
        <v>159</v>
      </c>
      <c r="E51" s="41">
        <f>'Misc Subbie Rates_Master'!D14</f>
        <v>10</v>
      </c>
      <c r="F51" s="41">
        <f t="shared" si="0"/>
        <v>0</v>
      </c>
    </row>
    <row r="52" spans="2:6" x14ac:dyDescent="0.2">
      <c r="B52" s="38" t="s">
        <v>164</v>
      </c>
      <c r="C52" s="40" t="s">
        <v>159</v>
      </c>
      <c r="E52" s="41">
        <f>'Misc Subbie Rates_Master'!D15</f>
        <v>150</v>
      </c>
      <c r="F52" s="41">
        <f t="shared" si="0"/>
        <v>0</v>
      </c>
    </row>
    <row r="53" spans="2:6" x14ac:dyDescent="0.2">
      <c r="B53" s="38" t="s">
        <v>165</v>
      </c>
      <c r="C53" s="40" t="s">
        <v>159</v>
      </c>
      <c r="E53" s="41">
        <f>'Misc Subbie Rates_Master'!D16</f>
        <v>50</v>
      </c>
      <c r="F53" s="41">
        <f t="shared" si="0"/>
        <v>0</v>
      </c>
    </row>
    <row r="54" spans="2:6" x14ac:dyDescent="0.2">
      <c r="B54" s="38" t="s">
        <v>166</v>
      </c>
      <c r="C54" s="40" t="s">
        <v>159</v>
      </c>
      <c r="E54" s="41">
        <f>'Misc Subbie Rates_Master'!D17</f>
        <v>140</v>
      </c>
      <c r="F54" s="41">
        <f t="shared" si="0"/>
        <v>0</v>
      </c>
    </row>
    <row r="55" spans="2:6" x14ac:dyDescent="0.2">
      <c r="B55" s="38" t="s">
        <v>167</v>
      </c>
      <c r="C55" s="40" t="s">
        <v>159</v>
      </c>
      <c r="E55" s="41">
        <f>'Misc Subbie Rates_Master'!D18</f>
        <v>128</v>
      </c>
      <c r="F55" s="41">
        <f t="shared" si="0"/>
        <v>0</v>
      </c>
    </row>
    <row r="56" spans="2:6" x14ac:dyDescent="0.2">
      <c r="B56" s="38" t="s">
        <v>168</v>
      </c>
      <c r="C56" s="40" t="s">
        <v>159</v>
      </c>
      <c r="E56" s="41">
        <f>'Misc Subbie Rates_Master'!D19</f>
        <v>26</v>
      </c>
      <c r="F56" s="41">
        <f t="shared" si="0"/>
        <v>0</v>
      </c>
    </row>
    <row r="57" spans="2:6" x14ac:dyDescent="0.2">
      <c r="B57" s="38" t="s">
        <v>169</v>
      </c>
      <c r="C57" s="40" t="s">
        <v>159</v>
      </c>
      <c r="E57" s="41">
        <f>'Misc Subbie Rates_Master'!D20</f>
        <v>10</v>
      </c>
      <c r="F57" s="41">
        <f t="shared" si="0"/>
        <v>0</v>
      </c>
    </row>
    <row r="58" spans="2:6" x14ac:dyDescent="0.2">
      <c r="B58" s="38" t="s">
        <v>170</v>
      </c>
      <c r="C58" s="40" t="s">
        <v>159</v>
      </c>
      <c r="E58" s="41">
        <f>'Misc Subbie Rates_Master'!D21</f>
        <v>153</v>
      </c>
      <c r="F58" s="41">
        <f t="shared" si="0"/>
        <v>0</v>
      </c>
    </row>
    <row r="59" spans="2:6" x14ac:dyDescent="0.2">
      <c r="B59" s="38" t="s">
        <v>171</v>
      </c>
      <c r="C59" s="40" t="s">
        <v>159</v>
      </c>
      <c r="E59" s="41">
        <f>'Misc Subbie Rates_Master'!D22</f>
        <v>36</v>
      </c>
      <c r="F59" s="41">
        <f t="shared" si="0"/>
        <v>0</v>
      </c>
    </row>
    <row r="60" spans="2:6" x14ac:dyDescent="0.2">
      <c r="B60" s="38" t="s">
        <v>172</v>
      </c>
      <c r="C60" s="40" t="s">
        <v>159</v>
      </c>
      <c r="E60" s="41">
        <f>'Misc Subbie Rates_Master'!D23</f>
        <v>10</v>
      </c>
      <c r="F60" s="41">
        <f t="shared" si="0"/>
        <v>0</v>
      </c>
    </row>
    <row r="61" spans="2:6" x14ac:dyDescent="0.2">
      <c r="B61" s="38" t="s">
        <v>173</v>
      </c>
      <c r="C61" s="40" t="s">
        <v>159</v>
      </c>
      <c r="E61" s="41">
        <f>'Misc Subbie Rates_Master'!D24</f>
        <v>190</v>
      </c>
      <c r="F61" s="41">
        <f t="shared" si="0"/>
        <v>0</v>
      </c>
    </row>
    <row r="62" spans="2:6" x14ac:dyDescent="0.2">
      <c r="B62" s="38" t="s">
        <v>174</v>
      </c>
      <c r="C62" s="40" t="s">
        <v>159</v>
      </c>
      <c r="E62" s="41">
        <f>'Misc Subbie Rates_Master'!D25</f>
        <v>220</v>
      </c>
      <c r="F62" s="41">
        <f t="shared" si="0"/>
        <v>0</v>
      </c>
    </row>
    <row r="63" spans="2:6" x14ac:dyDescent="0.2">
      <c r="B63" s="38" t="s">
        <v>175</v>
      </c>
      <c r="C63" s="40" t="s">
        <v>159</v>
      </c>
      <c r="E63" s="41">
        <f>'Misc Subbie Rates_Master'!D26</f>
        <v>250</v>
      </c>
      <c r="F63" s="41">
        <f t="shared" si="0"/>
        <v>0</v>
      </c>
    </row>
    <row r="64" spans="2:6" x14ac:dyDescent="0.2">
      <c r="B64" s="38" t="s">
        <v>176</v>
      </c>
      <c r="C64" s="40" t="s">
        <v>159</v>
      </c>
      <c r="E64" s="41">
        <f>'Misc Subbie Rates_Master'!D27</f>
        <v>110</v>
      </c>
      <c r="F64" s="41">
        <f t="shared" si="0"/>
        <v>0</v>
      </c>
    </row>
    <row r="65" spans="1:6" x14ac:dyDescent="0.2">
      <c r="B65" s="38" t="s">
        <v>177</v>
      </c>
      <c r="C65" s="40" t="s">
        <v>159</v>
      </c>
      <c r="E65" s="41">
        <f>'Misc Subbie Rates_Master'!D28</f>
        <v>110</v>
      </c>
      <c r="F65" s="41">
        <f t="shared" si="0"/>
        <v>0</v>
      </c>
    </row>
    <row r="67" spans="1:6" x14ac:dyDescent="0.2">
      <c r="B67" s="284" t="s">
        <v>178</v>
      </c>
    </row>
    <row r="68" spans="1:6" hidden="1" x14ac:dyDescent="0.2">
      <c r="A68" s="40"/>
      <c r="B68" s="201" t="s">
        <v>179</v>
      </c>
      <c r="C68" s="40" t="s">
        <v>93</v>
      </c>
      <c r="E68" s="41">
        <f>'Equip&amp;HIRE_Master'!D4</f>
        <v>225.43333333333334</v>
      </c>
      <c r="F68" s="41">
        <f t="shared" ref="F68:F99" si="1">E68*D68</f>
        <v>0</v>
      </c>
    </row>
    <row r="69" spans="1:6" hidden="1" x14ac:dyDescent="0.2">
      <c r="A69" s="40"/>
      <c r="B69" s="201" t="s">
        <v>180</v>
      </c>
      <c r="C69" s="40" t="s">
        <v>93</v>
      </c>
      <c r="E69" s="41">
        <f>'Equip&amp;HIRE_Master'!D5</f>
        <v>163.96666666666667</v>
      </c>
      <c r="F69" s="41">
        <f t="shared" si="1"/>
        <v>0</v>
      </c>
    </row>
    <row r="70" spans="1:6" hidden="1" x14ac:dyDescent="0.2">
      <c r="A70" s="40"/>
      <c r="B70" s="201" t="s">
        <v>181</v>
      </c>
      <c r="C70" s="40" t="s">
        <v>93</v>
      </c>
      <c r="E70" s="41">
        <f>'Equip&amp;HIRE_Master'!D6</f>
        <v>180</v>
      </c>
      <c r="F70" s="41">
        <f t="shared" si="1"/>
        <v>0</v>
      </c>
    </row>
    <row r="71" spans="1:6" ht="6" hidden="1" customHeight="1" x14ac:dyDescent="0.2">
      <c r="A71" s="40"/>
      <c r="B71" s="201"/>
      <c r="E71" s="41">
        <f>'Equip&amp;HIRE_Master'!D7</f>
        <v>0</v>
      </c>
      <c r="F71" s="41">
        <f t="shared" si="1"/>
        <v>0</v>
      </c>
    </row>
    <row r="72" spans="1:6" hidden="1" x14ac:dyDescent="0.2">
      <c r="A72" s="40"/>
      <c r="B72" s="201" t="s">
        <v>182</v>
      </c>
      <c r="C72" s="40" t="s">
        <v>93</v>
      </c>
      <c r="E72" s="41">
        <f>'Equip&amp;HIRE_Master'!D8</f>
        <v>137.14285714285714</v>
      </c>
      <c r="F72" s="41">
        <f t="shared" si="1"/>
        <v>0</v>
      </c>
    </row>
    <row r="73" spans="1:6" hidden="1" x14ac:dyDescent="0.2">
      <c r="A73" s="40"/>
      <c r="B73" s="201" t="s">
        <v>183</v>
      </c>
      <c r="C73" s="40" t="s">
        <v>93</v>
      </c>
      <c r="E73" s="41">
        <f>'Equip&amp;HIRE_Master'!D9</f>
        <v>0</v>
      </c>
      <c r="F73" s="41">
        <f t="shared" si="1"/>
        <v>0</v>
      </c>
    </row>
    <row r="74" spans="1:6" hidden="1" x14ac:dyDescent="0.2">
      <c r="A74" s="40"/>
      <c r="B74" s="201" t="s">
        <v>184</v>
      </c>
      <c r="C74" s="40" t="s">
        <v>93</v>
      </c>
      <c r="E74" s="41">
        <f>'Equip&amp;HIRE_Master'!D10</f>
        <v>238.66666666666666</v>
      </c>
      <c r="F74" s="41">
        <f t="shared" si="1"/>
        <v>0</v>
      </c>
    </row>
    <row r="75" spans="1:6" hidden="1" x14ac:dyDescent="0.2">
      <c r="A75" s="40"/>
      <c r="B75" s="201" t="s">
        <v>185</v>
      </c>
      <c r="C75" s="40" t="s">
        <v>93</v>
      </c>
      <c r="E75" s="41">
        <f>'Equip&amp;HIRE_Master'!D11</f>
        <v>261.16666666666669</v>
      </c>
      <c r="F75" s="41">
        <f t="shared" si="1"/>
        <v>0</v>
      </c>
    </row>
    <row r="76" spans="1:6" hidden="1" x14ac:dyDescent="0.2">
      <c r="A76" s="40"/>
      <c r="B76" s="201" t="s">
        <v>186</v>
      </c>
      <c r="C76" s="40" t="s">
        <v>93</v>
      </c>
      <c r="E76" s="41">
        <f>'Equip&amp;HIRE_Master'!D12</f>
        <v>0</v>
      </c>
      <c r="F76" s="41">
        <f t="shared" si="1"/>
        <v>0</v>
      </c>
    </row>
    <row r="77" spans="1:6" hidden="1" x14ac:dyDescent="0.2">
      <c r="A77" s="40"/>
      <c r="B77" s="201" t="s">
        <v>187</v>
      </c>
      <c r="C77" s="40" t="s">
        <v>93</v>
      </c>
      <c r="E77" s="41">
        <f>'Equip&amp;HIRE_Master'!D13</f>
        <v>317.2</v>
      </c>
      <c r="F77" s="41">
        <f t="shared" si="1"/>
        <v>0</v>
      </c>
    </row>
    <row r="78" spans="1:6" hidden="1" x14ac:dyDescent="0.2">
      <c r="A78" s="40"/>
      <c r="B78" s="201" t="s">
        <v>188</v>
      </c>
      <c r="C78" s="40" t="s">
        <v>93</v>
      </c>
      <c r="E78" s="41">
        <f>'Equip&amp;HIRE_Master'!D14</f>
        <v>314.28571428571428</v>
      </c>
      <c r="F78" s="41">
        <f t="shared" si="1"/>
        <v>0</v>
      </c>
    </row>
    <row r="79" spans="1:6" ht="6.6" hidden="1" customHeight="1" x14ac:dyDescent="0.2">
      <c r="A79" s="40"/>
      <c r="B79" s="201"/>
      <c r="E79" s="41">
        <f>'Equip&amp;HIRE_Master'!D15</f>
        <v>0</v>
      </c>
      <c r="F79" s="41">
        <f t="shared" si="1"/>
        <v>0</v>
      </c>
    </row>
    <row r="80" spans="1:6" hidden="1" x14ac:dyDescent="0.2">
      <c r="A80" s="40"/>
      <c r="B80" s="201" t="s">
        <v>189</v>
      </c>
      <c r="C80" s="40" t="s">
        <v>93</v>
      </c>
      <c r="E80" s="41">
        <f>'Equip&amp;HIRE_Master'!D16</f>
        <v>0</v>
      </c>
      <c r="F80" s="41">
        <f t="shared" si="1"/>
        <v>0</v>
      </c>
    </row>
    <row r="81" spans="1:6" hidden="1" x14ac:dyDescent="0.2">
      <c r="A81" s="40"/>
      <c r="B81" s="201" t="s">
        <v>190</v>
      </c>
      <c r="C81" s="40" t="s">
        <v>93</v>
      </c>
      <c r="E81" s="41">
        <f>'Equip&amp;HIRE_Master'!D17</f>
        <v>32.74</v>
      </c>
      <c r="F81" s="41">
        <f t="shared" si="1"/>
        <v>0</v>
      </c>
    </row>
    <row r="82" spans="1:6" hidden="1" x14ac:dyDescent="0.2">
      <c r="A82" s="40"/>
      <c r="B82" s="201" t="s">
        <v>191</v>
      </c>
      <c r="C82" s="40" t="s">
        <v>93</v>
      </c>
      <c r="E82" s="41">
        <f>'Equip&amp;HIRE_Master'!D18</f>
        <v>0</v>
      </c>
      <c r="F82" s="41">
        <f t="shared" si="1"/>
        <v>0</v>
      </c>
    </row>
    <row r="83" spans="1:6" hidden="1" x14ac:dyDescent="0.2">
      <c r="A83" s="40"/>
      <c r="B83" s="201" t="s">
        <v>192</v>
      </c>
      <c r="C83" s="40" t="s">
        <v>93</v>
      </c>
      <c r="E83" s="41">
        <f>'Equip&amp;HIRE_Master'!D19</f>
        <v>40.380000000000003</v>
      </c>
      <c r="F83" s="41">
        <f t="shared" si="1"/>
        <v>0</v>
      </c>
    </row>
    <row r="84" spans="1:6" hidden="1" x14ac:dyDescent="0.2">
      <c r="A84" s="40"/>
      <c r="B84" s="201" t="s">
        <v>193</v>
      </c>
      <c r="C84" s="40" t="s">
        <v>93</v>
      </c>
      <c r="E84" s="41">
        <f>'Equip&amp;HIRE_Master'!D20</f>
        <v>123.33</v>
      </c>
      <c r="F84" s="41">
        <f t="shared" si="1"/>
        <v>0</v>
      </c>
    </row>
    <row r="85" spans="1:6" hidden="1" x14ac:dyDescent="0.2">
      <c r="A85" s="40"/>
      <c r="B85" s="201" t="s">
        <v>194</v>
      </c>
      <c r="C85" s="40" t="s">
        <v>93</v>
      </c>
      <c r="E85" s="41">
        <f>'Equip&amp;HIRE_Master'!D21</f>
        <v>165.89</v>
      </c>
      <c r="F85" s="41">
        <f t="shared" si="1"/>
        <v>0</v>
      </c>
    </row>
    <row r="86" spans="1:6" hidden="1" x14ac:dyDescent="0.2">
      <c r="A86" s="40"/>
      <c r="B86" s="201" t="s">
        <v>195</v>
      </c>
      <c r="C86" s="40" t="s">
        <v>93</v>
      </c>
      <c r="E86" s="41">
        <f>'Equip&amp;HIRE_Master'!D22</f>
        <v>165.89</v>
      </c>
      <c r="F86" s="41">
        <f t="shared" si="1"/>
        <v>0</v>
      </c>
    </row>
    <row r="87" spans="1:6" hidden="1" x14ac:dyDescent="0.2">
      <c r="A87" s="40"/>
      <c r="B87" s="201" t="s">
        <v>196</v>
      </c>
      <c r="C87" s="40" t="s">
        <v>93</v>
      </c>
      <c r="E87" s="41">
        <f>'Equip&amp;HIRE_Master'!D23</f>
        <v>0</v>
      </c>
      <c r="F87" s="41">
        <f t="shared" si="1"/>
        <v>0</v>
      </c>
    </row>
    <row r="88" spans="1:6" hidden="1" x14ac:dyDescent="0.2">
      <c r="A88" s="40"/>
      <c r="B88" s="201" t="s">
        <v>197</v>
      </c>
      <c r="C88" s="40" t="s">
        <v>93</v>
      </c>
      <c r="E88" s="41">
        <f>'Equip&amp;HIRE_Master'!D24</f>
        <v>203</v>
      </c>
      <c r="F88" s="41">
        <f t="shared" si="1"/>
        <v>0</v>
      </c>
    </row>
    <row r="89" spans="1:6" hidden="1" x14ac:dyDescent="0.2">
      <c r="A89" s="40"/>
      <c r="B89" s="201" t="s">
        <v>198</v>
      </c>
      <c r="E89" s="41">
        <f>'Equip&amp;HIRE_Master'!D25</f>
        <v>0</v>
      </c>
      <c r="F89" s="41">
        <f t="shared" si="1"/>
        <v>0</v>
      </c>
    </row>
    <row r="90" spans="1:6" hidden="1" x14ac:dyDescent="0.2">
      <c r="A90" s="40"/>
      <c r="B90" s="201" t="s">
        <v>199</v>
      </c>
      <c r="E90" s="41">
        <f>'Equip&amp;HIRE_Master'!D26</f>
        <v>0</v>
      </c>
      <c r="F90" s="41">
        <f t="shared" si="1"/>
        <v>0</v>
      </c>
    </row>
    <row r="91" spans="1:6" ht="4.95" hidden="1" customHeight="1" x14ac:dyDescent="0.2">
      <c r="A91" s="40"/>
      <c r="B91" s="201"/>
      <c r="E91" s="41">
        <f>'Equip&amp;HIRE_Master'!D27</f>
        <v>0</v>
      </c>
      <c r="F91" s="41">
        <f t="shared" si="1"/>
        <v>0</v>
      </c>
    </row>
    <row r="92" spans="1:6" hidden="1" x14ac:dyDescent="0.2">
      <c r="A92" s="40"/>
      <c r="B92" s="201" t="s">
        <v>200</v>
      </c>
      <c r="C92" s="40" t="s">
        <v>93</v>
      </c>
      <c r="E92" s="41">
        <f>'Equip&amp;HIRE_Master'!D28</f>
        <v>205</v>
      </c>
      <c r="F92" s="41">
        <f t="shared" si="1"/>
        <v>0</v>
      </c>
    </row>
    <row r="93" spans="1:6" hidden="1" x14ac:dyDescent="0.2">
      <c r="A93" s="40"/>
      <c r="B93" s="201" t="s">
        <v>201</v>
      </c>
      <c r="C93" s="40" t="s">
        <v>93</v>
      </c>
      <c r="E93" s="41">
        <f>'Equip&amp;HIRE_Master'!D29</f>
        <v>166.98</v>
      </c>
      <c r="F93" s="41">
        <f t="shared" si="1"/>
        <v>0</v>
      </c>
    </row>
    <row r="94" spans="1:6" hidden="1" x14ac:dyDescent="0.2">
      <c r="A94" s="40"/>
      <c r="B94" s="201" t="s">
        <v>202</v>
      </c>
      <c r="C94" s="40" t="s">
        <v>93</v>
      </c>
      <c r="E94" s="41">
        <f>'Equip&amp;HIRE_Master'!D30</f>
        <v>171.42857142857142</v>
      </c>
      <c r="F94" s="41">
        <f t="shared" si="1"/>
        <v>0</v>
      </c>
    </row>
    <row r="95" spans="1:6" ht="4.2" hidden="1" customHeight="1" x14ac:dyDescent="0.2">
      <c r="A95" s="40"/>
      <c r="B95" s="201"/>
      <c r="E95" s="41">
        <f>'Equip&amp;HIRE_Master'!D31</f>
        <v>0</v>
      </c>
      <c r="F95" s="41">
        <f t="shared" si="1"/>
        <v>0</v>
      </c>
    </row>
    <row r="96" spans="1:6" hidden="1" x14ac:dyDescent="0.2">
      <c r="A96" s="40"/>
      <c r="B96" s="201" t="s">
        <v>203</v>
      </c>
      <c r="C96" s="40" t="s">
        <v>93</v>
      </c>
      <c r="E96" s="41">
        <f>'Equip&amp;HIRE_Master'!D32</f>
        <v>0</v>
      </c>
      <c r="F96" s="41">
        <f t="shared" si="1"/>
        <v>0</v>
      </c>
    </row>
    <row r="97" spans="1:6" hidden="1" x14ac:dyDescent="0.2">
      <c r="A97" s="40"/>
      <c r="B97" s="201" t="s">
        <v>204</v>
      </c>
      <c r="C97" s="40" t="s">
        <v>93</v>
      </c>
      <c r="E97" s="41">
        <f>'Equip&amp;HIRE_Master'!D33</f>
        <v>34.285714285714285</v>
      </c>
      <c r="F97" s="41">
        <f t="shared" si="1"/>
        <v>0</v>
      </c>
    </row>
    <row r="98" spans="1:6" hidden="1" x14ac:dyDescent="0.2">
      <c r="A98" s="40"/>
      <c r="B98" s="201" t="s">
        <v>205</v>
      </c>
      <c r="C98" s="40" t="s">
        <v>93</v>
      </c>
      <c r="E98" s="41">
        <f>'Equip&amp;HIRE_Master'!D34</f>
        <v>165</v>
      </c>
      <c r="F98" s="41">
        <f t="shared" si="1"/>
        <v>0</v>
      </c>
    </row>
    <row r="99" spans="1:6" hidden="1" x14ac:dyDescent="0.2">
      <c r="A99" s="40"/>
      <c r="B99" s="201" t="s">
        <v>206</v>
      </c>
      <c r="C99" s="40" t="s">
        <v>93</v>
      </c>
      <c r="E99" s="41">
        <f>'Equip&amp;HIRE_Master'!D35</f>
        <v>0</v>
      </c>
      <c r="F99" s="41">
        <f t="shared" si="1"/>
        <v>0</v>
      </c>
    </row>
    <row r="100" spans="1:6" hidden="1" x14ac:dyDescent="0.2">
      <c r="A100" s="40"/>
      <c r="B100" s="201" t="s">
        <v>207</v>
      </c>
      <c r="C100" s="40" t="s">
        <v>93</v>
      </c>
      <c r="E100" s="41">
        <f>'Equip&amp;HIRE_Master'!D36</f>
        <v>0</v>
      </c>
      <c r="F100" s="41">
        <f t="shared" ref="F100:F131" si="2">E100*D100</f>
        <v>0</v>
      </c>
    </row>
    <row r="101" spans="1:6" hidden="1" x14ac:dyDescent="0.2">
      <c r="A101" s="40"/>
      <c r="B101" s="201" t="s">
        <v>208</v>
      </c>
      <c r="C101" s="40" t="s">
        <v>93</v>
      </c>
      <c r="E101" s="41">
        <f>'Equip&amp;HIRE_Master'!D37</f>
        <v>0</v>
      </c>
      <c r="F101" s="41">
        <f t="shared" si="2"/>
        <v>0</v>
      </c>
    </row>
    <row r="102" spans="1:6" hidden="1" x14ac:dyDescent="0.2">
      <c r="A102" s="40"/>
      <c r="B102" s="201" t="s">
        <v>209</v>
      </c>
      <c r="C102" s="40" t="s">
        <v>93</v>
      </c>
      <c r="E102" s="41">
        <f>'Equip&amp;HIRE_Master'!D38</f>
        <v>0</v>
      </c>
      <c r="F102" s="41">
        <f t="shared" si="2"/>
        <v>0</v>
      </c>
    </row>
    <row r="103" spans="1:6" ht="6" hidden="1" customHeight="1" x14ac:dyDescent="0.2">
      <c r="A103" s="40"/>
      <c r="B103" s="201"/>
      <c r="E103" s="41">
        <f>'Equip&amp;HIRE_Master'!D39</f>
        <v>0</v>
      </c>
      <c r="F103" s="41">
        <f t="shared" si="2"/>
        <v>0</v>
      </c>
    </row>
    <row r="104" spans="1:6" hidden="1" x14ac:dyDescent="0.2">
      <c r="A104" s="40"/>
      <c r="B104" s="201" t="s">
        <v>210</v>
      </c>
      <c r="C104" s="40" t="s">
        <v>93</v>
      </c>
      <c r="E104" s="41">
        <f>'Equip&amp;HIRE_Master'!D40</f>
        <v>5.46</v>
      </c>
      <c r="F104" s="41">
        <f t="shared" si="2"/>
        <v>0</v>
      </c>
    </row>
    <row r="105" spans="1:6" hidden="1" x14ac:dyDescent="0.2">
      <c r="A105" s="40"/>
      <c r="B105" s="201" t="s">
        <v>211</v>
      </c>
      <c r="C105" s="40" t="s">
        <v>93</v>
      </c>
      <c r="E105" s="41">
        <f>'Equip&amp;HIRE_Master'!D41</f>
        <v>23</v>
      </c>
      <c r="F105" s="41">
        <f t="shared" si="2"/>
        <v>0</v>
      </c>
    </row>
    <row r="106" spans="1:6" hidden="1" x14ac:dyDescent="0.2">
      <c r="A106" s="40"/>
      <c r="B106" s="201" t="s">
        <v>212</v>
      </c>
      <c r="C106" s="40" t="s">
        <v>93</v>
      </c>
      <c r="E106" s="41">
        <f>'Equip&amp;HIRE_Master'!D42</f>
        <v>23</v>
      </c>
      <c r="F106" s="41">
        <f t="shared" si="2"/>
        <v>0</v>
      </c>
    </row>
    <row r="107" spans="1:6" hidden="1" x14ac:dyDescent="0.2">
      <c r="A107" s="40"/>
      <c r="B107" s="201" t="s">
        <v>213</v>
      </c>
      <c r="C107" s="40" t="s">
        <v>93</v>
      </c>
      <c r="E107" s="41">
        <f>'Equip&amp;HIRE_Master'!D43</f>
        <v>0</v>
      </c>
      <c r="F107" s="41">
        <f t="shared" si="2"/>
        <v>0</v>
      </c>
    </row>
    <row r="108" spans="1:6" hidden="1" x14ac:dyDescent="0.2">
      <c r="A108" s="40"/>
      <c r="B108" s="201" t="s">
        <v>214</v>
      </c>
      <c r="C108" s="40" t="s">
        <v>93</v>
      </c>
      <c r="E108" s="41">
        <f>'Equip&amp;HIRE_Master'!D44</f>
        <v>0</v>
      </c>
      <c r="F108" s="41">
        <f t="shared" si="2"/>
        <v>0</v>
      </c>
    </row>
    <row r="109" spans="1:6" hidden="1" x14ac:dyDescent="0.2">
      <c r="A109" s="40"/>
      <c r="B109" s="201" t="s">
        <v>215</v>
      </c>
      <c r="C109" s="40" t="s">
        <v>93</v>
      </c>
      <c r="E109" s="41">
        <f>'Equip&amp;HIRE_Master'!D45</f>
        <v>0</v>
      </c>
      <c r="F109" s="41">
        <f t="shared" si="2"/>
        <v>0</v>
      </c>
    </row>
    <row r="110" spans="1:6" hidden="1" x14ac:dyDescent="0.2">
      <c r="A110" s="40"/>
      <c r="B110" s="201" t="s">
        <v>216</v>
      </c>
      <c r="C110" s="40" t="s">
        <v>93</v>
      </c>
      <c r="E110" s="41">
        <f>'Equip&amp;HIRE_Master'!D46</f>
        <v>0</v>
      </c>
      <c r="F110" s="41">
        <f t="shared" si="2"/>
        <v>0</v>
      </c>
    </row>
    <row r="111" spans="1:6" hidden="1" x14ac:dyDescent="0.2">
      <c r="A111" s="40"/>
      <c r="B111" s="201" t="s">
        <v>217</v>
      </c>
      <c r="C111" s="40" t="s">
        <v>93</v>
      </c>
      <c r="E111" s="41">
        <f>'Equip&amp;HIRE_Master'!D47</f>
        <v>0</v>
      </c>
      <c r="F111" s="41">
        <f t="shared" si="2"/>
        <v>0</v>
      </c>
    </row>
    <row r="112" spans="1:6" hidden="1" x14ac:dyDescent="0.2">
      <c r="A112" s="40"/>
      <c r="B112" s="201" t="s">
        <v>218</v>
      </c>
      <c r="C112" s="40" t="s">
        <v>93</v>
      </c>
      <c r="E112" s="41">
        <f>'Equip&amp;HIRE_Master'!D48</f>
        <v>0</v>
      </c>
      <c r="F112" s="41">
        <f t="shared" si="2"/>
        <v>0</v>
      </c>
    </row>
    <row r="113" spans="1:6" hidden="1" x14ac:dyDescent="0.2">
      <c r="A113" s="40"/>
      <c r="B113" s="201" t="s">
        <v>219</v>
      </c>
      <c r="C113" s="40" t="s">
        <v>93</v>
      </c>
      <c r="E113" s="41">
        <f>'Equip&amp;HIRE_Master'!D49</f>
        <v>0</v>
      </c>
      <c r="F113" s="41">
        <f t="shared" si="2"/>
        <v>0</v>
      </c>
    </row>
    <row r="114" spans="1:6" hidden="1" x14ac:dyDescent="0.2">
      <c r="A114" s="40"/>
      <c r="B114" s="201" t="s">
        <v>220</v>
      </c>
      <c r="C114" s="40" t="s">
        <v>93</v>
      </c>
      <c r="E114" s="41">
        <f>'Equip&amp;HIRE_Master'!D50</f>
        <v>0</v>
      </c>
      <c r="F114" s="41">
        <f t="shared" si="2"/>
        <v>0</v>
      </c>
    </row>
    <row r="115" spans="1:6" hidden="1" x14ac:dyDescent="0.2">
      <c r="A115" s="40"/>
      <c r="B115" s="201" t="s">
        <v>221</v>
      </c>
      <c r="C115" s="40" t="s">
        <v>93</v>
      </c>
      <c r="E115" s="41">
        <f>'Equip&amp;HIRE_Master'!D51</f>
        <v>0</v>
      </c>
      <c r="F115" s="41">
        <f t="shared" si="2"/>
        <v>0</v>
      </c>
    </row>
    <row r="116" spans="1:6" hidden="1" x14ac:dyDescent="0.2">
      <c r="A116" s="40"/>
      <c r="B116" s="201" t="s">
        <v>222</v>
      </c>
      <c r="C116" s="40" t="s">
        <v>93</v>
      </c>
      <c r="E116" s="41">
        <f>'Equip&amp;HIRE_Master'!D52</f>
        <v>0</v>
      </c>
      <c r="F116" s="41">
        <f t="shared" si="2"/>
        <v>0</v>
      </c>
    </row>
    <row r="117" spans="1:6" ht="6" hidden="1" customHeight="1" x14ac:dyDescent="0.2">
      <c r="A117" s="40"/>
      <c r="B117" s="201"/>
      <c r="E117" s="41">
        <f>'Equip&amp;HIRE_Master'!D53</f>
        <v>0</v>
      </c>
      <c r="F117" s="41">
        <f t="shared" si="2"/>
        <v>0</v>
      </c>
    </row>
    <row r="118" spans="1:6" hidden="1" x14ac:dyDescent="0.2">
      <c r="A118" s="40"/>
      <c r="B118" s="201" t="s">
        <v>223</v>
      </c>
      <c r="C118" s="40" t="s">
        <v>93</v>
      </c>
      <c r="E118" s="41">
        <f>'Equip&amp;HIRE_Master'!D54</f>
        <v>0</v>
      </c>
      <c r="F118" s="41">
        <f t="shared" si="2"/>
        <v>0</v>
      </c>
    </row>
    <row r="119" spans="1:6" hidden="1" x14ac:dyDescent="0.2">
      <c r="A119" s="40"/>
      <c r="B119" s="201" t="s">
        <v>224</v>
      </c>
      <c r="C119" s="40" t="s">
        <v>225</v>
      </c>
      <c r="E119" s="41">
        <f>'Equip&amp;HIRE_Master'!D55</f>
        <v>230</v>
      </c>
      <c r="F119" s="41">
        <f t="shared" si="2"/>
        <v>0</v>
      </c>
    </row>
    <row r="120" spans="1:6" hidden="1" x14ac:dyDescent="0.2">
      <c r="A120" s="40"/>
      <c r="B120" s="201" t="s">
        <v>226</v>
      </c>
      <c r="C120" s="40" t="s">
        <v>227</v>
      </c>
      <c r="E120" s="41">
        <f>'Equip&amp;HIRE_Master'!D56</f>
        <v>309</v>
      </c>
      <c r="F120" s="41">
        <f t="shared" si="2"/>
        <v>0</v>
      </c>
    </row>
    <row r="121" spans="1:6" hidden="1" x14ac:dyDescent="0.2">
      <c r="A121" s="40"/>
      <c r="B121" s="201" t="s">
        <v>228</v>
      </c>
      <c r="C121" s="40" t="s">
        <v>229</v>
      </c>
      <c r="E121" s="41">
        <f>'Equip&amp;HIRE_Master'!D57</f>
        <v>35</v>
      </c>
      <c r="F121" s="41">
        <f t="shared" si="2"/>
        <v>0</v>
      </c>
    </row>
    <row r="122" spans="1:6" hidden="1" x14ac:dyDescent="0.2">
      <c r="A122" s="40"/>
      <c r="B122" s="201" t="s">
        <v>230</v>
      </c>
      <c r="C122" s="40" t="s">
        <v>231</v>
      </c>
      <c r="E122" s="41">
        <f>'Equip&amp;HIRE_Master'!D58</f>
        <v>229.9</v>
      </c>
      <c r="F122" s="41">
        <f t="shared" si="2"/>
        <v>0</v>
      </c>
    </row>
    <row r="123" spans="1:6" hidden="1" x14ac:dyDescent="0.2">
      <c r="A123" s="40"/>
      <c r="B123" s="201" t="s">
        <v>232</v>
      </c>
      <c r="C123" s="40" t="s">
        <v>231</v>
      </c>
      <c r="E123" s="41">
        <f>'Equip&amp;HIRE_Master'!D59</f>
        <v>239.8</v>
      </c>
      <c r="F123" s="41">
        <f t="shared" si="2"/>
        <v>0</v>
      </c>
    </row>
    <row r="124" spans="1:6" hidden="1" x14ac:dyDescent="0.2">
      <c r="A124" s="40"/>
      <c r="B124" s="201" t="s">
        <v>233</v>
      </c>
      <c r="C124" s="40" t="s">
        <v>227</v>
      </c>
      <c r="E124" s="41">
        <f>'Equip&amp;HIRE_Master'!D60</f>
        <v>309</v>
      </c>
      <c r="F124" s="41">
        <f t="shared" si="2"/>
        <v>0</v>
      </c>
    </row>
    <row r="125" spans="1:6" hidden="1" x14ac:dyDescent="0.2">
      <c r="A125" s="40"/>
      <c r="B125" s="201" t="s">
        <v>234</v>
      </c>
      <c r="C125" s="40" t="s">
        <v>229</v>
      </c>
      <c r="E125" s="41">
        <f>'Equip&amp;HIRE_Master'!D61</f>
        <v>35</v>
      </c>
      <c r="F125" s="41">
        <f t="shared" si="2"/>
        <v>0</v>
      </c>
    </row>
    <row r="126" spans="1:6" hidden="1" x14ac:dyDescent="0.2">
      <c r="A126" s="40"/>
      <c r="B126" s="201" t="s">
        <v>235</v>
      </c>
      <c r="C126" s="40" t="s">
        <v>93</v>
      </c>
      <c r="E126" s="41">
        <f>'Equip&amp;HIRE_Master'!D62</f>
        <v>295.77</v>
      </c>
      <c r="F126" s="41">
        <f t="shared" si="2"/>
        <v>0</v>
      </c>
    </row>
    <row r="127" spans="1:6" hidden="1" x14ac:dyDescent="0.2">
      <c r="A127" s="40"/>
      <c r="B127" s="201" t="s">
        <v>236</v>
      </c>
      <c r="C127" s="40" t="s">
        <v>93</v>
      </c>
      <c r="E127" s="41">
        <f>'Equip&amp;HIRE_Master'!D63</f>
        <v>355</v>
      </c>
      <c r="F127" s="41">
        <f t="shared" si="2"/>
        <v>0</v>
      </c>
    </row>
    <row r="128" spans="1:6" ht="6" hidden="1" customHeight="1" x14ac:dyDescent="0.2">
      <c r="A128" s="40"/>
      <c r="B128" s="201"/>
      <c r="E128" s="41">
        <f>'Equip&amp;HIRE_Master'!D64</f>
        <v>0</v>
      </c>
      <c r="F128" s="41">
        <f t="shared" si="2"/>
        <v>0</v>
      </c>
    </row>
    <row r="129" spans="1:6" hidden="1" x14ac:dyDescent="0.2">
      <c r="A129" s="40"/>
      <c r="B129" s="201" t="s">
        <v>237</v>
      </c>
      <c r="C129" s="40" t="s">
        <v>93</v>
      </c>
      <c r="E129" s="41">
        <f>'Equip&amp;HIRE_Master'!D65</f>
        <v>0</v>
      </c>
      <c r="F129" s="41">
        <f t="shared" si="2"/>
        <v>0</v>
      </c>
    </row>
    <row r="130" spans="1:6" hidden="1" x14ac:dyDescent="0.2">
      <c r="A130" s="40"/>
      <c r="B130" s="201" t="s">
        <v>238</v>
      </c>
      <c r="C130" s="40" t="s">
        <v>239</v>
      </c>
      <c r="E130" s="41">
        <f>'Equip&amp;HIRE_Master'!D66</f>
        <v>180</v>
      </c>
      <c r="F130" s="41">
        <f t="shared" si="2"/>
        <v>0</v>
      </c>
    </row>
    <row r="131" spans="1:6" hidden="1" x14ac:dyDescent="0.2">
      <c r="A131" s="40"/>
      <c r="B131" s="201" t="s">
        <v>240</v>
      </c>
      <c r="C131" s="40" t="s">
        <v>239</v>
      </c>
      <c r="E131" s="41">
        <f>'Equip&amp;HIRE_Master'!D67</f>
        <v>125</v>
      </c>
      <c r="F131" s="41">
        <f t="shared" si="2"/>
        <v>0</v>
      </c>
    </row>
    <row r="132" spans="1:6" hidden="1" x14ac:dyDescent="0.2">
      <c r="A132" s="40"/>
      <c r="B132" s="201" t="s">
        <v>241</v>
      </c>
      <c r="C132" s="40" t="s">
        <v>239</v>
      </c>
      <c r="E132" s="41">
        <f>'Equip&amp;HIRE_Master'!D68</f>
        <v>160</v>
      </c>
      <c r="F132" s="41">
        <f t="shared" ref="F132:F133" si="3">E132*D132</f>
        <v>0</v>
      </c>
    </row>
    <row r="133" spans="1:6" hidden="1" x14ac:dyDescent="0.2">
      <c r="A133" s="40"/>
      <c r="B133" s="201" t="s">
        <v>242</v>
      </c>
      <c r="C133" s="40" t="s">
        <v>239</v>
      </c>
      <c r="E133" s="41">
        <f>'Equip&amp;HIRE_Master'!D69</f>
        <v>200</v>
      </c>
      <c r="F133" s="41">
        <f t="shared" si="3"/>
        <v>0</v>
      </c>
    </row>
    <row r="134" spans="1:6" x14ac:dyDescent="0.2">
      <c r="A134" s="40" t="s">
        <v>243</v>
      </c>
    </row>
    <row r="135" spans="1:6" x14ac:dyDescent="0.2">
      <c r="A135" s="40"/>
      <c r="B135" s="201" t="s">
        <v>244</v>
      </c>
      <c r="C135" s="40" t="s">
        <v>229</v>
      </c>
      <c r="E135" s="41">
        <v>1850</v>
      </c>
      <c r="F135" s="41">
        <f>E135*D135</f>
        <v>0</v>
      </c>
    </row>
    <row r="136" spans="1:6" x14ac:dyDescent="0.2">
      <c r="A136" s="40"/>
    </row>
    <row r="137" spans="1:6" x14ac:dyDescent="0.2">
      <c r="A137" s="42"/>
      <c r="B137" s="49" t="s">
        <v>245</v>
      </c>
    </row>
    <row r="139" spans="1:6" x14ac:dyDescent="0.2">
      <c r="B139" s="38" t="s">
        <v>246</v>
      </c>
      <c r="C139" s="40" t="s">
        <v>115</v>
      </c>
      <c r="E139" s="41">
        <f>'Misc Subbie Rates_Master'!D35</f>
        <v>180</v>
      </c>
      <c r="F139" s="41">
        <f t="shared" ref="F139:F147" si="4">E139*D139</f>
        <v>0</v>
      </c>
    </row>
    <row r="140" spans="1:6" x14ac:dyDescent="0.2">
      <c r="B140" s="38" t="s">
        <v>247</v>
      </c>
      <c r="C140" s="40" t="s">
        <v>115</v>
      </c>
      <c r="E140" s="41">
        <f>'Misc Subbie Rates_Master'!D42</f>
        <v>130</v>
      </c>
      <c r="F140" s="41">
        <f t="shared" si="4"/>
        <v>0</v>
      </c>
    </row>
    <row r="141" spans="1:6" x14ac:dyDescent="0.2">
      <c r="B141" s="38" t="s">
        <v>248</v>
      </c>
      <c r="C141" s="40" t="s">
        <v>115</v>
      </c>
      <c r="E141" s="41">
        <f>'Misc Subbie Rates_Master'!D72</f>
        <v>115</v>
      </c>
      <c r="F141" s="41">
        <f t="shared" si="4"/>
        <v>0</v>
      </c>
    </row>
    <row r="142" spans="1:6" x14ac:dyDescent="0.2">
      <c r="B142" s="38" t="s">
        <v>249</v>
      </c>
      <c r="C142" s="40" t="s">
        <v>115</v>
      </c>
      <c r="E142" s="41">
        <f>'Misc Subbie Rates_Master'!D73</f>
        <v>90</v>
      </c>
      <c r="F142" s="41">
        <f t="shared" si="4"/>
        <v>0</v>
      </c>
    </row>
    <row r="143" spans="1:6" x14ac:dyDescent="0.2">
      <c r="C143" s="40" t="s">
        <v>115</v>
      </c>
      <c r="F143" s="41">
        <f t="shared" si="4"/>
        <v>0</v>
      </c>
    </row>
    <row r="144" spans="1:6" x14ac:dyDescent="0.2">
      <c r="C144" s="40" t="s">
        <v>115</v>
      </c>
      <c r="F144" s="41">
        <f t="shared" si="4"/>
        <v>0</v>
      </c>
    </row>
    <row r="145" spans="1:6" x14ac:dyDescent="0.2">
      <c r="B145" s="284" t="s">
        <v>250</v>
      </c>
      <c r="C145" s="40" t="s">
        <v>115</v>
      </c>
      <c r="F145" s="41">
        <f t="shared" si="4"/>
        <v>0</v>
      </c>
    </row>
    <row r="146" spans="1:6" x14ac:dyDescent="0.2">
      <c r="B146" s="1" t="s">
        <v>251</v>
      </c>
      <c r="C146" s="40" t="s">
        <v>115</v>
      </c>
      <c r="E146" s="41">
        <f>'Misc Subbie Rates_Master'!D84</f>
        <v>1945</v>
      </c>
      <c r="F146" s="41">
        <f t="shared" si="4"/>
        <v>0</v>
      </c>
    </row>
    <row r="147" spans="1:6" x14ac:dyDescent="0.2">
      <c r="B147" s="38" t="s">
        <v>252</v>
      </c>
      <c r="C147" s="40" t="s">
        <v>115</v>
      </c>
      <c r="E147" s="41">
        <f>'Misc Subbie Rates_Master'!D86</f>
        <v>350</v>
      </c>
      <c r="F147" s="41">
        <f t="shared" si="4"/>
        <v>0</v>
      </c>
    </row>
    <row r="150" spans="1:6" x14ac:dyDescent="0.2">
      <c r="A150" s="42"/>
      <c r="B150" s="49" t="s">
        <v>253</v>
      </c>
    </row>
    <row r="152" spans="1:6" x14ac:dyDescent="0.2">
      <c r="B152" s="38" t="str">
        <f>'Material Rates_Master'!A185</f>
        <v>Bedding / Fill Sand</v>
      </c>
      <c r="C152" s="40" t="str">
        <f>'Material Rates_Master'!B185</f>
        <v>m3</v>
      </c>
      <c r="E152" s="41">
        <f>'Material Rates_Master'!D185</f>
        <v>39.75</v>
      </c>
      <c r="F152" s="41">
        <f>E152*D152</f>
        <v>0</v>
      </c>
    </row>
    <row r="153" spans="1:6" x14ac:dyDescent="0.2">
      <c r="B153" s="38" t="str">
        <f>'Material Rates_Master'!A186</f>
        <v>CBR 45/2.5 Roadbase</v>
      </c>
      <c r="C153" s="40" t="str">
        <f>'Material Rates_Master'!B186</f>
        <v>m3</v>
      </c>
      <c r="E153" s="41">
        <f>'Material Rates_Master'!D186</f>
        <v>41.9</v>
      </c>
      <c r="F153" s="41">
        <f>E153*D153</f>
        <v>0</v>
      </c>
    </row>
    <row r="154" spans="1:6" x14ac:dyDescent="0.2">
      <c r="B154" s="38" t="str">
        <f>'Material Rates_Master'!A187</f>
        <v>Turf Underlay/Topsoil</v>
      </c>
      <c r="C154" s="40" t="str">
        <f>'Material Rates_Master'!B187</f>
        <v>m3</v>
      </c>
      <c r="E154" s="41">
        <f>'Material Rates_Master'!D187</f>
        <v>45.25</v>
      </c>
      <c r="F154" s="41">
        <f>E154*D154</f>
        <v>0</v>
      </c>
    </row>
    <row r="155" spans="1:6" x14ac:dyDescent="0.2">
      <c r="B155" s="38" t="str">
        <f>'Material Rates_Master'!A188</f>
        <v>Standard Garden Woodchip</v>
      </c>
      <c r="C155" s="40" t="str">
        <f>'Material Rates_Master'!B188</f>
        <v>m3</v>
      </c>
      <c r="E155" s="41">
        <f>'Material Rates_Master'!D188</f>
        <v>87</v>
      </c>
      <c r="F155" s="41">
        <f>E155*D155</f>
        <v>0</v>
      </c>
    </row>
    <row r="156" spans="1:6" x14ac:dyDescent="0.2">
      <c r="B156" s="38" t="str">
        <f>'Material Rates_Master'!A189</f>
        <v>Turf - Standard Couch or Similar</v>
      </c>
      <c r="C156" s="40" t="str">
        <f>'Material Rates_Master'!B189</f>
        <v>Slab (.5m2)</v>
      </c>
      <c r="E156" s="41">
        <f>'Material Rates_Master'!D189</f>
        <v>6.48</v>
      </c>
      <c r="F156" s="41">
        <f>E156*D156</f>
        <v>0</v>
      </c>
    </row>
    <row r="157" spans="1:6" ht="4.2" customHeight="1" x14ac:dyDescent="0.2"/>
    <row r="158" spans="1:6" x14ac:dyDescent="0.2">
      <c r="B158" s="38" t="str">
        <f>'Material Rates_Master'!A193</f>
        <v>Cement Stabalized Sand (3-5%)</v>
      </c>
      <c r="C158" s="40" t="str">
        <f>'Material Rates_Master'!B193</f>
        <v>m3</v>
      </c>
      <c r="E158" s="41">
        <f>'Material Rates_Master'!D193</f>
        <v>169</v>
      </c>
      <c r="F158" s="41">
        <f>E158*D158</f>
        <v>0</v>
      </c>
    </row>
    <row r="159" spans="1:6" x14ac:dyDescent="0.2">
      <c r="B159" s="38" t="str">
        <f>'Material Rates_Master'!A194</f>
        <v>Exposed Agg Concrete - Standard/Cheapest Exposed Agg Stone</v>
      </c>
      <c r="C159" s="40" t="str">
        <f>'Material Rates_Master'!B194</f>
        <v>m3</v>
      </c>
      <c r="E159" s="41">
        <f>'Material Rates_Master'!D194</f>
        <v>252</v>
      </c>
      <c r="F159" s="41">
        <f>E159*D159</f>
        <v>0</v>
      </c>
    </row>
    <row r="160" spans="1:6" x14ac:dyDescent="0.2">
      <c r="B160" s="38" t="str">
        <f>'Material Rates_Master'!A195</f>
        <v>N25 20mm 80 Slump Concrete</v>
      </c>
      <c r="C160" s="40" t="str">
        <f>'Material Rates_Master'!B195</f>
        <v>m3</v>
      </c>
      <c r="E160" s="41">
        <f>'Material Rates_Master'!D195</f>
        <v>263</v>
      </c>
      <c r="F160" s="41">
        <f>E160*D160</f>
        <v>0</v>
      </c>
    </row>
    <row r="162" spans="1:10" x14ac:dyDescent="0.2">
      <c r="B162" s="38" t="s">
        <v>254</v>
      </c>
      <c r="C162" s="40" t="s">
        <v>115</v>
      </c>
      <c r="E162" s="41">
        <v>380</v>
      </c>
      <c r="F162" s="41">
        <f>E162*D162</f>
        <v>0</v>
      </c>
    </row>
    <row r="164" spans="1:10" x14ac:dyDescent="0.2">
      <c r="B164" s="201"/>
      <c r="C164" s="38"/>
      <c r="D164" s="38"/>
      <c r="E164" s="38"/>
      <c r="F164" s="38"/>
    </row>
    <row r="165" spans="1:10" x14ac:dyDescent="0.2">
      <c r="A165" s="42"/>
      <c r="B165" s="332" t="s">
        <v>255</v>
      </c>
    </row>
    <row r="166" spans="1:10" x14ac:dyDescent="0.2">
      <c r="A166" s="42"/>
    </row>
    <row r="168" spans="1:10" x14ac:dyDescent="0.2">
      <c r="A168" s="38" t="s">
        <v>243</v>
      </c>
    </row>
    <row r="169" spans="1:10" ht="13.2" hidden="1" x14ac:dyDescent="0.2">
      <c r="A169" s="40"/>
      <c r="B169" s="300" t="s">
        <v>256</v>
      </c>
      <c r="C169" s="40" t="str">
        <f>'Material Rates_Master'!B5</f>
        <v>m</v>
      </c>
      <c r="D169" s="292"/>
      <c r="E169" s="41">
        <f>'Material Rates_Master'!D5*$M$16</f>
        <v>46.810749999999999</v>
      </c>
      <c r="F169" s="41">
        <f>E169*D169</f>
        <v>0</v>
      </c>
      <c r="H169" s="20"/>
      <c r="I169" s="47"/>
      <c r="J169" s="47"/>
    </row>
    <row r="170" spans="1:10" hidden="1" x14ac:dyDescent="0.2">
      <c r="A170" s="40"/>
      <c r="B170" s="300" t="s">
        <v>257</v>
      </c>
      <c r="C170" s="40" t="str">
        <f>'Material Rates_Master'!B6</f>
        <v>m</v>
      </c>
      <c r="D170" s="240"/>
      <c r="E170" s="41">
        <f>'Material Rates_Master'!D6*$M$16</f>
        <v>35.143999999999998</v>
      </c>
      <c r="F170" s="41">
        <f>E170*D170</f>
        <v>0</v>
      </c>
      <c r="H170" s="20"/>
    </row>
    <row r="171" spans="1:10" hidden="1" x14ac:dyDescent="0.2">
      <c r="A171" s="40"/>
      <c r="B171" s="300" t="s">
        <v>258</v>
      </c>
      <c r="C171" s="40" t="str">
        <f>'Material Rates_Master'!B7</f>
        <v>m</v>
      </c>
      <c r="D171" s="37"/>
      <c r="E171" s="41">
        <f>'Material Rates_Master'!D7*$M$16</f>
        <v>16.993549999999999</v>
      </c>
      <c r="F171" s="41">
        <f>E171*D171</f>
        <v>0</v>
      </c>
      <c r="H171" s="20"/>
    </row>
    <row r="172" spans="1:10" hidden="1" x14ac:dyDescent="0.2">
      <c r="A172" s="40"/>
      <c r="B172" s="300" t="s">
        <v>259</v>
      </c>
      <c r="C172" s="40" t="s">
        <v>149</v>
      </c>
      <c r="D172" s="37"/>
      <c r="E172" s="41">
        <v>12.31</v>
      </c>
      <c r="F172" s="41">
        <f>E172*D172</f>
        <v>0</v>
      </c>
      <c r="H172" s="20"/>
    </row>
    <row r="173" spans="1:10" hidden="1" x14ac:dyDescent="0.2">
      <c r="A173" s="40"/>
      <c r="B173" s="300" t="s">
        <v>260</v>
      </c>
      <c r="C173" s="40" t="str">
        <f>'Material Rates_Master'!B8</f>
        <v>m</v>
      </c>
      <c r="D173" s="37"/>
      <c r="E173" s="41">
        <f>'Material Rates_Master'!D8*$M$16</f>
        <v>1.6779419999999998</v>
      </c>
      <c r="F173" s="41">
        <f>E173*D173</f>
        <v>0</v>
      </c>
      <c r="H173" s="20"/>
    </row>
    <row r="174" spans="1:10" hidden="1" x14ac:dyDescent="0.2">
      <c r="A174" s="40"/>
      <c r="B174" s="300"/>
      <c r="D174" s="37"/>
      <c r="H174" s="20"/>
    </row>
    <row r="175" spans="1:10" hidden="1" x14ac:dyDescent="0.2">
      <c r="A175" s="40"/>
      <c r="B175" s="300"/>
      <c r="D175" s="37"/>
      <c r="H175" s="20"/>
    </row>
    <row r="176" spans="1:10" ht="4.2" hidden="1" customHeight="1" x14ac:dyDescent="0.2">
      <c r="A176" s="40"/>
      <c r="B176" s="300"/>
      <c r="E176" s="41">
        <f>'Material Rates_Master'!D9*$M$16</f>
        <v>0</v>
      </c>
      <c r="H176" s="20"/>
    </row>
    <row r="177" spans="1:8" hidden="1" x14ac:dyDescent="0.2">
      <c r="A177" s="40"/>
      <c r="B177" s="300" t="s">
        <v>261</v>
      </c>
      <c r="C177" s="40" t="str">
        <f>'Material Rates_Master'!B10</f>
        <v>ea</v>
      </c>
      <c r="D177" s="240"/>
      <c r="E177" s="41">
        <f>'Material Rates_Master'!D10*$M$16</f>
        <v>60.802799999999998</v>
      </c>
      <c r="F177" s="41">
        <f t="shared" ref="F177:F208" si="5">E177*D177</f>
        <v>0</v>
      </c>
      <c r="H177" s="20"/>
    </row>
    <row r="178" spans="1:8" hidden="1" x14ac:dyDescent="0.2">
      <c r="A178" s="40"/>
      <c r="B178" s="300" t="s">
        <v>262</v>
      </c>
      <c r="C178" s="40" t="str">
        <f>'Material Rates_Master'!B11</f>
        <v>ea</v>
      </c>
      <c r="D178" s="37"/>
      <c r="E178" s="41">
        <f>'Material Rates_Master'!D11*$M$16</f>
        <v>35.493599999999994</v>
      </c>
      <c r="F178" s="41">
        <f t="shared" si="5"/>
        <v>0</v>
      </c>
      <c r="H178" s="20"/>
    </row>
    <row r="179" spans="1:8" hidden="1" x14ac:dyDescent="0.2">
      <c r="A179" s="40"/>
      <c r="B179" s="300" t="s">
        <v>263</v>
      </c>
      <c r="C179" s="40" t="str">
        <f>'Material Rates_Master'!B12</f>
        <v>ea</v>
      </c>
      <c r="D179" s="240"/>
      <c r="E179" s="41">
        <f>'Material Rates_Master'!D12*$M$16</f>
        <v>19.471799999999998</v>
      </c>
      <c r="F179" s="41">
        <f t="shared" si="5"/>
        <v>0</v>
      </c>
      <c r="H179" s="20"/>
    </row>
    <row r="180" spans="1:8" hidden="1" x14ac:dyDescent="0.2">
      <c r="A180" s="40"/>
      <c r="B180" s="300" t="s">
        <v>264</v>
      </c>
      <c r="C180" s="40" t="str">
        <f>'Material Rates_Master'!B13</f>
        <v>ea</v>
      </c>
      <c r="D180" s="240"/>
      <c r="E180" s="41">
        <f>'Material Rates_Master'!D13*$M$16</f>
        <v>150.64079999999998</v>
      </c>
      <c r="F180" s="41">
        <f t="shared" si="5"/>
        <v>0</v>
      </c>
      <c r="H180" s="20"/>
    </row>
    <row r="181" spans="1:8" hidden="1" x14ac:dyDescent="0.2">
      <c r="A181" s="40"/>
      <c r="B181" s="300" t="s">
        <v>265</v>
      </c>
      <c r="C181" s="40" t="str">
        <f>'Material Rates_Master'!B14</f>
        <v>ea</v>
      </c>
      <c r="D181" s="240"/>
      <c r="E181" s="41">
        <f>'Material Rates_Master'!D14*$M$16</f>
        <v>135.1986</v>
      </c>
      <c r="F181" s="41">
        <f t="shared" si="5"/>
        <v>0</v>
      </c>
      <c r="H181" s="20"/>
    </row>
    <row r="182" spans="1:8" hidden="1" x14ac:dyDescent="0.2">
      <c r="A182" s="40"/>
      <c r="B182" s="300" t="s">
        <v>266</v>
      </c>
      <c r="C182" s="40" t="str">
        <f>'Material Rates_Master'!B15</f>
        <v>ea</v>
      </c>
      <c r="D182" s="240"/>
      <c r="E182" s="41">
        <f>'Material Rates_Master'!D15*$M$16</f>
        <v>61.672199999999989</v>
      </c>
      <c r="F182" s="41">
        <f t="shared" si="5"/>
        <v>0</v>
      </c>
      <c r="H182" s="20"/>
    </row>
    <row r="183" spans="1:8" hidden="1" x14ac:dyDescent="0.2">
      <c r="A183" s="40"/>
      <c r="B183" s="300" t="s">
        <v>267</v>
      </c>
      <c r="C183" s="40" t="str">
        <f>'Material Rates_Master'!B16</f>
        <v>ea</v>
      </c>
      <c r="D183" s="240"/>
      <c r="E183" s="41">
        <f>'Material Rates_Master'!D16*$M$16</f>
        <v>150.64079999999998</v>
      </c>
      <c r="F183" s="41">
        <f t="shared" si="5"/>
        <v>0</v>
      </c>
      <c r="H183" s="20"/>
    </row>
    <row r="184" spans="1:8" hidden="1" x14ac:dyDescent="0.2">
      <c r="A184" s="40"/>
      <c r="B184" s="300" t="s">
        <v>268</v>
      </c>
      <c r="C184" s="40" t="str">
        <f>'Material Rates_Master'!B17</f>
        <v>ea</v>
      </c>
      <c r="D184" s="240"/>
      <c r="E184" s="41">
        <f>'Material Rates_Master'!D17*$M$16</f>
        <v>134.9778</v>
      </c>
      <c r="F184" s="41">
        <f t="shared" si="5"/>
        <v>0</v>
      </c>
      <c r="H184" s="20"/>
    </row>
    <row r="185" spans="1:8" hidden="1" x14ac:dyDescent="0.2">
      <c r="A185" s="40"/>
      <c r="B185" s="300" t="s">
        <v>269</v>
      </c>
      <c r="C185" s="40" t="str">
        <f>'Material Rates_Master'!B18</f>
        <v>ea</v>
      </c>
      <c r="D185" s="240"/>
      <c r="E185" s="41">
        <f>'Material Rates_Master'!D18*$M$16</f>
        <v>61.61699999999999</v>
      </c>
      <c r="F185" s="41">
        <f t="shared" si="5"/>
        <v>0</v>
      </c>
      <c r="H185" s="20"/>
    </row>
    <row r="186" spans="1:8" hidden="1" x14ac:dyDescent="0.2">
      <c r="A186" s="40"/>
      <c r="B186" s="300" t="s">
        <v>270</v>
      </c>
      <c r="C186" s="40" t="str">
        <f>'Material Rates_Master'!B19</f>
        <v>ea</v>
      </c>
      <c r="D186" s="240"/>
      <c r="E186" s="41">
        <f>'Material Rates_Master'!D19*$M$16</f>
        <v>151.45499999999998</v>
      </c>
      <c r="F186" s="41">
        <f t="shared" si="5"/>
        <v>0</v>
      </c>
      <c r="H186" s="20"/>
    </row>
    <row r="187" spans="1:8" hidden="1" x14ac:dyDescent="0.2">
      <c r="A187" s="40"/>
      <c r="B187" s="300" t="s">
        <v>271</v>
      </c>
      <c r="C187" s="40" t="str">
        <f>'Material Rates_Master'!B20</f>
        <v>ea</v>
      </c>
      <c r="D187" s="240"/>
      <c r="E187" s="41">
        <f>'Material Rates_Master'!D20*$M$16</f>
        <v>157.7064</v>
      </c>
      <c r="F187" s="41">
        <f t="shared" si="5"/>
        <v>0</v>
      </c>
      <c r="H187" s="20"/>
    </row>
    <row r="188" spans="1:8" hidden="1" x14ac:dyDescent="0.2">
      <c r="A188" s="40"/>
      <c r="B188" s="300" t="s">
        <v>272</v>
      </c>
      <c r="C188" s="40" t="str">
        <f>'Material Rates_Master'!B21</f>
        <v>ea</v>
      </c>
      <c r="D188" s="240"/>
      <c r="E188" s="41">
        <f>'Material Rates_Master'!D21*$M$16</f>
        <v>67.964999999999989</v>
      </c>
      <c r="F188" s="41">
        <f t="shared" si="5"/>
        <v>0</v>
      </c>
      <c r="H188" s="20"/>
    </row>
    <row r="189" spans="1:8" hidden="1" x14ac:dyDescent="0.2">
      <c r="A189" s="40"/>
      <c r="B189" s="300" t="s">
        <v>273</v>
      </c>
      <c r="C189" s="40" t="str">
        <f>'Material Rates_Master'!B22</f>
        <v>ea</v>
      </c>
      <c r="D189" s="240"/>
      <c r="E189" s="41">
        <f>'Material Rates_Master'!D22*$M$16</f>
        <v>289.0686</v>
      </c>
      <c r="F189" s="41">
        <f t="shared" si="5"/>
        <v>0</v>
      </c>
      <c r="H189" s="20"/>
    </row>
    <row r="190" spans="1:8" hidden="1" x14ac:dyDescent="0.2">
      <c r="A190" s="40"/>
      <c r="B190" s="300" t="s">
        <v>274</v>
      </c>
      <c r="C190" s="40" t="str">
        <f>'Material Rates_Master'!B23</f>
        <v>ea</v>
      </c>
      <c r="D190" s="240"/>
      <c r="E190" s="41">
        <f>'Material Rates_Master'!D23*$M$16</f>
        <v>301.4196</v>
      </c>
      <c r="F190" s="41">
        <f t="shared" si="5"/>
        <v>0</v>
      </c>
      <c r="H190" s="20"/>
    </row>
    <row r="191" spans="1:8" hidden="1" x14ac:dyDescent="0.2">
      <c r="A191" s="40"/>
      <c r="B191" s="300" t="s">
        <v>275</v>
      </c>
      <c r="C191" s="40" t="str">
        <f>'Material Rates_Master'!B24</f>
        <v>ea</v>
      </c>
      <c r="D191" s="240"/>
      <c r="E191" s="41">
        <f>'Material Rates_Master'!D24*$M$16</f>
        <v>168.53939999999997</v>
      </c>
      <c r="F191" s="41">
        <f t="shared" si="5"/>
        <v>0</v>
      </c>
      <c r="H191" s="20"/>
    </row>
    <row r="192" spans="1:8" hidden="1" x14ac:dyDescent="0.2">
      <c r="A192" s="40"/>
      <c r="B192" s="300" t="s">
        <v>276</v>
      </c>
      <c r="C192" s="40" t="str">
        <f>'Material Rates_Master'!B25</f>
        <v>ea</v>
      </c>
      <c r="D192" s="240"/>
      <c r="E192" s="41">
        <f>'Material Rates_Master'!D25*$M$16</f>
        <v>173.35559999999998</v>
      </c>
      <c r="F192" s="41">
        <f t="shared" si="5"/>
        <v>0</v>
      </c>
      <c r="H192" s="20"/>
    </row>
    <row r="193" spans="1:8" hidden="1" x14ac:dyDescent="0.2">
      <c r="A193" s="40"/>
      <c r="B193" s="300" t="s">
        <v>277</v>
      </c>
      <c r="C193" s="40" t="str">
        <f>'Material Rates_Master'!B26</f>
        <v>ea</v>
      </c>
      <c r="D193" s="240"/>
      <c r="E193" s="41">
        <f>'Material Rates_Master'!D26*$M$16</f>
        <v>82.938000000000002</v>
      </c>
      <c r="F193" s="41">
        <f t="shared" si="5"/>
        <v>0</v>
      </c>
      <c r="H193" s="20"/>
    </row>
    <row r="194" spans="1:8" hidden="1" x14ac:dyDescent="0.2">
      <c r="A194" s="40"/>
      <c r="B194" s="300" t="s">
        <v>278</v>
      </c>
      <c r="C194" s="40" t="str">
        <f>'Material Rates_Master'!B27</f>
        <v>ea</v>
      </c>
      <c r="D194" s="240"/>
      <c r="E194" s="41">
        <v>65</v>
      </c>
      <c r="F194" s="41">
        <f t="shared" si="5"/>
        <v>0</v>
      </c>
      <c r="H194" s="20"/>
    </row>
    <row r="195" spans="1:8" hidden="1" x14ac:dyDescent="0.2">
      <c r="A195" s="40"/>
      <c r="B195" s="300" t="s">
        <v>279</v>
      </c>
      <c r="C195" s="40" t="str">
        <f>'Material Rates_Master'!B27</f>
        <v>ea</v>
      </c>
      <c r="D195" s="240"/>
      <c r="E195" s="41">
        <f>'Material Rates_Master'!D27*$M$16</f>
        <v>472.44299999999998</v>
      </c>
      <c r="F195" s="41">
        <f t="shared" si="5"/>
        <v>0</v>
      </c>
      <c r="H195" s="20"/>
    </row>
    <row r="196" spans="1:8" hidden="1" x14ac:dyDescent="0.2">
      <c r="A196" s="40"/>
      <c r="B196" s="300" t="s">
        <v>280</v>
      </c>
      <c r="C196" s="40" t="str">
        <f>'Material Rates_Master'!B28</f>
        <v>ea</v>
      </c>
      <c r="D196" s="240"/>
      <c r="E196" s="41">
        <f>'Material Rates_Master'!D28*$M$16</f>
        <v>179.08260000000001</v>
      </c>
      <c r="F196" s="41">
        <f t="shared" si="5"/>
        <v>0</v>
      </c>
      <c r="H196" s="20"/>
    </row>
    <row r="197" spans="1:8" hidden="1" x14ac:dyDescent="0.2">
      <c r="A197" s="40"/>
      <c r="B197" s="300" t="s">
        <v>281</v>
      </c>
      <c r="C197" s="40" t="str">
        <f>'Material Rates_Master'!B29</f>
        <v>ea</v>
      </c>
      <c r="D197" s="240"/>
      <c r="E197" s="41">
        <f>'Material Rates_Master'!D29*$M$16</f>
        <v>127.88459999999999</v>
      </c>
      <c r="F197" s="41">
        <f t="shared" si="5"/>
        <v>0</v>
      </c>
      <c r="H197" s="20"/>
    </row>
    <row r="198" spans="1:8" hidden="1" x14ac:dyDescent="0.2">
      <c r="A198" s="40"/>
      <c r="B198" s="300" t="s">
        <v>282</v>
      </c>
      <c r="C198" s="40" t="str">
        <f>'Material Rates_Master'!B30</f>
        <v>ea</v>
      </c>
      <c r="D198" s="240"/>
      <c r="E198" s="41">
        <f>'Material Rates_Master'!D30*$M$16</f>
        <v>432.20219999999995</v>
      </c>
      <c r="F198" s="41">
        <f t="shared" si="5"/>
        <v>0</v>
      </c>
      <c r="H198" s="20"/>
    </row>
    <row r="199" spans="1:8" hidden="1" x14ac:dyDescent="0.2">
      <c r="A199" s="40"/>
      <c r="B199" s="300" t="s">
        <v>283</v>
      </c>
      <c r="C199" s="40" t="str">
        <f>'Material Rates_Master'!B31</f>
        <v>ea</v>
      </c>
      <c r="D199" s="240"/>
      <c r="E199" s="41">
        <f>'Material Rates_Master'!D31*$M$16</f>
        <v>281.67180000000002</v>
      </c>
      <c r="F199" s="41">
        <f t="shared" si="5"/>
        <v>0</v>
      </c>
      <c r="H199" s="20"/>
    </row>
    <row r="200" spans="1:8" ht="6" hidden="1" customHeight="1" x14ac:dyDescent="0.2">
      <c r="A200" s="40"/>
      <c r="B200" s="300"/>
      <c r="C200" s="40">
        <f>'Material Rates_Master'!B32</f>
        <v>0</v>
      </c>
      <c r="E200" s="41">
        <f>'Material Rates_Master'!D32*$M$16</f>
        <v>0</v>
      </c>
      <c r="F200" s="41">
        <f t="shared" si="5"/>
        <v>0</v>
      </c>
      <c r="H200" s="20"/>
    </row>
    <row r="201" spans="1:8" hidden="1" x14ac:dyDescent="0.2">
      <c r="A201" s="40"/>
      <c r="B201" s="1" t="s">
        <v>284</v>
      </c>
      <c r="C201" s="40" t="str">
        <f>'Material Rates_Master'!B33</f>
        <v>ea</v>
      </c>
      <c r="E201" s="41">
        <f>'Material Rates_Master'!D33*$M$16</f>
        <v>435.67979999999994</v>
      </c>
      <c r="F201" s="41">
        <f t="shared" si="5"/>
        <v>0</v>
      </c>
      <c r="H201" s="20"/>
    </row>
    <row r="202" spans="1:8" hidden="1" x14ac:dyDescent="0.2">
      <c r="A202" s="40"/>
      <c r="B202" s="1" t="s">
        <v>285</v>
      </c>
      <c r="C202" s="40" t="str">
        <f>'Material Rates_Master'!B34</f>
        <v>ea</v>
      </c>
      <c r="E202" s="41">
        <f>'Material Rates_Master'!D34*$M$16</f>
        <v>277.97339999999997</v>
      </c>
      <c r="F202" s="41">
        <f t="shared" si="5"/>
        <v>0</v>
      </c>
      <c r="H202" s="20"/>
    </row>
    <row r="203" spans="1:8" hidden="1" x14ac:dyDescent="0.2">
      <c r="A203" s="40"/>
      <c r="B203" s="300" t="s">
        <v>286</v>
      </c>
      <c r="C203" s="40" t="str">
        <f>'Material Rates_Master'!B35</f>
        <v>ea</v>
      </c>
      <c r="D203" s="240"/>
      <c r="E203" s="41">
        <f>'Material Rates_Master'!D35*$M$16</f>
        <v>94.5852</v>
      </c>
      <c r="F203" s="41">
        <f t="shared" si="5"/>
        <v>0</v>
      </c>
      <c r="H203" s="20"/>
    </row>
    <row r="204" spans="1:8" hidden="1" x14ac:dyDescent="0.2">
      <c r="A204" s="40"/>
      <c r="B204" s="300" t="s">
        <v>287</v>
      </c>
      <c r="C204" s="40" t="str">
        <f>'Material Rates_Master'!B36</f>
        <v>ea</v>
      </c>
      <c r="D204" s="240"/>
      <c r="E204" s="41">
        <f>'Material Rates_Master'!D36*$M$16</f>
        <v>88.954799999999977</v>
      </c>
      <c r="F204" s="41">
        <f t="shared" si="5"/>
        <v>0</v>
      </c>
      <c r="H204" s="20"/>
    </row>
    <row r="205" spans="1:8" hidden="1" x14ac:dyDescent="0.2">
      <c r="A205" s="40"/>
      <c r="B205" s="300" t="s">
        <v>288</v>
      </c>
      <c r="C205" s="40" t="str">
        <f>'Material Rates_Master'!B37</f>
        <v>ea</v>
      </c>
      <c r="D205" s="240"/>
      <c r="E205" s="41">
        <f>'Material Rates_Master'!D37*$M$16</f>
        <v>53.488799999999991</v>
      </c>
      <c r="F205" s="41">
        <f t="shared" si="5"/>
        <v>0</v>
      </c>
      <c r="H205" s="20"/>
    </row>
    <row r="206" spans="1:8" hidden="1" x14ac:dyDescent="0.2">
      <c r="A206" s="40"/>
      <c r="B206" s="300" t="s">
        <v>289</v>
      </c>
      <c r="C206" s="40" t="str">
        <f>'Material Rates_Master'!B38</f>
        <v>ea</v>
      </c>
      <c r="D206" s="240"/>
      <c r="E206" s="41">
        <f>'Material Rates_Master'!D38*$M$16</f>
        <v>118.91459999999999</v>
      </c>
      <c r="F206" s="41">
        <f t="shared" si="5"/>
        <v>0</v>
      </c>
      <c r="H206" s="20"/>
    </row>
    <row r="207" spans="1:8" hidden="1" x14ac:dyDescent="0.2">
      <c r="A207" s="40"/>
      <c r="B207" s="300" t="s">
        <v>290</v>
      </c>
      <c r="C207" s="40" t="str">
        <f>'Material Rates_Master'!B39</f>
        <v>ea</v>
      </c>
      <c r="D207" s="240"/>
      <c r="E207" s="41">
        <f>'Material Rates_Master'!D39*$M$16</f>
        <v>93.991799999999998</v>
      </c>
      <c r="F207" s="41">
        <f t="shared" si="5"/>
        <v>0</v>
      </c>
      <c r="H207" s="20"/>
    </row>
    <row r="208" spans="1:8" hidden="1" x14ac:dyDescent="0.2">
      <c r="A208" s="40"/>
      <c r="B208" s="300" t="s">
        <v>291</v>
      </c>
      <c r="C208" s="40" t="str">
        <f>'Material Rates_Master'!B40</f>
        <v>ea</v>
      </c>
      <c r="D208" s="240"/>
      <c r="E208" s="41">
        <f>'Material Rates_Master'!D40*$M$16</f>
        <v>43.676999999999992</v>
      </c>
      <c r="F208" s="41">
        <f t="shared" si="5"/>
        <v>0</v>
      </c>
      <c r="H208" s="20"/>
    </row>
    <row r="209" spans="1:8" hidden="1" x14ac:dyDescent="0.2">
      <c r="A209" s="40"/>
      <c r="B209" s="300" t="s">
        <v>292</v>
      </c>
      <c r="C209" s="40" t="str">
        <f>'Material Rates_Master'!B41</f>
        <v>ea</v>
      </c>
      <c r="D209" s="240"/>
      <c r="E209" s="41">
        <f>'Material Rates_Master'!D41*$M$16</f>
        <v>176.14319999999998</v>
      </c>
      <c r="F209" s="41">
        <f t="shared" ref="F209:F240" si="6">E209*D209</f>
        <v>0</v>
      </c>
      <c r="H209" s="20"/>
    </row>
    <row r="210" spans="1:8" hidden="1" x14ac:dyDescent="0.2">
      <c r="A210" s="40"/>
      <c r="B210" s="300" t="s">
        <v>293</v>
      </c>
      <c r="C210" s="40" t="str">
        <f>'Material Rates_Master'!B42</f>
        <v>ea</v>
      </c>
      <c r="D210" s="240"/>
      <c r="E210" s="41">
        <f>'Material Rates_Master'!D42*$M$16</f>
        <v>157.62359999999998</v>
      </c>
      <c r="F210" s="41">
        <f t="shared" si="6"/>
        <v>0</v>
      </c>
      <c r="H210" s="20"/>
    </row>
    <row r="211" spans="1:8" hidden="1" x14ac:dyDescent="0.2">
      <c r="A211" s="40"/>
      <c r="B211" s="300" t="s">
        <v>294</v>
      </c>
      <c r="C211" s="40" t="str">
        <f>'Material Rates_Master'!B43</f>
        <v>ea</v>
      </c>
      <c r="D211" s="240"/>
      <c r="E211" s="41">
        <f>'Material Rates_Master'!D43*$M$16</f>
        <v>52.798799999999993</v>
      </c>
      <c r="F211" s="41">
        <f t="shared" si="6"/>
        <v>0</v>
      </c>
      <c r="H211" s="20"/>
    </row>
    <row r="212" spans="1:8" hidden="1" x14ac:dyDescent="0.2">
      <c r="A212" s="40"/>
      <c r="B212" s="300" t="s">
        <v>295</v>
      </c>
      <c r="C212" s="40" t="str">
        <f>'Material Rates_Master'!B44</f>
        <v>ea</v>
      </c>
      <c r="D212" s="240"/>
      <c r="E212" s="41">
        <f>'Material Rates_Master'!D44*$M$16</f>
        <v>253.20239999999995</v>
      </c>
      <c r="F212" s="41">
        <f t="shared" si="6"/>
        <v>0</v>
      </c>
      <c r="H212" s="20"/>
    </row>
    <row r="213" spans="1:8" hidden="1" x14ac:dyDescent="0.2">
      <c r="A213" s="40"/>
      <c r="B213" s="300" t="s">
        <v>296</v>
      </c>
      <c r="C213" s="40" t="str">
        <f>'Material Rates_Master'!B45</f>
        <v>ea</v>
      </c>
      <c r="D213" s="240"/>
      <c r="E213" s="41">
        <f>'Material Rates_Master'!D45*$M$16</f>
        <v>265.55340000000001</v>
      </c>
      <c r="F213" s="41">
        <f t="shared" si="6"/>
        <v>0</v>
      </c>
      <c r="H213" s="20"/>
    </row>
    <row r="214" spans="1:8" hidden="1" x14ac:dyDescent="0.2">
      <c r="A214" s="40"/>
      <c r="B214" s="300" t="s">
        <v>297</v>
      </c>
      <c r="C214" s="40" t="str">
        <f>'Material Rates_Master'!B46</f>
        <v>ea</v>
      </c>
      <c r="D214" s="240"/>
      <c r="E214" s="41">
        <f>'Material Rates_Master'!D46*$M$16</f>
        <v>256.27979999999997</v>
      </c>
      <c r="F214" s="41">
        <f t="shared" si="6"/>
        <v>0</v>
      </c>
      <c r="H214" s="20"/>
    </row>
    <row r="215" spans="1:8" hidden="1" x14ac:dyDescent="0.2">
      <c r="A215" s="40"/>
      <c r="B215" s="300" t="s">
        <v>298</v>
      </c>
      <c r="C215" s="40" t="str">
        <f>'Material Rates_Master'!B47</f>
        <v>ea</v>
      </c>
      <c r="D215" s="240"/>
      <c r="E215" s="41">
        <f>'Material Rates_Master'!D47*$M$16</f>
        <v>77.059200000000004</v>
      </c>
      <c r="F215" s="41">
        <f t="shared" si="6"/>
        <v>0</v>
      </c>
      <c r="H215" s="20"/>
    </row>
    <row r="216" spans="1:8" hidden="1" x14ac:dyDescent="0.2">
      <c r="A216" s="40"/>
      <c r="B216" s="300" t="s">
        <v>299</v>
      </c>
      <c r="C216" s="40" t="str">
        <f>'Material Rates_Master'!B48</f>
        <v>ea</v>
      </c>
      <c r="D216" s="240"/>
      <c r="E216" s="41">
        <f>'Material Rates_Master'!D48*$M$16</f>
        <v>54.965399999999995</v>
      </c>
      <c r="F216" s="41">
        <f t="shared" si="6"/>
        <v>0</v>
      </c>
      <c r="H216" s="20"/>
    </row>
    <row r="217" spans="1:8" hidden="1" x14ac:dyDescent="0.2">
      <c r="A217" s="40"/>
      <c r="B217" s="300" t="s">
        <v>300</v>
      </c>
      <c r="C217" s="40" t="s">
        <v>115</v>
      </c>
      <c r="D217" s="240"/>
      <c r="E217" s="41">
        <v>45</v>
      </c>
      <c r="F217" s="41">
        <f t="shared" si="6"/>
        <v>0</v>
      </c>
      <c r="H217" s="20"/>
    </row>
    <row r="218" spans="1:8" hidden="1" x14ac:dyDescent="0.2">
      <c r="A218" s="40"/>
      <c r="B218" s="300" t="s">
        <v>301</v>
      </c>
      <c r="C218" s="40" t="s">
        <v>115</v>
      </c>
      <c r="D218" s="240"/>
      <c r="E218" s="41">
        <v>35</v>
      </c>
      <c r="F218" s="41">
        <f t="shared" si="6"/>
        <v>0</v>
      </c>
      <c r="H218" s="20"/>
    </row>
    <row r="219" spans="1:8" ht="6.6" hidden="1" customHeight="1" x14ac:dyDescent="0.2">
      <c r="A219" s="40"/>
      <c r="B219" s="300"/>
      <c r="C219" s="40">
        <f>'Material Rates_Master'!B49</f>
        <v>0</v>
      </c>
      <c r="E219" s="41">
        <f>'Material Rates_Master'!D49</f>
        <v>0</v>
      </c>
      <c r="F219" s="41">
        <f t="shared" si="6"/>
        <v>0</v>
      </c>
    </row>
    <row r="220" spans="1:8" hidden="1" x14ac:dyDescent="0.2">
      <c r="A220" s="40"/>
      <c r="B220" s="300" t="s">
        <v>302</v>
      </c>
      <c r="C220" s="40" t="str">
        <f>'Material Rates_Master'!B50</f>
        <v>ea</v>
      </c>
      <c r="D220" s="240"/>
      <c r="E220" s="41">
        <f>'Material Rates_Master'!D50</f>
        <v>679.41</v>
      </c>
      <c r="F220" s="41">
        <f t="shared" si="6"/>
        <v>0</v>
      </c>
    </row>
    <row r="221" spans="1:8" hidden="1" x14ac:dyDescent="0.2">
      <c r="A221" s="40"/>
      <c r="B221" s="300" t="s">
        <v>303</v>
      </c>
      <c r="C221" s="40" t="str">
        <f>'Material Rates_Master'!B51</f>
        <v>ea</v>
      </c>
      <c r="D221" s="240"/>
      <c r="E221" s="41">
        <f>'Material Rates_Master'!D51</f>
        <v>323.52999999999997</v>
      </c>
      <c r="F221" s="41">
        <f t="shared" si="6"/>
        <v>0</v>
      </c>
    </row>
    <row r="222" spans="1:8" hidden="1" x14ac:dyDescent="0.2">
      <c r="A222" s="40"/>
      <c r="B222" s="300" t="s">
        <v>304</v>
      </c>
      <c r="C222" s="40" t="str">
        <f>'Material Rates_Master'!B52</f>
        <v>ea</v>
      </c>
      <c r="D222" s="240"/>
      <c r="E222" s="41">
        <f>'Material Rates_Master'!D52</f>
        <v>202.94</v>
      </c>
      <c r="F222" s="41">
        <f t="shared" si="6"/>
        <v>0</v>
      </c>
    </row>
    <row r="223" spans="1:8" hidden="1" x14ac:dyDescent="0.2">
      <c r="A223" s="40"/>
      <c r="B223" s="300" t="s">
        <v>305</v>
      </c>
      <c r="C223" s="40" t="str">
        <f>'Material Rates_Master'!B53</f>
        <v>ea</v>
      </c>
      <c r="D223" s="240"/>
      <c r="E223" s="41">
        <f>'Material Rates_Master'!D53</f>
        <v>136.94</v>
      </c>
      <c r="F223" s="41">
        <f t="shared" si="6"/>
        <v>0</v>
      </c>
    </row>
    <row r="224" spans="1:8" hidden="1" x14ac:dyDescent="0.2">
      <c r="A224" s="40"/>
      <c r="B224" s="300" t="s">
        <v>306</v>
      </c>
      <c r="C224" s="40" t="str">
        <f>'Material Rates_Master'!B54</f>
        <v>ea</v>
      </c>
      <c r="D224" s="240"/>
      <c r="E224" s="41">
        <f>'Material Rates_Master'!D54</f>
        <v>123.53</v>
      </c>
      <c r="F224" s="41">
        <f t="shared" si="6"/>
        <v>0</v>
      </c>
    </row>
    <row r="225" spans="1:6" hidden="1" x14ac:dyDescent="0.2">
      <c r="A225" s="40"/>
      <c r="B225" s="300" t="s">
        <v>307</v>
      </c>
      <c r="C225" s="40" t="str">
        <f>'Material Rates_Master'!B55</f>
        <v>ea</v>
      </c>
      <c r="D225" s="240"/>
      <c r="E225" s="41">
        <f>'Material Rates_Master'!D55</f>
        <v>98.82</v>
      </c>
      <c r="F225" s="41">
        <f t="shared" si="6"/>
        <v>0</v>
      </c>
    </row>
    <row r="226" spans="1:6" ht="4.95" hidden="1" customHeight="1" x14ac:dyDescent="0.2">
      <c r="A226" s="40"/>
      <c r="B226" s="300"/>
      <c r="C226" s="40">
        <f>'Material Rates_Master'!B56</f>
        <v>0</v>
      </c>
      <c r="E226" s="41">
        <f>'Material Rates_Master'!D56</f>
        <v>0</v>
      </c>
      <c r="F226" s="41">
        <f t="shared" si="6"/>
        <v>0</v>
      </c>
    </row>
    <row r="227" spans="1:6" hidden="1" x14ac:dyDescent="0.2">
      <c r="A227" s="40"/>
      <c r="B227" s="300" t="s">
        <v>308</v>
      </c>
      <c r="C227" s="40" t="str">
        <f>'Material Rates_Master'!B57</f>
        <v>ea</v>
      </c>
      <c r="D227" s="240"/>
      <c r="E227" s="41">
        <f>'Material Rates_Master'!D57</f>
        <v>291.18</v>
      </c>
      <c r="F227" s="41">
        <f t="shared" si="6"/>
        <v>0</v>
      </c>
    </row>
    <row r="228" spans="1:6" hidden="1" x14ac:dyDescent="0.2">
      <c r="A228" s="40"/>
      <c r="B228" s="300" t="s">
        <v>309</v>
      </c>
      <c r="C228" s="40" t="str">
        <f>'Material Rates_Master'!B58</f>
        <v>ea</v>
      </c>
      <c r="D228" s="240"/>
      <c r="E228" s="41">
        <f>'Material Rates_Master'!D58</f>
        <v>330</v>
      </c>
      <c r="F228" s="41">
        <f t="shared" si="6"/>
        <v>0</v>
      </c>
    </row>
    <row r="229" spans="1:6" hidden="1" x14ac:dyDescent="0.2">
      <c r="A229" s="40"/>
      <c r="B229" s="300" t="s">
        <v>310</v>
      </c>
      <c r="C229" s="40" t="str">
        <f>'Material Rates_Master'!B59</f>
        <v>ea</v>
      </c>
      <c r="D229" s="240"/>
      <c r="E229" s="41">
        <f>'Material Rates_Master'!D59</f>
        <v>156</v>
      </c>
      <c r="F229" s="41">
        <f t="shared" si="6"/>
        <v>0</v>
      </c>
    </row>
    <row r="230" spans="1:6" hidden="1" x14ac:dyDescent="0.2">
      <c r="A230" s="40"/>
      <c r="B230" s="300" t="s">
        <v>311</v>
      </c>
      <c r="C230" s="40" t="str">
        <f>'Material Rates_Master'!B60</f>
        <v>ea</v>
      </c>
      <c r="D230" s="240"/>
      <c r="E230" s="41">
        <f>'Material Rates_Master'!D60</f>
        <v>106.24</v>
      </c>
      <c r="F230" s="41">
        <f t="shared" si="6"/>
        <v>0</v>
      </c>
    </row>
    <row r="231" spans="1:6" hidden="1" x14ac:dyDescent="0.2">
      <c r="A231" s="40"/>
      <c r="B231" s="300" t="s">
        <v>312</v>
      </c>
      <c r="C231" s="40" t="str">
        <f>'Material Rates_Master'!B61</f>
        <v>ea</v>
      </c>
      <c r="D231" s="240"/>
      <c r="E231" s="41">
        <f>'Material Rates_Master'!D61</f>
        <v>70.59</v>
      </c>
      <c r="F231" s="41">
        <f t="shared" si="6"/>
        <v>0</v>
      </c>
    </row>
    <row r="232" spans="1:6" hidden="1" x14ac:dyDescent="0.2">
      <c r="A232" s="40"/>
      <c r="B232" s="300" t="s">
        <v>313</v>
      </c>
      <c r="C232" s="40" t="str">
        <f>'Material Rates_Master'!B62</f>
        <v>ea</v>
      </c>
      <c r="D232" s="240"/>
      <c r="E232" s="41">
        <f>'Material Rates_Master'!D62</f>
        <v>516.35</v>
      </c>
      <c r="F232" s="41">
        <f t="shared" si="6"/>
        <v>0</v>
      </c>
    </row>
    <row r="233" spans="1:6" hidden="1" x14ac:dyDescent="0.2">
      <c r="A233" s="40"/>
      <c r="B233" s="300" t="s">
        <v>314</v>
      </c>
      <c r="C233" s="40" t="str">
        <f>'Material Rates_Master'!B63</f>
        <v>ea</v>
      </c>
      <c r="D233" s="240"/>
      <c r="E233" s="41">
        <f>'Material Rates_Master'!D63</f>
        <v>198.88</v>
      </c>
      <c r="F233" s="41">
        <f t="shared" si="6"/>
        <v>0</v>
      </c>
    </row>
    <row r="234" spans="1:6" hidden="1" x14ac:dyDescent="0.2">
      <c r="A234" s="40"/>
      <c r="B234" s="300" t="s">
        <v>315</v>
      </c>
      <c r="C234" s="40" t="str">
        <f>'Material Rates_Master'!B64</f>
        <v>ea</v>
      </c>
      <c r="D234" s="240"/>
      <c r="E234" s="41">
        <f>'Material Rates_Master'!D64</f>
        <v>108.71</v>
      </c>
      <c r="F234" s="41">
        <f t="shared" si="6"/>
        <v>0</v>
      </c>
    </row>
    <row r="235" spans="1:6" hidden="1" x14ac:dyDescent="0.2">
      <c r="A235" s="40"/>
      <c r="B235" s="300" t="s">
        <v>316</v>
      </c>
      <c r="C235" s="40" t="str">
        <f>'Material Rates_Master'!B65</f>
        <v>ea</v>
      </c>
      <c r="D235" s="240"/>
      <c r="E235" s="41">
        <f>'Material Rates_Master'!D65</f>
        <v>672.65</v>
      </c>
      <c r="F235" s="41">
        <f t="shared" si="6"/>
        <v>0</v>
      </c>
    </row>
    <row r="236" spans="1:6" hidden="1" x14ac:dyDescent="0.2">
      <c r="A236" s="40"/>
      <c r="B236" s="300" t="s">
        <v>317</v>
      </c>
      <c r="C236" s="40" t="str">
        <f>'Material Rates_Master'!B66</f>
        <v>ea</v>
      </c>
      <c r="D236" s="240"/>
      <c r="E236" s="41">
        <f>'Material Rates_Master'!D66</f>
        <v>228.24</v>
      </c>
      <c r="F236" s="41">
        <f t="shared" si="6"/>
        <v>0</v>
      </c>
    </row>
    <row r="237" spans="1:6" hidden="1" x14ac:dyDescent="0.2">
      <c r="A237" s="40"/>
      <c r="B237" s="300" t="s">
        <v>318</v>
      </c>
      <c r="C237" s="40" t="str">
        <f>'Material Rates_Master'!B67</f>
        <v>ea</v>
      </c>
      <c r="D237" s="240"/>
      <c r="E237" s="41">
        <f>'Material Rates_Master'!D67</f>
        <v>128.24</v>
      </c>
      <c r="F237" s="41">
        <f t="shared" si="6"/>
        <v>0</v>
      </c>
    </row>
    <row r="238" spans="1:6" hidden="1" x14ac:dyDescent="0.2">
      <c r="A238" s="40"/>
      <c r="B238" s="300" t="s">
        <v>319</v>
      </c>
      <c r="C238" s="40" t="str">
        <f>'Material Rates_Master'!B68</f>
        <v>ea</v>
      </c>
      <c r="D238" s="240"/>
      <c r="E238" s="41">
        <f>'Material Rates_Master'!D68</f>
        <v>536.76</v>
      </c>
      <c r="F238" s="41">
        <f t="shared" si="6"/>
        <v>0</v>
      </c>
    </row>
    <row r="239" spans="1:6" hidden="1" x14ac:dyDescent="0.2">
      <c r="A239" s="40"/>
      <c r="B239" s="300" t="s">
        <v>320</v>
      </c>
      <c r="C239" s="40" t="str">
        <f>'Material Rates_Master'!B69</f>
        <v>ea</v>
      </c>
      <c r="D239" s="240"/>
      <c r="E239" s="41">
        <f>'Material Rates_Master'!D69</f>
        <v>576.47</v>
      </c>
      <c r="F239" s="41">
        <f t="shared" si="6"/>
        <v>0</v>
      </c>
    </row>
    <row r="240" spans="1:6" hidden="1" x14ac:dyDescent="0.2">
      <c r="A240" s="40"/>
      <c r="B240" s="300" t="s">
        <v>321</v>
      </c>
      <c r="C240" s="40" t="str">
        <f>'Material Rates_Master'!B70</f>
        <v>ea</v>
      </c>
      <c r="D240" s="240"/>
      <c r="E240" s="41">
        <f>'Material Rates_Master'!D70</f>
        <v>198.82</v>
      </c>
      <c r="F240" s="41">
        <f t="shared" si="6"/>
        <v>0</v>
      </c>
    </row>
    <row r="241" spans="1:6" hidden="1" x14ac:dyDescent="0.2">
      <c r="A241" s="40"/>
      <c r="B241" s="300" t="s">
        <v>322</v>
      </c>
      <c r="C241" s="40" t="str">
        <f>'Material Rates_Master'!B71</f>
        <v>ea</v>
      </c>
      <c r="D241" s="240"/>
      <c r="E241" s="41">
        <f>'Material Rates_Master'!D71</f>
        <v>898.82</v>
      </c>
      <c r="F241" s="41">
        <f t="shared" ref="F241:F272" si="7">E241*D241</f>
        <v>0</v>
      </c>
    </row>
    <row r="242" spans="1:6" hidden="1" x14ac:dyDescent="0.2">
      <c r="A242" s="40"/>
      <c r="B242" s="300" t="s">
        <v>323</v>
      </c>
      <c r="C242" s="40" t="str">
        <f>'Material Rates_Master'!B72</f>
        <v>ea</v>
      </c>
      <c r="D242" s="240"/>
      <c r="E242" s="41">
        <f>'Material Rates_Master'!D72</f>
        <v>640</v>
      </c>
      <c r="F242" s="41">
        <f t="shared" si="7"/>
        <v>0</v>
      </c>
    </row>
    <row r="243" spans="1:6" hidden="1" x14ac:dyDescent="0.2">
      <c r="A243" s="40"/>
      <c r="B243" s="300" t="s">
        <v>324</v>
      </c>
      <c r="C243" s="40" t="str">
        <f>'Material Rates_Master'!B73</f>
        <v>ea</v>
      </c>
      <c r="D243" s="240"/>
      <c r="E243" s="41">
        <f>'Material Rates_Master'!D73</f>
        <v>355.29</v>
      </c>
      <c r="F243" s="41">
        <f t="shared" si="7"/>
        <v>0</v>
      </c>
    </row>
    <row r="244" spans="1:6" hidden="1" x14ac:dyDescent="0.2">
      <c r="A244" s="40"/>
      <c r="B244" s="300" t="s">
        <v>325</v>
      </c>
      <c r="C244" s="40" t="str">
        <f>'Material Rates_Master'!B74</f>
        <v>ea</v>
      </c>
      <c r="D244" s="240"/>
      <c r="E244" s="41">
        <f>'Material Rates_Master'!D74</f>
        <v>534.41</v>
      </c>
      <c r="F244" s="41">
        <f t="shared" si="7"/>
        <v>0</v>
      </c>
    </row>
    <row r="245" spans="1:6" hidden="1" x14ac:dyDescent="0.2">
      <c r="A245" s="40"/>
      <c r="B245" s="300" t="s">
        <v>326</v>
      </c>
      <c r="C245" s="40" t="str">
        <f>'Material Rates_Master'!B75</f>
        <v>ea</v>
      </c>
      <c r="D245" s="240"/>
      <c r="E245" s="41">
        <f>'Material Rates_Master'!D75</f>
        <v>280</v>
      </c>
      <c r="F245" s="41">
        <f t="shared" si="7"/>
        <v>0</v>
      </c>
    </row>
    <row r="246" spans="1:6" hidden="1" x14ac:dyDescent="0.2">
      <c r="A246" s="40"/>
      <c r="B246" s="300" t="s">
        <v>327</v>
      </c>
      <c r="C246" s="40" t="str">
        <f>'Material Rates_Master'!B76</f>
        <v>ea</v>
      </c>
      <c r="D246" s="240"/>
      <c r="E246" s="41">
        <f>'Material Rates_Master'!D76</f>
        <v>236.47</v>
      </c>
      <c r="F246" s="41">
        <f t="shared" si="7"/>
        <v>0</v>
      </c>
    </row>
    <row r="247" spans="1:6" hidden="1" x14ac:dyDescent="0.2">
      <c r="A247" s="40"/>
      <c r="B247" s="300" t="s">
        <v>328</v>
      </c>
      <c r="C247" s="40" t="str">
        <f>'Material Rates_Master'!B77</f>
        <v>ea</v>
      </c>
      <c r="D247" s="240"/>
      <c r="E247" s="41">
        <f>'Material Rates_Master'!D77</f>
        <v>178.8</v>
      </c>
      <c r="F247" s="41">
        <f t="shared" si="7"/>
        <v>0</v>
      </c>
    </row>
    <row r="248" spans="1:6" hidden="1" x14ac:dyDescent="0.2">
      <c r="A248" s="40"/>
      <c r="B248" s="300" t="s">
        <v>329</v>
      </c>
      <c r="C248" s="40" t="str">
        <f>'Material Rates_Master'!B78</f>
        <v>ea</v>
      </c>
      <c r="D248" s="240"/>
      <c r="E248" s="41">
        <f>'Material Rates_Master'!D78</f>
        <v>362.35</v>
      </c>
      <c r="F248" s="41">
        <f t="shared" si="7"/>
        <v>0</v>
      </c>
    </row>
    <row r="249" spans="1:6" hidden="1" x14ac:dyDescent="0.2">
      <c r="A249" s="40"/>
      <c r="B249" s="300" t="s">
        <v>330</v>
      </c>
      <c r="C249" s="40" t="str">
        <f>'Material Rates_Master'!B79</f>
        <v>ea</v>
      </c>
      <c r="D249" s="240"/>
      <c r="E249" s="41">
        <f>'Material Rates_Master'!D79</f>
        <v>144.71</v>
      </c>
      <c r="F249" s="41">
        <f t="shared" si="7"/>
        <v>0</v>
      </c>
    </row>
    <row r="250" spans="1:6" hidden="1" x14ac:dyDescent="0.2">
      <c r="A250" s="40"/>
      <c r="B250" s="300" t="s">
        <v>331</v>
      </c>
      <c r="C250" s="40" t="str">
        <f>'Material Rates_Master'!B80</f>
        <v>ea</v>
      </c>
      <c r="D250" s="240"/>
      <c r="E250" s="41">
        <f>'Material Rates_Master'!D80</f>
        <v>135.88</v>
      </c>
      <c r="F250" s="41">
        <f t="shared" si="7"/>
        <v>0</v>
      </c>
    </row>
    <row r="251" spans="1:6" hidden="1" x14ac:dyDescent="0.2">
      <c r="A251" s="40"/>
      <c r="B251" s="300" t="s">
        <v>332</v>
      </c>
      <c r="C251" s="40" t="str">
        <f>'Material Rates_Master'!B81</f>
        <v>ea</v>
      </c>
      <c r="D251" s="240"/>
      <c r="E251" s="41">
        <f>'Material Rates_Master'!D81</f>
        <v>76.47</v>
      </c>
      <c r="F251" s="41">
        <f t="shared" si="7"/>
        <v>0</v>
      </c>
    </row>
    <row r="252" spans="1:6" hidden="1" x14ac:dyDescent="0.2">
      <c r="A252" s="40"/>
      <c r="B252" s="300" t="s">
        <v>333</v>
      </c>
      <c r="C252" s="40" t="str">
        <f>'Material Rates_Master'!B82</f>
        <v>ea</v>
      </c>
      <c r="D252" s="240"/>
      <c r="E252" s="41">
        <f>'Material Rates_Master'!D82</f>
        <v>67.650000000000006</v>
      </c>
      <c r="F252" s="41">
        <f t="shared" si="7"/>
        <v>0</v>
      </c>
    </row>
    <row r="253" spans="1:6" hidden="1" x14ac:dyDescent="0.2">
      <c r="A253" s="40"/>
      <c r="B253" s="300" t="s">
        <v>334</v>
      </c>
      <c r="C253" s="40" t="str">
        <f>'Material Rates_Master'!B83</f>
        <v>ea</v>
      </c>
      <c r="D253" s="240"/>
      <c r="E253" s="41">
        <f>'Material Rates_Master'!D83</f>
        <v>43.53</v>
      </c>
      <c r="F253" s="41">
        <f t="shared" si="7"/>
        <v>0</v>
      </c>
    </row>
    <row r="254" spans="1:6" ht="6.6" hidden="1" customHeight="1" x14ac:dyDescent="0.2">
      <c r="A254" s="40"/>
      <c r="B254" s="300"/>
      <c r="C254" s="40">
        <f>'Material Rates_Master'!B84</f>
        <v>0</v>
      </c>
      <c r="E254" s="41">
        <f>'Material Rates_Master'!D84</f>
        <v>0</v>
      </c>
      <c r="F254" s="41">
        <f t="shared" si="7"/>
        <v>0</v>
      </c>
    </row>
    <row r="255" spans="1:6" hidden="1" x14ac:dyDescent="0.2">
      <c r="A255" s="40"/>
      <c r="B255" s="300" t="s">
        <v>335</v>
      </c>
      <c r="C255" s="40" t="str">
        <f>'Material Rates_Master'!B85</f>
        <v>ea</v>
      </c>
      <c r="D255" s="240"/>
      <c r="E255" s="41">
        <f>'Material Rates_Master'!D85</f>
        <v>67.06</v>
      </c>
      <c r="F255" s="41">
        <f t="shared" si="7"/>
        <v>0</v>
      </c>
    </row>
    <row r="256" spans="1:6" hidden="1" x14ac:dyDescent="0.2">
      <c r="A256" s="40"/>
      <c r="B256" s="300" t="s">
        <v>336</v>
      </c>
      <c r="C256" s="40" t="str">
        <f>'Material Rates_Master'!B86</f>
        <v>ea</v>
      </c>
      <c r="D256" s="240"/>
      <c r="E256" s="41">
        <f>'Material Rates_Master'!D86</f>
        <v>46.71</v>
      </c>
      <c r="F256" s="41">
        <f t="shared" si="7"/>
        <v>0</v>
      </c>
    </row>
    <row r="257" spans="1:6" hidden="1" x14ac:dyDescent="0.2">
      <c r="A257" s="40"/>
      <c r="B257" s="300" t="s">
        <v>337</v>
      </c>
      <c r="C257" s="40" t="str">
        <f>'Material Rates_Master'!B87</f>
        <v>ea</v>
      </c>
      <c r="D257" s="240"/>
      <c r="E257" s="41">
        <f>'Material Rates_Master'!D87</f>
        <v>60</v>
      </c>
      <c r="F257" s="41">
        <f t="shared" si="7"/>
        <v>0</v>
      </c>
    </row>
    <row r="258" spans="1:6" hidden="1" x14ac:dyDescent="0.2">
      <c r="A258" s="40"/>
      <c r="B258" s="300" t="s">
        <v>338</v>
      </c>
      <c r="C258" s="40" t="str">
        <f>'Material Rates_Master'!B88</f>
        <v>ea</v>
      </c>
      <c r="D258" s="240"/>
      <c r="E258" s="41">
        <f>'Material Rates_Master'!D88</f>
        <v>42.35</v>
      </c>
      <c r="F258" s="41">
        <f t="shared" si="7"/>
        <v>0</v>
      </c>
    </row>
    <row r="259" spans="1:6" hidden="1" x14ac:dyDescent="0.2">
      <c r="A259" s="40"/>
      <c r="B259" s="300" t="s">
        <v>339</v>
      </c>
      <c r="C259" s="40" t="str">
        <f>'Material Rates_Master'!B89</f>
        <v>ea</v>
      </c>
      <c r="D259" s="240"/>
      <c r="E259" s="41">
        <f>'Material Rates_Master'!D89</f>
        <v>24.71</v>
      </c>
      <c r="F259" s="41">
        <f t="shared" si="7"/>
        <v>0</v>
      </c>
    </row>
    <row r="260" spans="1:6" hidden="1" x14ac:dyDescent="0.2">
      <c r="A260" s="40"/>
      <c r="B260" s="300" t="s">
        <v>340</v>
      </c>
      <c r="C260" s="40" t="str">
        <f>'Material Rates_Master'!B90</f>
        <v>ea</v>
      </c>
      <c r="D260" s="240"/>
      <c r="E260" s="41">
        <f>'Material Rates_Master'!D90</f>
        <v>20</v>
      </c>
      <c r="F260" s="41">
        <f t="shared" si="7"/>
        <v>0</v>
      </c>
    </row>
    <row r="261" spans="1:6" ht="6.6" hidden="1" customHeight="1" x14ac:dyDescent="0.2">
      <c r="A261" s="40"/>
      <c r="B261" s="300"/>
      <c r="C261" s="40">
        <f>'Material Rates_Master'!B91</f>
        <v>0</v>
      </c>
      <c r="E261" s="41">
        <f>'Material Rates_Master'!D91</f>
        <v>0</v>
      </c>
      <c r="F261" s="41">
        <f t="shared" si="7"/>
        <v>0</v>
      </c>
    </row>
    <row r="262" spans="1:6" hidden="1" x14ac:dyDescent="0.2">
      <c r="A262" s="40"/>
      <c r="B262" s="300" t="s">
        <v>341</v>
      </c>
      <c r="C262" s="40" t="str">
        <f>'Material Rates_Master'!B92</f>
        <v>ea</v>
      </c>
      <c r="D262" s="240"/>
      <c r="E262" s="41">
        <f>'Material Rates_Master'!D92</f>
        <v>108.71</v>
      </c>
      <c r="F262" s="41">
        <f t="shared" si="7"/>
        <v>0</v>
      </c>
    </row>
    <row r="263" spans="1:6" hidden="1" x14ac:dyDescent="0.2">
      <c r="A263" s="40"/>
      <c r="B263" s="300" t="s">
        <v>342</v>
      </c>
      <c r="C263" s="40" t="str">
        <f>'Material Rates_Master'!B93</f>
        <v>ea</v>
      </c>
      <c r="D263" s="240"/>
      <c r="E263" s="41">
        <f>'Material Rates_Master'!D93</f>
        <v>87.06</v>
      </c>
      <c r="F263" s="41">
        <f t="shared" si="7"/>
        <v>0</v>
      </c>
    </row>
    <row r="264" spans="1:6" hidden="1" x14ac:dyDescent="0.2">
      <c r="A264" s="40"/>
      <c r="B264" s="300" t="s">
        <v>343</v>
      </c>
      <c r="C264" s="40" t="str">
        <f>'Material Rates_Master'!B94</f>
        <v>ea</v>
      </c>
      <c r="D264" s="240"/>
      <c r="E264" s="41">
        <f>'Material Rates_Master'!D94</f>
        <v>305.88</v>
      </c>
      <c r="F264" s="41">
        <f t="shared" si="7"/>
        <v>0</v>
      </c>
    </row>
    <row r="265" spans="1:6" hidden="1" x14ac:dyDescent="0.2">
      <c r="A265" s="40"/>
      <c r="B265" s="300" t="s">
        <v>344</v>
      </c>
      <c r="C265" s="40" t="str">
        <f>'Material Rates_Master'!B95</f>
        <v>ea</v>
      </c>
      <c r="D265" s="240"/>
      <c r="E265" s="41">
        <f>'Material Rates_Master'!D95</f>
        <v>182.35</v>
      </c>
      <c r="F265" s="41">
        <f t="shared" si="7"/>
        <v>0</v>
      </c>
    </row>
    <row r="266" spans="1:6" hidden="1" x14ac:dyDescent="0.2">
      <c r="A266" s="40"/>
      <c r="B266" s="300" t="s">
        <v>345</v>
      </c>
      <c r="C266" s="40" t="str">
        <f>'Material Rates_Master'!B96</f>
        <v>ea</v>
      </c>
      <c r="D266" s="240"/>
      <c r="E266" s="41">
        <f>'Material Rates_Master'!D96</f>
        <v>229.41</v>
      </c>
      <c r="F266" s="41">
        <f t="shared" si="7"/>
        <v>0</v>
      </c>
    </row>
    <row r="267" spans="1:6" hidden="1" x14ac:dyDescent="0.2">
      <c r="A267" s="40"/>
      <c r="B267" s="300" t="s">
        <v>346</v>
      </c>
      <c r="C267" s="40" t="str">
        <f>'Material Rates_Master'!B97</f>
        <v>ea</v>
      </c>
      <c r="D267" s="240"/>
      <c r="E267" s="41">
        <f>'Material Rates_Master'!D97</f>
        <v>152.94</v>
      </c>
      <c r="F267" s="41">
        <f t="shared" si="7"/>
        <v>0</v>
      </c>
    </row>
    <row r="268" spans="1:6" hidden="1" x14ac:dyDescent="0.2">
      <c r="A268" s="40"/>
      <c r="B268" s="300" t="s">
        <v>347</v>
      </c>
      <c r="C268" s="40" t="str">
        <f>'Material Rates_Master'!B98</f>
        <v>ea</v>
      </c>
      <c r="D268" s="240"/>
      <c r="E268" s="41">
        <f>'Material Rates_Master'!D98</f>
        <v>690</v>
      </c>
      <c r="F268" s="41">
        <f t="shared" si="7"/>
        <v>0</v>
      </c>
    </row>
    <row r="269" spans="1:6" hidden="1" x14ac:dyDescent="0.2">
      <c r="A269" s="40"/>
      <c r="B269" s="300" t="s">
        <v>348</v>
      </c>
      <c r="C269" s="40" t="str">
        <f>'Material Rates_Master'!B99</f>
        <v>ea</v>
      </c>
      <c r="D269" s="240"/>
      <c r="E269" s="41">
        <f>'Material Rates_Master'!D99</f>
        <v>408.47</v>
      </c>
      <c r="F269" s="41">
        <f t="shared" si="7"/>
        <v>0</v>
      </c>
    </row>
    <row r="270" spans="1:6" ht="6.6" hidden="1" customHeight="1" x14ac:dyDescent="0.2">
      <c r="A270" s="40"/>
      <c r="B270" s="300"/>
      <c r="C270" s="40">
        <f>'Material Rates_Master'!B100</f>
        <v>0</v>
      </c>
      <c r="E270" s="41">
        <f>'Material Rates_Master'!D100</f>
        <v>0</v>
      </c>
      <c r="F270" s="41">
        <f t="shared" si="7"/>
        <v>0</v>
      </c>
    </row>
    <row r="271" spans="1:6" hidden="1" x14ac:dyDescent="0.2">
      <c r="A271" s="40"/>
      <c r="B271" s="300" t="s">
        <v>349</v>
      </c>
      <c r="C271" s="40" t="str">
        <f>'Material Rates_Master'!B101</f>
        <v>ea</v>
      </c>
      <c r="D271" s="240"/>
      <c r="E271" s="41">
        <f>'Material Rates_Master'!D101</f>
        <v>90</v>
      </c>
      <c r="F271" s="41">
        <f t="shared" si="7"/>
        <v>0</v>
      </c>
    </row>
    <row r="272" spans="1:6" hidden="1" x14ac:dyDescent="0.2">
      <c r="A272" s="40"/>
      <c r="B272" s="300" t="s">
        <v>350</v>
      </c>
      <c r="C272" s="40" t="str">
        <f>'Material Rates_Master'!B102</f>
        <v>ea</v>
      </c>
      <c r="D272" s="240"/>
      <c r="E272" s="41">
        <f>'Material Rates_Master'!D102</f>
        <v>13.5</v>
      </c>
      <c r="F272" s="41">
        <f t="shared" si="7"/>
        <v>0</v>
      </c>
    </row>
    <row r="273" spans="1:6" hidden="1" x14ac:dyDescent="0.2">
      <c r="A273" s="40"/>
      <c r="B273" s="300" t="s">
        <v>351</v>
      </c>
      <c r="C273" s="40" t="str">
        <f>'Material Rates_Master'!B103</f>
        <v>ea</v>
      </c>
      <c r="D273" s="240"/>
      <c r="E273" s="41">
        <f>'Material Rates_Master'!D103</f>
        <v>27.14</v>
      </c>
      <c r="F273" s="41">
        <f t="shared" ref="F273:F276" si="8">E273*D273</f>
        <v>0</v>
      </c>
    </row>
    <row r="274" spans="1:6" hidden="1" x14ac:dyDescent="0.2">
      <c r="A274" s="40"/>
      <c r="B274" s="300" t="s">
        <v>352</v>
      </c>
      <c r="C274" s="40" t="str">
        <f>'Material Rates_Master'!B104</f>
        <v>ea</v>
      </c>
      <c r="D274" s="240"/>
      <c r="E274" s="41">
        <f>'Material Rates_Master'!D104</f>
        <v>27.14</v>
      </c>
      <c r="F274" s="41">
        <f t="shared" si="8"/>
        <v>0</v>
      </c>
    </row>
    <row r="275" spans="1:6" x14ac:dyDescent="0.2">
      <c r="A275" s="40"/>
      <c r="B275" s="300"/>
      <c r="F275" s="41">
        <f t="shared" si="8"/>
        <v>0</v>
      </c>
    </row>
    <row r="276" spans="1:6" x14ac:dyDescent="0.2">
      <c r="A276" s="40"/>
      <c r="B276" s="332" t="s">
        <v>353</v>
      </c>
      <c r="F276" s="41">
        <f t="shared" si="8"/>
        <v>0</v>
      </c>
    </row>
    <row r="277" spans="1:6" x14ac:dyDescent="0.2">
      <c r="A277" s="40"/>
      <c r="B277" s="301" t="s">
        <v>354</v>
      </c>
    </row>
    <row r="278" spans="1:6" x14ac:dyDescent="0.2">
      <c r="A278" s="40"/>
    </row>
    <row r="279" spans="1:6" x14ac:dyDescent="0.2">
      <c r="A279" s="40"/>
    </row>
    <row r="280" spans="1:6" x14ac:dyDescent="0.2">
      <c r="A280" s="40"/>
    </row>
    <row r="281" spans="1:6" x14ac:dyDescent="0.2">
      <c r="A281" s="40" t="s">
        <v>243</v>
      </c>
      <c r="C281" s="40" t="str">
        <f>'Material Rates_Master'!B107</f>
        <v>Unit</v>
      </c>
    </row>
    <row r="282" spans="1:6" hidden="1" x14ac:dyDescent="0.2">
      <c r="A282" s="40"/>
      <c r="B282" s="300" t="s">
        <v>355</v>
      </c>
      <c r="C282" s="40" t="str">
        <f>'Material Rates_Master'!B108</f>
        <v>m</v>
      </c>
      <c r="D282" s="37"/>
      <c r="E282" s="41">
        <f>'Material Rates_Master'!D108</f>
        <v>43.846153846153847</v>
      </c>
      <c r="F282" s="41">
        <f t="shared" ref="F282:F313" si="9">E282*D282</f>
        <v>0</v>
      </c>
    </row>
    <row r="283" spans="1:6" hidden="1" x14ac:dyDescent="0.2">
      <c r="A283" s="40"/>
      <c r="B283" s="300" t="s">
        <v>356</v>
      </c>
      <c r="C283" s="40" t="str">
        <f>'Material Rates_Master'!B109</f>
        <v>m</v>
      </c>
      <c r="D283" s="37"/>
      <c r="E283" s="41">
        <f>'Material Rates_Master'!D109</f>
        <v>28.46153846153846</v>
      </c>
      <c r="F283" s="41">
        <f t="shared" si="9"/>
        <v>0</v>
      </c>
    </row>
    <row r="284" spans="1:6" hidden="1" x14ac:dyDescent="0.2">
      <c r="A284" s="40"/>
      <c r="B284" s="300" t="s">
        <v>357</v>
      </c>
      <c r="C284" s="40" t="str">
        <f>'Material Rates_Master'!B110</f>
        <v>m</v>
      </c>
      <c r="D284" s="37"/>
      <c r="E284" s="41">
        <f>'Material Rates_Master'!D110</f>
        <v>106.24166666666667</v>
      </c>
      <c r="F284" s="41">
        <f t="shared" si="9"/>
        <v>0</v>
      </c>
    </row>
    <row r="285" spans="1:6" hidden="1" x14ac:dyDescent="0.2">
      <c r="A285" s="40"/>
      <c r="B285" s="300" t="s">
        <v>358</v>
      </c>
      <c r="C285" s="40" t="str">
        <f>'Material Rates_Master'!B111</f>
        <v>m</v>
      </c>
      <c r="D285" s="37"/>
      <c r="E285" s="41">
        <f>'Material Rates_Master'!D111</f>
        <v>59.82</v>
      </c>
      <c r="F285" s="41">
        <f t="shared" si="9"/>
        <v>0</v>
      </c>
    </row>
    <row r="286" spans="1:6" ht="8.25" hidden="1" customHeight="1" x14ac:dyDescent="0.2">
      <c r="A286" s="40"/>
      <c r="B286" s="300"/>
      <c r="C286" s="40">
        <f>'Material Rates_Master'!B112</f>
        <v>0</v>
      </c>
      <c r="D286" s="37"/>
      <c r="E286" s="41">
        <f>'Material Rates_Master'!D112</f>
        <v>0</v>
      </c>
      <c r="F286" s="41">
        <f t="shared" si="9"/>
        <v>0</v>
      </c>
    </row>
    <row r="287" spans="1:6" hidden="1" x14ac:dyDescent="0.2">
      <c r="A287" s="40"/>
      <c r="B287" s="300" t="s">
        <v>359</v>
      </c>
      <c r="C287" s="40" t="str">
        <f>'Material Rates_Master'!B113</f>
        <v>ea</v>
      </c>
      <c r="D287" s="37"/>
      <c r="E287" s="41">
        <f>'Material Rates_Master'!D113</f>
        <v>12.83</v>
      </c>
      <c r="F287" s="41">
        <f t="shared" si="9"/>
        <v>0</v>
      </c>
    </row>
    <row r="288" spans="1:6" hidden="1" x14ac:dyDescent="0.2">
      <c r="A288" s="40"/>
      <c r="B288" s="300" t="s">
        <v>360</v>
      </c>
      <c r="C288" s="40" t="str">
        <f>'Material Rates_Master'!B114</f>
        <v>ea</v>
      </c>
      <c r="D288" s="37"/>
      <c r="E288" s="41">
        <f>'Material Rates_Master'!D114</f>
        <v>7.55</v>
      </c>
      <c r="F288" s="41">
        <f t="shared" si="9"/>
        <v>0</v>
      </c>
    </row>
    <row r="289" spans="1:6" hidden="1" x14ac:dyDescent="0.2">
      <c r="A289" s="40"/>
      <c r="B289" s="300" t="s">
        <v>361</v>
      </c>
      <c r="C289" s="40" t="str">
        <f>'Material Rates_Master'!B115</f>
        <v>ea</v>
      </c>
      <c r="D289" s="37"/>
      <c r="E289" s="41">
        <f>'Material Rates_Master'!D115</f>
        <v>35.5</v>
      </c>
      <c r="F289" s="41">
        <f t="shared" si="9"/>
        <v>0</v>
      </c>
    </row>
    <row r="290" spans="1:6" hidden="1" x14ac:dyDescent="0.2">
      <c r="A290" s="40"/>
      <c r="B290" s="300" t="s">
        <v>362</v>
      </c>
      <c r="C290" s="40" t="str">
        <f>'Material Rates_Master'!B116</f>
        <v>ea</v>
      </c>
      <c r="D290" s="37"/>
      <c r="E290" s="41">
        <f>'Material Rates_Master'!D116</f>
        <v>16.93</v>
      </c>
      <c r="F290" s="41">
        <f t="shared" si="9"/>
        <v>0</v>
      </c>
    </row>
    <row r="291" spans="1:6" hidden="1" x14ac:dyDescent="0.2">
      <c r="A291" s="40"/>
      <c r="B291" s="300" t="s">
        <v>363</v>
      </c>
      <c r="C291" s="40" t="str">
        <f>'Material Rates_Master'!B117</f>
        <v>ea</v>
      </c>
      <c r="D291" s="37"/>
      <c r="E291" s="41">
        <f>'Material Rates_Master'!D117</f>
        <v>22.85</v>
      </c>
      <c r="F291" s="41">
        <f t="shared" si="9"/>
        <v>0</v>
      </c>
    </row>
    <row r="292" spans="1:6" hidden="1" x14ac:dyDescent="0.2">
      <c r="A292" s="40"/>
      <c r="B292" s="300" t="s">
        <v>364</v>
      </c>
      <c r="C292" s="40" t="str">
        <f>'Material Rates_Master'!B118</f>
        <v>ea</v>
      </c>
      <c r="D292" s="37"/>
      <c r="E292" s="41">
        <f>'Material Rates_Master'!D118</f>
        <v>10.62</v>
      </c>
      <c r="F292" s="41">
        <f t="shared" si="9"/>
        <v>0</v>
      </c>
    </row>
    <row r="293" spans="1:6" hidden="1" x14ac:dyDescent="0.2">
      <c r="A293" s="40"/>
      <c r="B293" s="300" t="s">
        <v>365</v>
      </c>
      <c r="C293" s="40" t="str">
        <f>'Material Rates_Master'!B119</f>
        <v>ea</v>
      </c>
      <c r="D293" s="37"/>
      <c r="E293" s="41">
        <f>'Material Rates_Master'!D119</f>
        <v>23.5</v>
      </c>
      <c r="F293" s="41">
        <f t="shared" si="9"/>
        <v>0</v>
      </c>
    </row>
    <row r="294" spans="1:6" hidden="1" x14ac:dyDescent="0.2">
      <c r="A294" s="40"/>
      <c r="B294" s="300" t="s">
        <v>366</v>
      </c>
      <c r="C294" s="40" t="str">
        <f>'Material Rates_Master'!B120</f>
        <v>ea</v>
      </c>
      <c r="D294" s="37"/>
      <c r="E294" s="41">
        <f>'Material Rates_Master'!D120</f>
        <v>11.4</v>
      </c>
      <c r="F294" s="41">
        <f t="shared" si="9"/>
        <v>0</v>
      </c>
    </row>
    <row r="295" spans="1:6" hidden="1" x14ac:dyDescent="0.2">
      <c r="A295" s="40"/>
      <c r="B295" s="300" t="s">
        <v>367</v>
      </c>
      <c r="C295" s="40" t="str">
        <f>'Material Rates_Master'!B121</f>
        <v>ea</v>
      </c>
      <c r="D295" s="37"/>
      <c r="E295" s="41">
        <f>'Material Rates_Master'!D121</f>
        <v>30.75</v>
      </c>
      <c r="F295" s="41">
        <f t="shared" si="9"/>
        <v>0</v>
      </c>
    </row>
    <row r="296" spans="1:6" hidden="1" x14ac:dyDescent="0.2">
      <c r="A296" s="40"/>
      <c r="B296" s="300" t="s">
        <v>368</v>
      </c>
      <c r="C296" s="40" t="str">
        <f>'Material Rates_Master'!B122</f>
        <v>ea</v>
      </c>
      <c r="D296" s="37"/>
      <c r="E296" s="41">
        <f>'Material Rates_Master'!D122</f>
        <v>23.21</v>
      </c>
      <c r="F296" s="41">
        <f t="shared" si="9"/>
        <v>0</v>
      </c>
    </row>
    <row r="297" spans="1:6" hidden="1" x14ac:dyDescent="0.2">
      <c r="A297" s="40"/>
      <c r="B297" s="300" t="s">
        <v>369</v>
      </c>
      <c r="C297" s="40" t="str">
        <f>'Material Rates_Master'!B123</f>
        <v>ea</v>
      </c>
      <c r="D297" s="37"/>
      <c r="E297" s="41">
        <f>'Material Rates_Master'!D123</f>
        <v>217.8</v>
      </c>
      <c r="F297" s="41">
        <f t="shared" si="9"/>
        <v>0</v>
      </c>
    </row>
    <row r="298" spans="1:6" hidden="1" x14ac:dyDescent="0.2">
      <c r="A298" s="40"/>
      <c r="B298" s="300" t="s">
        <v>370</v>
      </c>
      <c r="C298" s="40" t="str">
        <f>'Material Rates_Master'!B124</f>
        <v>ea</v>
      </c>
      <c r="D298" s="37"/>
      <c r="E298" s="41">
        <f>'Material Rates_Master'!D124</f>
        <v>169.4</v>
      </c>
      <c r="F298" s="41">
        <f t="shared" si="9"/>
        <v>0</v>
      </c>
    </row>
    <row r="299" spans="1:6" ht="5.4" hidden="1" customHeight="1" x14ac:dyDescent="0.2">
      <c r="A299" s="40"/>
      <c r="B299" s="300"/>
      <c r="C299" s="40">
        <f>'Material Rates_Master'!B125</f>
        <v>0</v>
      </c>
      <c r="D299" s="37"/>
      <c r="E299" s="41">
        <f>'Material Rates_Master'!D125</f>
        <v>0</v>
      </c>
      <c r="F299" s="41">
        <f t="shared" si="9"/>
        <v>0</v>
      </c>
    </row>
    <row r="300" spans="1:6" hidden="1" x14ac:dyDescent="0.2">
      <c r="A300" s="40"/>
      <c r="B300" s="300" t="s">
        <v>371</v>
      </c>
      <c r="C300" s="40" t="str">
        <f>'Material Rates_Master'!B126</f>
        <v>ea</v>
      </c>
      <c r="D300" s="37"/>
      <c r="E300" s="41">
        <f>'Material Rates_Master'!D126</f>
        <v>2350</v>
      </c>
      <c r="F300" s="41">
        <f t="shared" si="9"/>
        <v>0</v>
      </c>
    </row>
    <row r="301" spans="1:6" hidden="1" x14ac:dyDescent="0.2">
      <c r="A301" s="40"/>
      <c r="B301" s="300" t="s">
        <v>372</v>
      </c>
      <c r="C301" s="40" t="str">
        <f>'Material Rates_Master'!B127</f>
        <v>ea</v>
      </c>
      <c r="D301" s="37"/>
      <c r="E301" s="41">
        <f>'Material Rates_Master'!D127</f>
        <v>1155</v>
      </c>
      <c r="F301" s="41">
        <f t="shared" si="9"/>
        <v>0</v>
      </c>
    </row>
    <row r="302" spans="1:6" ht="6.6" hidden="1" customHeight="1" x14ac:dyDescent="0.2">
      <c r="A302" s="40"/>
      <c r="B302" s="300"/>
      <c r="C302" s="40">
        <f>'Material Rates_Master'!B128</f>
        <v>0</v>
      </c>
      <c r="D302" s="37"/>
      <c r="E302" s="41">
        <f>'Material Rates_Master'!D128</f>
        <v>0</v>
      </c>
      <c r="F302" s="41">
        <f t="shared" si="9"/>
        <v>0</v>
      </c>
    </row>
    <row r="303" spans="1:6" hidden="1" x14ac:dyDescent="0.2">
      <c r="A303" s="40"/>
      <c r="B303" s="300" t="s">
        <v>373</v>
      </c>
      <c r="C303" s="40" t="str">
        <f>'Material Rates_Master'!B129</f>
        <v>ea</v>
      </c>
      <c r="D303" s="240"/>
      <c r="E303" s="41">
        <f>'Material Rates_Master'!D129</f>
        <v>365</v>
      </c>
      <c r="F303" s="41">
        <f t="shared" si="9"/>
        <v>0</v>
      </c>
    </row>
    <row r="304" spans="1:6" hidden="1" x14ac:dyDescent="0.2">
      <c r="A304" s="40"/>
      <c r="B304" s="300" t="s">
        <v>374</v>
      </c>
      <c r="C304" s="40" t="str">
        <f>'Material Rates_Master'!B130</f>
        <v>ea</v>
      </c>
      <c r="D304" s="240"/>
      <c r="E304" s="41">
        <f>'Material Rates_Master'!D130</f>
        <v>365</v>
      </c>
      <c r="F304" s="41">
        <f t="shared" si="9"/>
        <v>0</v>
      </c>
    </row>
    <row r="305" spans="1:6" hidden="1" x14ac:dyDescent="0.2">
      <c r="A305" s="40"/>
      <c r="B305" s="300" t="s">
        <v>375</v>
      </c>
      <c r="C305" s="40" t="str">
        <f>'Material Rates_Master'!B131</f>
        <v>ea</v>
      </c>
      <c r="D305" s="240"/>
      <c r="E305" s="41">
        <f>'Material Rates_Master'!D131</f>
        <v>90</v>
      </c>
      <c r="F305" s="41">
        <f t="shared" si="9"/>
        <v>0</v>
      </c>
    </row>
    <row r="306" spans="1:6" hidden="1" x14ac:dyDescent="0.2">
      <c r="A306" s="40"/>
      <c r="B306" s="300" t="s">
        <v>376</v>
      </c>
      <c r="C306" s="40" t="str">
        <f>'Material Rates_Master'!B132</f>
        <v>ea</v>
      </c>
      <c r="D306" s="240"/>
      <c r="E306" s="41">
        <f>'Material Rates_Master'!D132</f>
        <v>5</v>
      </c>
      <c r="F306" s="41">
        <f t="shared" si="9"/>
        <v>0</v>
      </c>
    </row>
    <row r="307" spans="1:6" hidden="1" x14ac:dyDescent="0.2">
      <c r="A307" s="40"/>
      <c r="B307" s="300" t="s">
        <v>377</v>
      </c>
      <c r="C307" s="40" t="str">
        <f>'Material Rates_Master'!B133</f>
        <v>ea</v>
      </c>
      <c r="D307" s="240"/>
      <c r="E307" s="41">
        <f>'Material Rates_Master'!D133</f>
        <v>125</v>
      </c>
      <c r="F307" s="41">
        <f t="shared" si="9"/>
        <v>0</v>
      </c>
    </row>
    <row r="308" spans="1:6" hidden="1" x14ac:dyDescent="0.2">
      <c r="A308" s="40"/>
      <c r="B308" s="300" t="s">
        <v>378</v>
      </c>
      <c r="C308" s="40" t="str">
        <f>'Material Rates_Master'!B134</f>
        <v>ea</v>
      </c>
      <c r="D308" s="240"/>
      <c r="E308" s="41">
        <f>'Material Rates_Master'!D134</f>
        <v>39</v>
      </c>
      <c r="F308" s="41">
        <f t="shared" si="9"/>
        <v>0</v>
      </c>
    </row>
    <row r="309" spans="1:6" ht="6.6" hidden="1" customHeight="1" x14ac:dyDescent="0.2">
      <c r="A309" s="40"/>
      <c r="B309" s="300"/>
      <c r="C309" s="40">
        <f>'Material Rates_Master'!B135</f>
        <v>0</v>
      </c>
      <c r="D309" s="37"/>
      <c r="E309" s="41">
        <f>'Material Rates_Master'!D135</f>
        <v>0</v>
      </c>
      <c r="F309" s="41">
        <f t="shared" si="9"/>
        <v>0</v>
      </c>
    </row>
    <row r="310" spans="1:6" hidden="1" x14ac:dyDescent="0.2">
      <c r="A310" s="40"/>
      <c r="B310" s="300" t="s">
        <v>379</v>
      </c>
      <c r="C310" s="40" t="str">
        <f>'Material Rates_Master'!B136</f>
        <v>ea</v>
      </c>
      <c r="D310" s="37"/>
      <c r="E310" s="41">
        <f>'Material Rates_Master'!D136</f>
        <v>3100.7</v>
      </c>
      <c r="F310" s="41">
        <f t="shared" si="9"/>
        <v>0</v>
      </c>
    </row>
    <row r="311" spans="1:6" hidden="1" x14ac:dyDescent="0.2">
      <c r="A311" s="40"/>
      <c r="B311" s="300" t="s">
        <v>380</v>
      </c>
      <c r="C311" s="40" t="str">
        <f>'Material Rates_Master'!B137</f>
        <v>ea</v>
      </c>
      <c r="D311" s="37"/>
      <c r="E311" s="41">
        <f>'Material Rates_Master'!D137</f>
        <v>4237.09</v>
      </c>
      <c r="F311" s="41">
        <f t="shared" si="9"/>
        <v>0</v>
      </c>
    </row>
    <row r="312" spans="1:6" ht="7.2" hidden="1" customHeight="1" x14ac:dyDescent="0.2">
      <c r="A312" s="40"/>
      <c r="B312" s="300"/>
      <c r="C312" s="40">
        <f>'Material Rates_Master'!B138</f>
        <v>0</v>
      </c>
      <c r="D312" s="37"/>
      <c r="E312" s="41">
        <f>'Material Rates_Master'!D138</f>
        <v>0</v>
      </c>
      <c r="F312" s="41">
        <f t="shared" si="9"/>
        <v>0</v>
      </c>
    </row>
    <row r="313" spans="1:6" hidden="1" x14ac:dyDescent="0.2">
      <c r="A313" s="40"/>
      <c r="B313" s="300" t="s">
        <v>381</v>
      </c>
      <c r="C313" s="40" t="str">
        <f>'Material Rates_Master'!B139</f>
        <v>ea</v>
      </c>
      <c r="D313" s="37"/>
      <c r="E313" s="41">
        <f>'Material Rates_Master'!D139</f>
        <v>114.44</v>
      </c>
      <c r="F313" s="41">
        <f t="shared" si="9"/>
        <v>0</v>
      </c>
    </row>
    <row r="314" spans="1:6" hidden="1" x14ac:dyDescent="0.2">
      <c r="A314" s="40"/>
      <c r="B314" s="300" t="s">
        <v>382</v>
      </c>
      <c r="C314" s="40" t="str">
        <f>'Material Rates_Master'!B140</f>
        <v>ea</v>
      </c>
      <c r="D314" s="37"/>
      <c r="E314" s="41">
        <f>'Material Rates_Master'!D140</f>
        <v>219.36</v>
      </c>
      <c r="F314" s="41">
        <f t="shared" ref="F314:F345" si="10">E314*D314</f>
        <v>0</v>
      </c>
    </row>
    <row r="315" spans="1:6" hidden="1" x14ac:dyDescent="0.2">
      <c r="A315" s="40"/>
      <c r="B315" s="300" t="s">
        <v>383</v>
      </c>
      <c r="C315" s="40" t="str">
        <f>'Material Rates_Master'!B141</f>
        <v>ea</v>
      </c>
      <c r="D315" s="37"/>
      <c r="E315" s="41">
        <f>'Material Rates_Master'!D141</f>
        <v>135.09</v>
      </c>
      <c r="F315" s="41">
        <f t="shared" si="10"/>
        <v>0</v>
      </c>
    </row>
    <row r="316" spans="1:6" hidden="1" x14ac:dyDescent="0.2">
      <c r="A316" s="40"/>
      <c r="B316" s="300" t="s">
        <v>384</v>
      </c>
      <c r="C316" s="40" t="str">
        <f>'Material Rates_Master'!B142</f>
        <v>ea</v>
      </c>
      <c r="D316" s="37"/>
      <c r="E316" s="41">
        <f>'Material Rates_Master'!D142</f>
        <v>125.77</v>
      </c>
      <c r="F316" s="41">
        <f t="shared" si="10"/>
        <v>0</v>
      </c>
    </row>
    <row r="317" spans="1:6" hidden="1" x14ac:dyDescent="0.2">
      <c r="A317" s="40"/>
      <c r="B317" s="300" t="s">
        <v>385</v>
      </c>
      <c r="C317" s="40" t="str">
        <f>'Material Rates_Master'!B143</f>
        <v>ea</v>
      </c>
      <c r="D317" s="37"/>
      <c r="E317" s="41">
        <f>'Material Rates_Master'!D143</f>
        <v>83.25</v>
      </c>
      <c r="F317" s="41">
        <f t="shared" si="10"/>
        <v>0</v>
      </c>
    </row>
    <row r="318" spans="1:6" hidden="1" x14ac:dyDescent="0.2">
      <c r="A318" s="40"/>
      <c r="B318" s="300" t="s">
        <v>386</v>
      </c>
      <c r="C318" s="40" t="str">
        <f>'Material Rates_Master'!B144</f>
        <v>ea</v>
      </c>
      <c r="D318" s="37"/>
      <c r="E318" s="41">
        <f>'Material Rates_Master'!D144</f>
        <v>52.25</v>
      </c>
      <c r="F318" s="41">
        <f t="shared" si="10"/>
        <v>0</v>
      </c>
    </row>
    <row r="319" spans="1:6" hidden="1" x14ac:dyDescent="0.2">
      <c r="A319" s="40"/>
      <c r="B319" s="300" t="s">
        <v>387</v>
      </c>
      <c r="C319" s="40" t="str">
        <f>'Material Rates_Master'!B145</f>
        <v>ea</v>
      </c>
      <c r="D319" s="37"/>
      <c r="E319" s="41">
        <f>'Material Rates_Master'!D145</f>
        <v>175.66</v>
      </c>
      <c r="F319" s="41">
        <f t="shared" si="10"/>
        <v>0</v>
      </c>
    </row>
    <row r="320" spans="1:6" hidden="1" x14ac:dyDescent="0.2">
      <c r="A320" s="40"/>
      <c r="B320" s="300" t="s">
        <v>388</v>
      </c>
      <c r="C320" s="40" t="str">
        <f>'Material Rates_Master'!B146</f>
        <v>ea</v>
      </c>
      <c r="D320" s="37"/>
      <c r="E320" s="41">
        <f>'Material Rates_Master'!D146</f>
        <v>164.08</v>
      </c>
      <c r="F320" s="41">
        <f t="shared" si="10"/>
        <v>0</v>
      </c>
    </row>
    <row r="321" spans="1:6" ht="7.2" hidden="1" customHeight="1" x14ac:dyDescent="0.2">
      <c r="A321" s="40"/>
      <c r="B321" s="300"/>
      <c r="C321" s="40">
        <f>'Material Rates_Master'!B147</f>
        <v>0</v>
      </c>
      <c r="D321" s="240"/>
      <c r="E321" s="41">
        <f>'Material Rates_Master'!D147</f>
        <v>0</v>
      </c>
      <c r="F321" s="41">
        <f t="shared" si="10"/>
        <v>0</v>
      </c>
    </row>
    <row r="322" spans="1:6" ht="12.75" hidden="1" customHeight="1" x14ac:dyDescent="0.2">
      <c r="A322" s="40"/>
      <c r="B322" s="300" t="s">
        <v>389</v>
      </c>
      <c r="C322" s="40" t="s">
        <v>149</v>
      </c>
      <c r="D322" s="240"/>
      <c r="E322" s="41">
        <f>278.5/6</f>
        <v>46.416666666666664</v>
      </c>
      <c r="F322" s="41">
        <f t="shared" si="10"/>
        <v>0</v>
      </c>
    </row>
    <row r="323" spans="1:6" ht="12.75" hidden="1" customHeight="1" x14ac:dyDescent="0.2">
      <c r="A323" s="40"/>
      <c r="B323" s="300" t="s">
        <v>390</v>
      </c>
      <c r="C323" s="40" t="s">
        <v>115</v>
      </c>
      <c r="D323" s="240"/>
      <c r="E323" s="41">
        <v>45.02</v>
      </c>
      <c r="F323" s="41">
        <f t="shared" si="10"/>
        <v>0</v>
      </c>
    </row>
    <row r="324" spans="1:6" ht="12.75" hidden="1" customHeight="1" x14ac:dyDescent="0.2">
      <c r="A324" s="40"/>
      <c r="B324" s="300" t="s">
        <v>391</v>
      </c>
      <c r="C324" s="40" t="s">
        <v>115</v>
      </c>
      <c r="D324" s="240"/>
      <c r="E324" s="41">
        <v>56.35</v>
      </c>
      <c r="F324" s="41">
        <f t="shared" si="10"/>
        <v>0</v>
      </c>
    </row>
    <row r="325" spans="1:6" ht="12.75" hidden="1" customHeight="1" x14ac:dyDescent="0.2">
      <c r="A325" s="40"/>
      <c r="B325" s="300" t="s">
        <v>392</v>
      </c>
      <c r="C325" s="40" t="s">
        <v>115</v>
      </c>
      <c r="D325" s="240"/>
      <c r="E325" s="41">
        <v>34.92</v>
      </c>
      <c r="F325" s="41">
        <f t="shared" si="10"/>
        <v>0</v>
      </c>
    </row>
    <row r="326" spans="1:6" hidden="1" x14ac:dyDescent="0.2">
      <c r="A326" s="40"/>
      <c r="B326" s="300" t="s">
        <v>393</v>
      </c>
      <c r="C326" s="40" t="str">
        <f>'Material Rates_Master'!B148</f>
        <v>ea</v>
      </c>
      <c r="D326" s="240"/>
      <c r="E326" s="41">
        <f>'Material Rates_Master'!D148</f>
        <v>77.95</v>
      </c>
      <c r="F326" s="41">
        <f t="shared" si="10"/>
        <v>0</v>
      </c>
    </row>
    <row r="327" spans="1:6" hidden="1" x14ac:dyDescent="0.2">
      <c r="A327" s="40"/>
      <c r="B327" s="300" t="s">
        <v>394</v>
      </c>
      <c r="C327" s="40" t="str">
        <f>'Material Rates_Master'!B149</f>
        <v>ea</v>
      </c>
      <c r="D327" s="240"/>
      <c r="E327" s="41">
        <f>'Material Rates_Master'!D149</f>
        <v>17.16</v>
      </c>
      <c r="F327" s="41">
        <f t="shared" si="10"/>
        <v>0</v>
      </c>
    </row>
    <row r="328" spans="1:6" hidden="1" x14ac:dyDescent="0.2">
      <c r="A328" s="40"/>
      <c r="B328" s="300" t="s">
        <v>395</v>
      </c>
      <c r="C328" s="40" t="str">
        <f>'Material Rates_Master'!B150</f>
        <v>ea</v>
      </c>
      <c r="D328" s="240"/>
      <c r="E328" s="41">
        <f>'Material Rates_Master'!D150</f>
        <v>7.23</v>
      </c>
      <c r="F328" s="41">
        <f t="shared" si="10"/>
        <v>0</v>
      </c>
    </row>
    <row r="329" spans="1:6" hidden="1" x14ac:dyDescent="0.2">
      <c r="A329" s="40"/>
      <c r="B329" s="300" t="s">
        <v>396</v>
      </c>
      <c r="C329" s="40" t="str">
        <f>'Material Rates_Master'!B151</f>
        <v>ea</v>
      </c>
      <c r="D329" s="240"/>
      <c r="E329" s="41">
        <f>'Material Rates_Master'!D151</f>
        <v>14.31</v>
      </c>
      <c r="F329" s="41">
        <f t="shared" si="10"/>
        <v>0</v>
      </c>
    </row>
    <row r="330" spans="1:6" hidden="1" x14ac:dyDescent="0.2">
      <c r="A330" s="40"/>
      <c r="B330" s="300" t="s">
        <v>397</v>
      </c>
      <c r="C330" s="40" t="str">
        <f>'Material Rates_Master'!B152</f>
        <v>ea</v>
      </c>
      <c r="D330" s="240"/>
      <c r="E330" s="41">
        <f>'Material Rates_Master'!D152</f>
        <v>16.239999999999998</v>
      </c>
      <c r="F330" s="41">
        <f t="shared" si="10"/>
        <v>0</v>
      </c>
    </row>
    <row r="331" spans="1:6" hidden="1" x14ac:dyDescent="0.2">
      <c r="A331" s="40"/>
      <c r="B331" s="300" t="s">
        <v>398</v>
      </c>
      <c r="C331" s="40" t="s">
        <v>115</v>
      </c>
      <c r="D331" s="240"/>
      <c r="E331" s="41">
        <f>128.5/6</f>
        <v>21.416666666666668</v>
      </c>
      <c r="F331" s="41">
        <f t="shared" si="10"/>
        <v>0</v>
      </c>
    </row>
    <row r="332" spans="1:6" hidden="1" x14ac:dyDescent="0.2">
      <c r="A332" s="40"/>
      <c r="B332" s="300" t="s">
        <v>399</v>
      </c>
      <c r="C332" s="40" t="str">
        <f>'Material Rates_Master'!B153</f>
        <v>ea</v>
      </c>
      <c r="D332" s="240"/>
      <c r="E332" s="41">
        <f>'Material Rates_Master'!D153</f>
        <v>14.36</v>
      </c>
      <c r="F332" s="41">
        <f t="shared" si="10"/>
        <v>0</v>
      </c>
    </row>
    <row r="333" spans="1:6" hidden="1" x14ac:dyDescent="0.2">
      <c r="A333" s="40"/>
      <c r="B333" s="300" t="s">
        <v>400</v>
      </c>
      <c r="C333" s="40" t="str">
        <f>'Material Rates_Master'!B154</f>
        <v>ea</v>
      </c>
      <c r="D333" s="240"/>
      <c r="E333" s="41">
        <f>'Material Rates_Master'!D154</f>
        <v>46.94</v>
      </c>
      <c r="F333" s="41">
        <f t="shared" si="10"/>
        <v>0</v>
      </c>
    </row>
    <row r="334" spans="1:6" hidden="1" x14ac:dyDescent="0.2">
      <c r="A334" s="40"/>
      <c r="B334" s="300" t="s">
        <v>401</v>
      </c>
      <c r="C334" s="40" t="str">
        <f>'Material Rates_Master'!B155</f>
        <v>ea</v>
      </c>
      <c r="D334" s="240"/>
      <c r="E334" s="41">
        <f>'Material Rates_Master'!D155</f>
        <v>8.4600000000000009</v>
      </c>
      <c r="F334" s="41">
        <f t="shared" si="10"/>
        <v>0</v>
      </c>
    </row>
    <row r="335" spans="1:6" hidden="1" x14ac:dyDescent="0.2">
      <c r="A335" s="40"/>
      <c r="B335" s="300" t="s">
        <v>402</v>
      </c>
      <c r="C335" s="40" t="str">
        <f>'Material Rates_Master'!B156</f>
        <v>ea</v>
      </c>
      <c r="D335" s="240"/>
      <c r="E335" s="41">
        <f>'Material Rates_Master'!D156</f>
        <v>5.74</v>
      </c>
      <c r="F335" s="41">
        <f t="shared" si="10"/>
        <v>0</v>
      </c>
    </row>
    <row r="336" spans="1:6" hidden="1" x14ac:dyDescent="0.2">
      <c r="A336" s="40"/>
      <c r="B336" s="300" t="s">
        <v>403</v>
      </c>
      <c r="C336" s="40" t="str">
        <f>'Material Rates_Master'!B157</f>
        <v>ea</v>
      </c>
      <c r="D336" s="240"/>
      <c r="E336" s="41">
        <f>'Material Rates_Master'!D157</f>
        <v>7.7</v>
      </c>
      <c r="F336" s="41">
        <f t="shared" si="10"/>
        <v>0</v>
      </c>
    </row>
    <row r="337" spans="1:6" hidden="1" x14ac:dyDescent="0.2">
      <c r="A337" s="40"/>
      <c r="B337" s="300" t="s">
        <v>404</v>
      </c>
      <c r="C337" s="40" t="str">
        <f>'Material Rates_Master'!B158</f>
        <v>ea</v>
      </c>
      <c r="D337" s="240"/>
      <c r="E337" s="41">
        <f>'Material Rates_Master'!D158</f>
        <v>10.19</v>
      </c>
      <c r="F337" s="41">
        <f t="shared" si="10"/>
        <v>0</v>
      </c>
    </row>
    <row r="338" spans="1:6" ht="9" hidden="1" customHeight="1" x14ac:dyDescent="0.2">
      <c r="A338" s="40"/>
      <c r="B338" s="300"/>
      <c r="C338" s="40">
        <f>'Material Rates_Master'!B159</f>
        <v>0</v>
      </c>
      <c r="D338" s="240"/>
      <c r="E338" s="41">
        <f>'Material Rates_Master'!D159</f>
        <v>0</v>
      </c>
      <c r="F338" s="41">
        <f t="shared" si="10"/>
        <v>0</v>
      </c>
    </row>
    <row r="339" spans="1:6" hidden="1" x14ac:dyDescent="0.2">
      <c r="A339" s="40"/>
      <c r="B339" s="300" t="s">
        <v>405</v>
      </c>
      <c r="C339" s="40" t="str">
        <f>'Material Rates_Master'!B160</f>
        <v>ea</v>
      </c>
      <c r="D339" s="37"/>
      <c r="E339" s="41">
        <f>'Material Rates_Master'!D160</f>
        <v>5.86</v>
      </c>
      <c r="F339" s="41">
        <f t="shared" si="10"/>
        <v>0</v>
      </c>
    </row>
    <row r="340" spans="1:6" hidden="1" x14ac:dyDescent="0.2">
      <c r="A340" s="40"/>
      <c r="B340" s="300" t="s">
        <v>406</v>
      </c>
      <c r="C340" s="40" t="str">
        <f>'Material Rates_Master'!B161</f>
        <v>ea</v>
      </c>
      <c r="D340" s="37"/>
      <c r="E340" s="41">
        <f>'Material Rates_Master'!D161</f>
        <v>4.41</v>
      </c>
      <c r="F340" s="41">
        <f t="shared" si="10"/>
        <v>0</v>
      </c>
    </row>
    <row r="341" spans="1:6" hidden="1" x14ac:dyDescent="0.2">
      <c r="A341" s="40"/>
      <c r="B341" s="300" t="s">
        <v>407</v>
      </c>
      <c r="C341" s="40" t="str">
        <f>'Material Rates_Master'!B162</f>
        <v>ea</v>
      </c>
      <c r="D341" s="37"/>
      <c r="E341" s="41">
        <f>'Material Rates_Master'!D162</f>
        <v>5.36</v>
      </c>
      <c r="F341" s="41">
        <f t="shared" si="10"/>
        <v>0</v>
      </c>
    </row>
    <row r="342" spans="1:6" hidden="1" x14ac:dyDescent="0.2">
      <c r="A342" s="40"/>
      <c r="B342" s="300" t="s">
        <v>408</v>
      </c>
      <c r="C342" s="40" t="str">
        <f>'Material Rates_Master'!B163</f>
        <v>ea</v>
      </c>
      <c r="D342" s="37"/>
      <c r="E342" s="41">
        <f>'Material Rates_Master'!D163</f>
        <v>4.4000000000000004</v>
      </c>
      <c r="F342" s="41">
        <f t="shared" si="10"/>
        <v>0</v>
      </c>
    </row>
    <row r="343" spans="1:6" hidden="1" x14ac:dyDescent="0.2">
      <c r="A343" s="40"/>
      <c r="B343" s="300" t="s">
        <v>409</v>
      </c>
      <c r="C343" s="40" t="str">
        <f>'Material Rates_Master'!B164</f>
        <v>ea</v>
      </c>
      <c r="D343" s="37"/>
      <c r="E343" s="41">
        <f>'Material Rates_Master'!D164</f>
        <v>10.64</v>
      </c>
      <c r="F343" s="41">
        <f t="shared" si="10"/>
        <v>0</v>
      </c>
    </row>
    <row r="344" spans="1:6" hidden="1" x14ac:dyDescent="0.2">
      <c r="A344" s="40"/>
      <c r="B344" s="300" t="s">
        <v>410</v>
      </c>
      <c r="C344" s="40" t="str">
        <f>'Material Rates_Master'!B165</f>
        <v>ea</v>
      </c>
      <c r="D344" s="37"/>
      <c r="E344" s="41">
        <f>'Material Rates_Master'!D165</f>
        <v>20</v>
      </c>
      <c r="F344" s="41">
        <f t="shared" si="10"/>
        <v>0</v>
      </c>
    </row>
    <row r="345" spans="1:6" hidden="1" x14ac:dyDescent="0.2">
      <c r="A345" s="40"/>
      <c r="B345" s="300" t="s">
        <v>411</v>
      </c>
      <c r="C345" s="40" t="str">
        <f>'Material Rates_Master'!B166</f>
        <v>ea</v>
      </c>
      <c r="D345" s="37"/>
      <c r="E345" s="41">
        <f>'Material Rates_Master'!D166</f>
        <v>19.5</v>
      </c>
      <c r="F345" s="41">
        <f t="shared" si="10"/>
        <v>0</v>
      </c>
    </row>
    <row r="346" spans="1:6" hidden="1" x14ac:dyDescent="0.2">
      <c r="A346" s="40"/>
      <c r="B346" s="300" t="s">
        <v>340</v>
      </c>
      <c r="C346" s="40" t="str">
        <f>'Material Rates_Master'!B167</f>
        <v>ea</v>
      </c>
      <c r="D346" s="37"/>
      <c r="E346" s="41">
        <f>'Material Rates_Master'!D167</f>
        <v>20</v>
      </c>
      <c r="F346" s="41">
        <f t="shared" ref="F346" si="11">E346*D346</f>
        <v>0</v>
      </c>
    </row>
    <row r="347" spans="1:6" x14ac:dyDescent="0.2">
      <c r="A347" s="40"/>
      <c r="B347" s="300"/>
      <c r="D347" s="37"/>
    </row>
    <row r="348" spans="1:6" ht="10.95" customHeight="1" x14ac:dyDescent="0.2">
      <c r="A348" s="40"/>
      <c r="B348" s="300"/>
      <c r="D348" s="37"/>
    </row>
    <row r="349" spans="1:6" x14ac:dyDescent="0.2">
      <c r="A349" s="40"/>
      <c r="B349" s="332" t="s">
        <v>412</v>
      </c>
      <c r="D349" s="37"/>
    </row>
    <row r="350" spans="1:6" ht="14.4" customHeight="1" x14ac:dyDescent="0.2">
      <c r="A350" s="40"/>
      <c r="B350" s="301" t="s">
        <v>354</v>
      </c>
      <c r="D350" s="37"/>
    </row>
    <row r="351" spans="1:6" x14ac:dyDescent="0.2">
      <c r="A351" s="40"/>
      <c r="B351" s="300" t="s">
        <v>413</v>
      </c>
      <c r="C351" s="40" t="str">
        <f>'Material Rates_Master'!B171</f>
        <v>ea</v>
      </c>
      <c r="D351" s="37"/>
      <c r="E351" s="41">
        <v>1388</v>
      </c>
      <c r="F351" s="41">
        <f t="shared" ref="F351:F356" si="12">E351*D351</f>
        <v>0</v>
      </c>
    </row>
    <row r="352" spans="1:6" x14ac:dyDescent="0.2">
      <c r="A352" s="40"/>
      <c r="B352" s="300" t="s">
        <v>414</v>
      </c>
      <c r="C352" s="40" t="str">
        <f>'Material Rates_Master'!B172</f>
        <v>ea</v>
      </c>
      <c r="D352" s="37"/>
      <c r="E352" s="41">
        <f>'Material Rates_Master'!D172</f>
        <v>0</v>
      </c>
      <c r="F352" s="41">
        <f t="shared" si="12"/>
        <v>0</v>
      </c>
    </row>
    <row r="353" spans="1:6" x14ac:dyDescent="0.2">
      <c r="A353" s="40"/>
      <c r="B353" s="300" t="s">
        <v>415</v>
      </c>
      <c r="C353" s="40" t="s">
        <v>416</v>
      </c>
      <c r="D353" s="37"/>
      <c r="E353" s="41">
        <v>450</v>
      </c>
      <c r="F353" s="41">
        <f t="shared" si="12"/>
        <v>0</v>
      </c>
    </row>
    <row r="354" spans="1:6" x14ac:dyDescent="0.2">
      <c r="A354" s="40"/>
      <c r="B354" s="300" t="s">
        <v>417</v>
      </c>
      <c r="C354" s="40" t="str">
        <f>'Material Rates_Master'!B174</f>
        <v>ea</v>
      </c>
      <c r="D354" s="37"/>
      <c r="E354" s="41">
        <f>'Material Rates_Master'!D174</f>
        <v>0</v>
      </c>
      <c r="F354" s="41">
        <f t="shared" si="12"/>
        <v>0</v>
      </c>
    </row>
    <row r="355" spans="1:6" x14ac:dyDescent="0.2">
      <c r="A355" s="40"/>
      <c r="B355" s="300" t="s">
        <v>418</v>
      </c>
      <c r="C355" s="40" t="str">
        <f>'Material Rates_Master'!B175</f>
        <v>ea</v>
      </c>
      <c r="D355" s="37"/>
      <c r="E355" s="41">
        <f>'Material Rates_Master'!D175</f>
        <v>2178.48</v>
      </c>
      <c r="F355" s="41">
        <f t="shared" si="12"/>
        <v>0</v>
      </c>
    </row>
    <row r="356" spans="1:6" x14ac:dyDescent="0.2">
      <c r="A356" s="40"/>
      <c r="B356" s="300" t="s">
        <v>419</v>
      </c>
      <c r="C356" s="40" t="str">
        <f>'Material Rates_Master'!B176</f>
        <v>ea</v>
      </c>
      <c r="D356" s="37"/>
      <c r="E356" s="41">
        <f>'Material Rates_Master'!D176</f>
        <v>2178.48</v>
      </c>
      <c r="F356" s="41">
        <f t="shared" si="12"/>
        <v>0</v>
      </c>
    </row>
    <row r="358" spans="1:6" s="40" customFormat="1" ht="14.4" x14ac:dyDescent="0.3">
      <c r="A358" s="420"/>
      <c r="B358" s="325" t="s">
        <v>420</v>
      </c>
      <c r="C358" s="42"/>
      <c r="D358" s="42"/>
      <c r="E358" s="41"/>
      <c r="F358" s="41"/>
    </row>
    <row r="359" spans="1:6" s="40" customFormat="1" ht="14.4" x14ac:dyDescent="0.3">
      <c r="A359" s="420"/>
      <c r="B359" s="327" t="s">
        <v>354</v>
      </c>
      <c r="C359" s="42"/>
      <c r="D359" s="42"/>
      <c r="E359" s="41"/>
      <c r="F359" s="41"/>
    </row>
    <row r="360" spans="1:6" s="40" customFormat="1" ht="14.4" x14ac:dyDescent="0.3">
      <c r="A360" s="38" t="s">
        <v>243</v>
      </c>
      <c r="B360" s="420"/>
      <c r="C360" s="42"/>
      <c r="D360" s="42"/>
      <c r="E360" s="41"/>
      <c r="F360" s="41"/>
    </row>
    <row r="361" spans="1:6" s="40" customFormat="1" ht="14.4" hidden="1" x14ac:dyDescent="0.3">
      <c r="A361" s="420"/>
      <c r="B361" s="420" t="s">
        <v>421</v>
      </c>
      <c r="C361" s="419" t="s">
        <v>149</v>
      </c>
      <c r="E361" s="452">
        <v>34.5</v>
      </c>
      <c r="F361" s="41">
        <f t="shared" ref="F361:F392" si="13">E361*D361</f>
        <v>0</v>
      </c>
    </row>
    <row r="362" spans="1:6" s="40" customFormat="1" ht="14.4" hidden="1" x14ac:dyDescent="0.3">
      <c r="A362" s="420"/>
      <c r="B362" s="420" t="s">
        <v>422</v>
      </c>
      <c r="C362" s="419" t="s">
        <v>149</v>
      </c>
      <c r="E362" s="452">
        <v>20</v>
      </c>
      <c r="F362" s="41">
        <f t="shared" si="13"/>
        <v>0</v>
      </c>
    </row>
    <row r="363" spans="1:6" s="40" customFormat="1" ht="14.4" hidden="1" x14ac:dyDescent="0.3">
      <c r="A363" s="420"/>
      <c r="B363" s="420" t="s">
        <v>423</v>
      </c>
      <c r="C363" s="419" t="s">
        <v>149</v>
      </c>
      <c r="E363" s="452">
        <v>12.31</v>
      </c>
      <c r="F363" s="41">
        <f t="shared" si="13"/>
        <v>0</v>
      </c>
    </row>
    <row r="364" spans="1:6" s="40" customFormat="1" ht="14.4" hidden="1" x14ac:dyDescent="0.3">
      <c r="A364" s="420"/>
      <c r="B364" s="420" t="s">
        <v>424</v>
      </c>
      <c r="C364" s="419" t="s">
        <v>149</v>
      </c>
      <c r="E364" s="452">
        <v>9.66</v>
      </c>
      <c r="F364" s="41">
        <f t="shared" si="13"/>
        <v>0</v>
      </c>
    </row>
    <row r="365" spans="1:6" s="40" customFormat="1" ht="14.4" hidden="1" x14ac:dyDescent="0.3">
      <c r="A365" s="420"/>
      <c r="B365" s="420" t="s">
        <v>425</v>
      </c>
      <c r="C365" s="419" t="s">
        <v>149</v>
      </c>
      <c r="E365" s="452">
        <v>4.63</v>
      </c>
      <c r="F365" s="41">
        <f t="shared" si="13"/>
        <v>0</v>
      </c>
    </row>
    <row r="366" spans="1:6" s="40" customFormat="1" ht="14.4" hidden="1" x14ac:dyDescent="0.3">
      <c r="A366" s="420"/>
      <c r="B366" s="420" t="s">
        <v>426</v>
      </c>
      <c r="C366" s="419" t="s">
        <v>149</v>
      </c>
      <c r="E366" s="452">
        <v>5.4</v>
      </c>
      <c r="F366" s="41">
        <f t="shared" si="13"/>
        <v>0</v>
      </c>
    </row>
    <row r="367" spans="1:6" s="40" customFormat="1" ht="14.4" hidden="1" x14ac:dyDescent="0.3">
      <c r="A367" s="420"/>
      <c r="B367" s="420" t="s">
        <v>427</v>
      </c>
      <c r="C367" s="419" t="s">
        <v>149</v>
      </c>
      <c r="E367" s="452">
        <v>4.4000000000000004</v>
      </c>
      <c r="F367" s="41">
        <f t="shared" si="13"/>
        <v>0</v>
      </c>
    </row>
    <row r="368" spans="1:6" s="40" customFormat="1" ht="14.4" hidden="1" x14ac:dyDescent="0.3">
      <c r="A368" s="420"/>
      <c r="B368" s="420" t="s">
        <v>428</v>
      </c>
      <c r="C368" s="419" t="s">
        <v>149</v>
      </c>
      <c r="E368" s="452">
        <f>354.31/150</f>
        <v>2.3620666666666668</v>
      </c>
      <c r="F368" s="41">
        <f t="shared" si="13"/>
        <v>0</v>
      </c>
    </row>
    <row r="369" spans="1:7" ht="14.4" hidden="1" x14ac:dyDescent="0.3">
      <c r="A369" s="420"/>
      <c r="B369" s="420" t="s">
        <v>429</v>
      </c>
      <c r="C369" s="419" t="s">
        <v>149</v>
      </c>
      <c r="E369" s="452">
        <v>2.1</v>
      </c>
      <c r="F369" s="41">
        <f t="shared" si="13"/>
        <v>0</v>
      </c>
    </row>
    <row r="370" spans="1:7" ht="14.4" hidden="1" x14ac:dyDescent="0.3">
      <c r="A370" s="420"/>
      <c r="B370" s="420" t="s">
        <v>430</v>
      </c>
      <c r="C370" s="419" t="s">
        <v>149</v>
      </c>
      <c r="E370" s="452">
        <v>1.22</v>
      </c>
      <c r="F370" s="41">
        <f t="shared" si="13"/>
        <v>0</v>
      </c>
    </row>
    <row r="371" spans="1:7" ht="14.4" hidden="1" x14ac:dyDescent="0.3">
      <c r="A371" s="420"/>
      <c r="B371" s="420" t="s">
        <v>431</v>
      </c>
      <c r="C371" s="419" t="s">
        <v>149</v>
      </c>
      <c r="E371" s="452">
        <v>2.4300000000000002</v>
      </c>
      <c r="F371" s="41">
        <f t="shared" si="13"/>
        <v>0</v>
      </c>
    </row>
    <row r="372" spans="1:7" ht="14.4" hidden="1" x14ac:dyDescent="0.3">
      <c r="A372" s="420"/>
      <c r="B372" s="420" t="s">
        <v>432</v>
      </c>
      <c r="C372" s="419" t="s">
        <v>149</v>
      </c>
      <c r="E372" s="452">
        <v>22</v>
      </c>
      <c r="F372" s="41">
        <f t="shared" si="13"/>
        <v>0</v>
      </c>
      <c r="G372" s="452"/>
    </row>
    <row r="373" spans="1:7" ht="14.4" hidden="1" x14ac:dyDescent="0.3">
      <c r="A373" s="420"/>
      <c r="B373" s="420" t="s">
        <v>433</v>
      </c>
      <c r="C373" s="419" t="s">
        <v>115</v>
      </c>
      <c r="E373" s="452">
        <v>57.75</v>
      </c>
      <c r="F373" s="41">
        <f t="shared" si="13"/>
        <v>0</v>
      </c>
      <c r="G373" s="452"/>
    </row>
    <row r="374" spans="1:7" ht="14.4" hidden="1" x14ac:dyDescent="0.3">
      <c r="A374" s="420"/>
      <c r="B374" s="420" t="s">
        <v>434</v>
      </c>
      <c r="C374" s="419" t="s">
        <v>115</v>
      </c>
      <c r="E374" s="452">
        <v>139</v>
      </c>
      <c r="F374" s="41">
        <f t="shared" si="13"/>
        <v>0</v>
      </c>
      <c r="G374" s="452"/>
    </row>
    <row r="375" spans="1:7" ht="14.4" hidden="1" x14ac:dyDescent="0.3">
      <c r="A375" s="420"/>
      <c r="B375" s="420" t="s">
        <v>435</v>
      </c>
      <c r="C375" s="419" t="s">
        <v>115</v>
      </c>
      <c r="E375" s="452">
        <v>104.15</v>
      </c>
      <c r="F375" s="41">
        <f t="shared" si="13"/>
        <v>0</v>
      </c>
      <c r="G375" s="452"/>
    </row>
    <row r="376" spans="1:7" ht="14.4" hidden="1" x14ac:dyDescent="0.3">
      <c r="A376" s="420"/>
      <c r="B376" s="420" t="s">
        <v>436</v>
      </c>
      <c r="C376" s="419" t="s">
        <v>115</v>
      </c>
      <c r="E376" s="452">
        <v>26.1</v>
      </c>
      <c r="F376" s="41">
        <f t="shared" si="13"/>
        <v>0</v>
      </c>
      <c r="G376" s="452"/>
    </row>
    <row r="377" spans="1:7" ht="14.4" hidden="1" x14ac:dyDescent="0.3">
      <c r="A377" s="420"/>
      <c r="B377" s="420" t="s">
        <v>437</v>
      </c>
      <c r="C377" s="419" t="s">
        <v>115</v>
      </c>
      <c r="E377" s="452">
        <v>37.5</v>
      </c>
      <c r="F377" s="41">
        <f t="shared" si="13"/>
        <v>0</v>
      </c>
      <c r="G377" s="452"/>
    </row>
    <row r="378" spans="1:7" ht="14.4" hidden="1" x14ac:dyDescent="0.3">
      <c r="A378" s="420"/>
      <c r="B378" s="420" t="s">
        <v>438</v>
      </c>
      <c r="C378" s="419" t="s">
        <v>115</v>
      </c>
      <c r="E378" s="452">
        <v>35.93</v>
      </c>
      <c r="F378" s="41">
        <f t="shared" si="13"/>
        <v>0</v>
      </c>
      <c r="G378" s="452"/>
    </row>
    <row r="379" spans="1:7" ht="14.4" hidden="1" x14ac:dyDescent="0.3">
      <c r="A379" s="420"/>
      <c r="B379" s="420" t="s">
        <v>439</v>
      </c>
      <c r="C379" s="419" t="s">
        <v>115</v>
      </c>
      <c r="E379" s="452">
        <v>35</v>
      </c>
      <c r="F379" s="41">
        <f t="shared" si="13"/>
        <v>0</v>
      </c>
      <c r="G379" s="452"/>
    </row>
    <row r="380" spans="1:7" ht="14.4" hidden="1" x14ac:dyDescent="0.3">
      <c r="A380" s="420"/>
      <c r="B380" s="420" t="s">
        <v>440</v>
      </c>
      <c r="C380" s="419" t="s">
        <v>115</v>
      </c>
      <c r="E380" s="452">
        <v>35</v>
      </c>
      <c r="F380" s="41">
        <f t="shared" si="13"/>
        <v>0</v>
      </c>
      <c r="G380" s="452"/>
    </row>
    <row r="381" spans="1:7" ht="14.4" hidden="1" x14ac:dyDescent="0.3">
      <c r="A381" s="420"/>
      <c r="B381" s="420" t="s">
        <v>441</v>
      </c>
      <c r="C381" s="419" t="s">
        <v>115</v>
      </c>
      <c r="E381" s="452">
        <v>35</v>
      </c>
      <c r="F381" s="41">
        <f t="shared" si="13"/>
        <v>0</v>
      </c>
      <c r="G381" s="452"/>
    </row>
    <row r="382" spans="1:7" ht="14.4" hidden="1" x14ac:dyDescent="0.3">
      <c r="A382" s="420"/>
      <c r="B382" s="420" t="s">
        <v>442</v>
      </c>
      <c r="C382" s="419" t="s">
        <v>115</v>
      </c>
      <c r="E382" s="452">
        <v>20</v>
      </c>
      <c r="F382" s="41">
        <f t="shared" si="13"/>
        <v>0</v>
      </c>
      <c r="G382" s="452"/>
    </row>
    <row r="383" spans="1:7" ht="14.4" hidden="1" x14ac:dyDescent="0.3">
      <c r="A383" s="420"/>
      <c r="B383" s="420" t="s">
        <v>443</v>
      </c>
      <c r="C383" s="419" t="s">
        <v>115</v>
      </c>
      <c r="E383" s="452">
        <v>50</v>
      </c>
      <c r="F383" s="41">
        <f t="shared" si="13"/>
        <v>0</v>
      </c>
      <c r="G383" s="452"/>
    </row>
    <row r="384" spans="1:7" ht="14.4" hidden="1" x14ac:dyDescent="0.3">
      <c r="A384" s="420"/>
      <c r="B384" s="420" t="s">
        <v>444</v>
      </c>
      <c r="C384" s="419" t="s">
        <v>115</v>
      </c>
      <c r="E384" s="452">
        <v>54</v>
      </c>
      <c r="F384" s="41">
        <f t="shared" si="13"/>
        <v>0</v>
      </c>
      <c r="G384" s="452"/>
    </row>
    <row r="385" spans="1:7" ht="14.4" hidden="1" x14ac:dyDescent="0.3">
      <c r="A385" s="420"/>
      <c r="B385" s="420" t="s">
        <v>445</v>
      </c>
      <c r="C385" s="419" t="s">
        <v>115</v>
      </c>
      <c r="E385" s="452">
        <v>15.55</v>
      </c>
      <c r="F385" s="41">
        <f t="shared" si="13"/>
        <v>0</v>
      </c>
      <c r="G385" s="452"/>
    </row>
    <row r="386" spans="1:7" ht="14.4" hidden="1" x14ac:dyDescent="0.3">
      <c r="A386" s="420"/>
      <c r="B386" s="420" t="s">
        <v>446</v>
      </c>
      <c r="C386" s="419" t="s">
        <v>115</v>
      </c>
      <c r="E386" s="452">
        <v>15</v>
      </c>
      <c r="F386" s="41">
        <f t="shared" si="13"/>
        <v>0</v>
      </c>
      <c r="G386" s="452"/>
    </row>
    <row r="387" spans="1:7" ht="14.4" hidden="1" x14ac:dyDescent="0.3">
      <c r="A387" s="420"/>
      <c r="B387" s="420" t="s">
        <v>447</v>
      </c>
      <c r="C387" s="419" t="s">
        <v>115</v>
      </c>
      <c r="E387" s="452">
        <v>10.87</v>
      </c>
      <c r="F387" s="41">
        <f t="shared" si="13"/>
        <v>0</v>
      </c>
      <c r="G387" s="452"/>
    </row>
    <row r="388" spans="1:7" ht="14.4" hidden="1" x14ac:dyDescent="0.3">
      <c r="A388" s="420"/>
      <c r="B388" s="420" t="s">
        <v>448</v>
      </c>
      <c r="C388" s="419" t="s">
        <v>115</v>
      </c>
      <c r="E388" s="452">
        <v>55</v>
      </c>
      <c r="F388" s="41">
        <f t="shared" si="13"/>
        <v>0</v>
      </c>
      <c r="G388" s="452"/>
    </row>
    <row r="389" spans="1:7" ht="14.4" hidden="1" x14ac:dyDescent="0.3">
      <c r="A389" s="420"/>
      <c r="B389" s="420" t="s">
        <v>449</v>
      </c>
      <c r="C389" s="419" t="s">
        <v>115</v>
      </c>
      <c r="E389" s="452">
        <v>55</v>
      </c>
      <c r="F389" s="41">
        <f t="shared" si="13"/>
        <v>0</v>
      </c>
      <c r="G389" s="452"/>
    </row>
    <row r="390" spans="1:7" ht="14.4" hidden="1" x14ac:dyDescent="0.3">
      <c r="A390" s="420"/>
      <c r="B390" s="420" t="s">
        <v>450</v>
      </c>
      <c r="C390" s="419" t="s">
        <v>115</v>
      </c>
      <c r="E390" s="452">
        <v>35</v>
      </c>
      <c r="F390" s="41">
        <f t="shared" si="13"/>
        <v>0</v>
      </c>
      <c r="G390" s="452"/>
    </row>
    <row r="391" spans="1:7" ht="14.4" hidden="1" x14ac:dyDescent="0.3">
      <c r="A391" s="420"/>
      <c r="B391" s="420" t="s">
        <v>451</v>
      </c>
      <c r="C391" s="419" t="s">
        <v>115</v>
      </c>
      <c r="E391" s="452">
        <v>35</v>
      </c>
      <c r="F391" s="41">
        <f t="shared" si="13"/>
        <v>0</v>
      </c>
      <c r="G391" s="452"/>
    </row>
    <row r="392" spans="1:7" ht="14.4" hidden="1" x14ac:dyDescent="0.3">
      <c r="A392" s="420"/>
      <c r="B392" s="420" t="s">
        <v>452</v>
      </c>
      <c r="C392" s="419" t="s">
        <v>115</v>
      </c>
      <c r="E392" s="452">
        <v>35</v>
      </c>
      <c r="F392" s="41">
        <f t="shared" si="13"/>
        <v>0</v>
      </c>
      <c r="G392" s="452"/>
    </row>
    <row r="393" spans="1:7" ht="14.4" hidden="1" x14ac:dyDescent="0.3">
      <c r="A393" s="420"/>
      <c r="B393" s="420" t="s">
        <v>453</v>
      </c>
      <c r="C393" s="419" t="s">
        <v>115</v>
      </c>
      <c r="E393" s="452">
        <v>35</v>
      </c>
      <c r="F393" s="41">
        <f t="shared" ref="F393:F424" si="14">E393*D393</f>
        <v>0</v>
      </c>
      <c r="G393" s="452"/>
    </row>
    <row r="394" spans="1:7" ht="14.4" hidden="1" x14ac:dyDescent="0.3">
      <c r="A394" s="420"/>
      <c r="B394" s="420" t="s">
        <v>454</v>
      </c>
      <c r="C394" s="419" t="s">
        <v>115</v>
      </c>
      <c r="E394" s="452">
        <v>35</v>
      </c>
      <c r="F394" s="41">
        <f t="shared" si="14"/>
        <v>0</v>
      </c>
      <c r="G394" s="452"/>
    </row>
    <row r="395" spans="1:7" ht="14.4" hidden="1" x14ac:dyDescent="0.3">
      <c r="A395" s="420"/>
      <c r="B395" s="420" t="s">
        <v>455</v>
      </c>
      <c r="C395" s="419" t="s">
        <v>115</v>
      </c>
      <c r="E395" s="452">
        <v>35</v>
      </c>
      <c r="F395" s="41">
        <f t="shared" si="14"/>
        <v>0</v>
      </c>
      <c r="G395" s="452"/>
    </row>
    <row r="396" spans="1:7" ht="14.4" hidden="1" x14ac:dyDescent="0.3">
      <c r="A396" s="420"/>
      <c r="B396" s="420" t="s">
        <v>456</v>
      </c>
      <c r="C396" s="419" t="s">
        <v>115</v>
      </c>
      <c r="E396" s="452">
        <v>35</v>
      </c>
      <c r="F396" s="41">
        <f t="shared" si="14"/>
        <v>0</v>
      </c>
      <c r="G396" s="452"/>
    </row>
    <row r="397" spans="1:7" ht="14.4" hidden="1" x14ac:dyDescent="0.3">
      <c r="A397" s="420"/>
      <c r="B397" s="420" t="s">
        <v>457</v>
      </c>
      <c r="C397" s="419" t="s">
        <v>115</v>
      </c>
      <c r="E397" s="452">
        <v>26</v>
      </c>
      <c r="F397" s="41">
        <f t="shared" si="14"/>
        <v>0</v>
      </c>
      <c r="G397" s="452"/>
    </row>
    <row r="398" spans="1:7" ht="14.4" hidden="1" x14ac:dyDescent="0.3">
      <c r="A398" s="420"/>
      <c r="B398" s="420" t="s">
        <v>458</v>
      </c>
      <c r="C398" s="419" t="s">
        <v>115</v>
      </c>
      <c r="E398" s="452">
        <v>35</v>
      </c>
      <c r="F398" s="41">
        <f t="shared" si="14"/>
        <v>0</v>
      </c>
      <c r="G398" s="452"/>
    </row>
    <row r="399" spans="1:7" ht="14.4" hidden="1" x14ac:dyDescent="0.3">
      <c r="A399" s="420"/>
      <c r="B399" s="420" t="s">
        <v>459</v>
      </c>
      <c r="C399" s="419" t="s">
        <v>115</v>
      </c>
      <c r="E399" s="452">
        <v>10.87</v>
      </c>
      <c r="F399" s="41">
        <f t="shared" si="14"/>
        <v>0</v>
      </c>
      <c r="G399" s="452"/>
    </row>
    <row r="400" spans="1:7" ht="14.4" hidden="1" x14ac:dyDescent="0.3">
      <c r="A400" s="420"/>
      <c r="B400" s="420" t="s">
        <v>460</v>
      </c>
      <c r="C400" s="419" t="s">
        <v>115</v>
      </c>
      <c r="E400" s="452">
        <v>35</v>
      </c>
      <c r="F400" s="41">
        <f t="shared" si="14"/>
        <v>0</v>
      </c>
      <c r="G400" s="452"/>
    </row>
    <row r="401" spans="1:7" ht="14.4" hidden="1" x14ac:dyDescent="0.3">
      <c r="A401" s="420"/>
      <c r="B401" s="420" t="s">
        <v>461</v>
      </c>
      <c r="C401" s="419" t="s">
        <v>115</v>
      </c>
      <c r="E401" s="452">
        <v>20</v>
      </c>
      <c r="F401" s="41">
        <f t="shared" si="14"/>
        <v>0</v>
      </c>
      <c r="G401" s="452"/>
    </row>
    <row r="402" spans="1:7" ht="14.4" hidden="1" x14ac:dyDescent="0.3">
      <c r="A402" s="420"/>
      <c r="B402" s="420" t="s">
        <v>462</v>
      </c>
      <c r="C402" s="419" t="s">
        <v>115</v>
      </c>
      <c r="E402" s="452">
        <v>20</v>
      </c>
      <c r="F402" s="41">
        <f t="shared" si="14"/>
        <v>0</v>
      </c>
      <c r="G402" s="452"/>
    </row>
    <row r="403" spans="1:7" ht="14.4" hidden="1" x14ac:dyDescent="0.3">
      <c r="A403" s="420"/>
      <c r="B403" s="420" t="s">
        <v>463</v>
      </c>
      <c r="C403" s="419" t="s">
        <v>115</v>
      </c>
      <c r="E403" s="452"/>
      <c r="F403" s="41">
        <f t="shared" si="14"/>
        <v>0</v>
      </c>
    </row>
    <row r="404" spans="1:7" ht="14.4" hidden="1" x14ac:dyDescent="0.3">
      <c r="A404" s="420"/>
      <c r="B404" s="420" t="s">
        <v>464</v>
      </c>
      <c r="C404" s="419" t="s">
        <v>115</v>
      </c>
      <c r="E404" s="452"/>
      <c r="F404" s="41">
        <f t="shared" si="14"/>
        <v>0</v>
      </c>
    </row>
    <row r="405" spans="1:7" ht="14.4" hidden="1" x14ac:dyDescent="0.3">
      <c r="A405" s="420"/>
      <c r="B405" s="420" t="s">
        <v>465</v>
      </c>
      <c r="C405" s="419" t="s">
        <v>115</v>
      </c>
      <c r="E405" s="452"/>
      <c r="F405" s="41">
        <f t="shared" si="14"/>
        <v>0</v>
      </c>
    </row>
    <row r="406" spans="1:7" ht="14.4" hidden="1" x14ac:dyDescent="0.3">
      <c r="A406" s="420"/>
      <c r="B406" s="420" t="s">
        <v>466</v>
      </c>
      <c r="C406" s="419" t="s">
        <v>115</v>
      </c>
      <c r="E406" s="452">
        <v>35</v>
      </c>
      <c r="F406" s="41">
        <f t="shared" si="14"/>
        <v>0</v>
      </c>
    </row>
    <row r="407" spans="1:7" ht="14.4" hidden="1" x14ac:dyDescent="0.3">
      <c r="A407" s="420"/>
      <c r="B407" s="420" t="s">
        <v>467</v>
      </c>
      <c r="C407" s="419" t="s">
        <v>115</v>
      </c>
      <c r="E407" s="452">
        <v>102.5</v>
      </c>
      <c r="F407" s="41">
        <f t="shared" si="14"/>
        <v>0</v>
      </c>
    </row>
    <row r="408" spans="1:7" ht="14.4" hidden="1" x14ac:dyDescent="0.3">
      <c r="A408" s="420"/>
      <c r="B408" s="420" t="s">
        <v>468</v>
      </c>
      <c r="C408" s="419" t="s">
        <v>115</v>
      </c>
      <c r="E408" s="452">
        <v>235</v>
      </c>
      <c r="F408" s="41">
        <f t="shared" si="14"/>
        <v>0</v>
      </c>
    </row>
    <row r="409" spans="1:7" ht="14.4" hidden="1" x14ac:dyDescent="0.3">
      <c r="A409" s="420"/>
      <c r="B409" s="420" t="s">
        <v>469</v>
      </c>
      <c r="C409" s="419" t="s">
        <v>115</v>
      </c>
      <c r="E409" s="452">
        <v>100</v>
      </c>
      <c r="F409" s="41">
        <f t="shared" si="14"/>
        <v>0</v>
      </c>
    </row>
    <row r="410" spans="1:7" ht="14.4" hidden="1" x14ac:dyDescent="0.3">
      <c r="A410" s="420"/>
      <c r="B410" s="420" t="s">
        <v>470</v>
      </c>
      <c r="C410" s="419" t="s">
        <v>115</v>
      </c>
      <c r="E410" s="452">
        <v>47.41</v>
      </c>
      <c r="F410" s="41">
        <f t="shared" si="14"/>
        <v>0</v>
      </c>
    </row>
    <row r="411" spans="1:7" ht="14.4" hidden="1" x14ac:dyDescent="0.3">
      <c r="A411" s="420"/>
      <c r="B411" s="420" t="s">
        <v>471</v>
      </c>
      <c r="C411" s="419" t="s">
        <v>115</v>
      </c>
      <c r="E411" s="452">
        <v>41.69</v>
      </c>
      <c r="F411" s="41">
        <f t="shared" si="14"/>
        <v>0</v>
      </c>
    </row>
    <row r="412" spans="1:7" ht="14.4" hidden="1" x14ac:dyDescent="0.3">
      <c r="A412" s="420"/>
      <c r="B412" s="420" t="s">
        <v>472</v>
      </c>
      <c r="C412" s="419" t="s">
        <v>115</v>
      </c>
      <c r="E412" s="452">
        <v>200</v>
      </c>
      <c r="F412" s="41">
        <f t="shared" si="14"/>
        <v>0</v>
      </c>
    </row>
    <row r="413" spans="1:7" ht="14.4" hidden="1" x14ac:dyDescent="0.3">
      <c r="A413" s="420"/>
      <c r="B413" s="420" t="s">
        <v>473</v>
      </c>
      <c r="C413" s="419" t="s">
        <v>115</v>
      </c>
      <c r="E413" s="452">
        <v>85.55</v>
      </c>
      <c r="F413" s="41">
        <f t="shared" si="14"/>
        <v>0</v>
      </c>
    </row>
    <row r="414" spans="1:7" ht="14.4" hidden="1" x14ac:dyDescent="0.3">
      <c r="A414" s="420"/>
      <c r="B414" s="420" t="s">
        <v>474</v>
      </c>
      <c r="C414" s="419" t="s">
        <v>115</v>
      </c>
      <c r="E414" s="452">
        <v>70</v>
      </c>
      <c r="F414" s="41">
        <f t="shared" si="14"/>
        <v>0</v>
      </c>
    </row>
    <row r="415" spans="1:7" ht="14.4" hidden="1" x14ac:dyDescent="0.3">
      <c r="A415" s="420"/>
      <c r="B415" s="420" t="s">
        <v>475</v>
      </c>
      <c r="C415" s="419" t="s">
        <v>115</v>
      </c>
      <c r="E415" s="452">
        <v>19</v>
      </c>
      <c r="F415" s="41">
        <f t="shared" si="14"/>
        <v>0</v>
      </c>
    </row>
    <row r="416" spans="1:7" ht="14.4" hidden="1" x14ac:dyDescent="0.3">
      <c r="A416" s="420"/>
      <c r="B416" s="420"/>
      <c r="C416" s="419"/>
      <c r="E416" s="452">
        <v>16</v>
      </c>
      <c r="F416" s="41">
        <f t="shared" si="14"/>
        <v>0</v>
      </c>
    </row>
    <row r="417" spans="1:7" ht="14.4" hidden="1" x14ac:dyDescent="0.3">
      <c r="A417" s="420"/>
      <c r="B417" s="420" t="s">
        <v>476</v>
      </c>
      <c r="C417" s="419" t="s">
        <v>149</v>
      </c>
      <c r="E417" s="452"/>
      <c r="F417" s="41">
        <f t="shared" si="14"/>
        <v>0</v>
      </c>
    </row>
    <row r="418" spans="1:7" ht="14.4" hidden="1" x14ac:dyDescent="0.3">
      <c r="A418" s="420"/>
      <c r="B418" s="420" t="s">
        <v>477</v>
      </c>
      <c r="C418" s="419" t="s">
        <v>149</v>
      </c>
      <c r="E418" s="452">
        <f>535.6/6</f>
        <v>89.266666666666666</v>
      </c>
      <c r="F418" s="41">
        <f t="shared" si="14"/>
        <v>0</v>
      </c>
    </row>
    <row r="419" spans="1:7" ht="14.4" hidden="1" x14ac:dyDescent="0.3">
      <c r="A419" s="420"/>
      <c r="B419" s="420" t="s">
        <v>478</v>
      </c>
      <c r="C419" s="419" t="s">
        <v>149</v>
      </c>
      <c r="E419" s="452">
        <f>335.2/6</f>
        <v>55.866666666666667</v>
      </c>
      <c r="F419" s="41">
        <f t="shared" si="14"/>
        <v>0</v>
      </c>
    </row>
    <row r="420" spans="1:7" ht="14.4" hidden="1" x14ac:dyDescent="0.3">
      <c r="A420" s="420"/>
      <c r="B420" s="420" t="s">
        <v>479</v>
      </c>
      <c r="C420" s="419" t="s">
        <v>149</v>
      </c>
      <c r="E420" s="452">
        <f>278.5/6</f>
        <v>46.416666666666664</v>
      </c>
      <c r="F420" s="41">
        <f t="shared" si="14"/>
        <v>0</v>
      </c>
    </row>
    <row r="421" spans="1:7" ht="14.4" hidden="1" x14ac:dyDescent="0.3">
      <c r="A421" s="420"/>
      <c r="B421" s="420" t="s">
        <v>480</v>
      </c>
      <c r="C421" s="419" t="s">
        <v>149</v>
      </c>
      <c r="E421" s="453">
        <v>32</v>
      </c>
      <c r="F421" s="41">
        <f t="shared" si="14"/>
        <v>0</v>
      </c>
    </row>
    <row r="422" spans="1:7" ht="14.4" hidden="1" x14ac:dyDescent="0.3">
      <c r="A422" s="420"/>
      <c r="B422" s="420" t="s">
        <v>481</v>
      </c>
      <c r="C422" s="419" t="s">
        <v>115</v>
      </c>
      <c r="E422" s="453">
        <f>119.88/6</f>
        <v>19.98</v>
      </c>
      <c r="F422" s="41">
        <f t="shared" si="14"/>
        <v>0</v>
      </c>
    </row>
    <row r="423" spans="1:7" ht="14.4" hidden="1" x14ac:dyDescent="0.3">
      <c r="A423" s="420"/>
      <c r="B423" s="420" t="s">
        <v>482</v>
      </c>
      <c r="C423" s="419" t="s">
        <v>149</v>
      </c>
      <c r="E423" s="453">
        <f>129/6</f>
        <v>21.5</v>
      </c>
      <c r="F423" s="41">
        <f t="shared" si="14"/>
        <v>0</v>
      </c>
    </row>
    <row r="424" spans="1:7" ht="14.4" hidden="1" x14ac:dyDescent="0.3">
      <c r="A424" s="420"/>
      <c r="B424" s="420" t="s">
        <v>483</v>
      </c>
      <c r="C424" s="419" t="s">
        <v>115</v>
      </c>
      <c r="E424" s="453">
        <v>23.51</v>
      </c>
      <c r="F424" s="41">
        <f t="shared" si="14"/>
        <v>0</v>
      </c>
    </row>
    <row r="425" spans="1:7" ht="14.4" hidden="1" x14ac:dyDescent="0.3">
      <c r="A425" s="420"/>
      <c r="B425" s="420" t="s">
        <v>484</v>
      </c>
      <c r="C425" s="419" t="s">
        <v>115</v>
      </c>
      <c r="E425" s="453">
        <v>7.17</v>
      </c>
      <c r="F425" s="41">
        <f t="shared" ref="F425:F433" si="15">E425*D425</f>
        <v>0</v>
      </c>
    </row>
    <row r="426" spans="1:7" ht="14.4" hidden="1" x14ac:dyDescent="0.3">
      <c r="A426" s="420"/>
      <c r="B426" s="420" t="s">
        <v>485</v>
      </c>
      <c r="C426" s="419" t="s">
        <v>149</v>
      </c>
      <c r="E426" s="453">
        <f>82/6</f>
        <v>13.666666666666666</v>
      </c>
      <c r="F426" s="41">
        <f t="shared" si="15"/>
        <v>0</v>
      </c>
    </row>
    <row r="427" spans="1:7" ht="14.4" hidden="1" x14ac:dyDescent="0.3">
      <c r="A427" s="420"/>
      <c r="B427" s="420" t="s">
        <v>486</v>
      </c>
      <c r="C427" s="419" t="s">
        <v>115</v>
      </c>
      <c r="E427" s="453">
        <f>58.71/6</f>
        <v>9.7850000000000001</v>
      </c>
      <c r="F427" s="41">
        <f t="shared" si="15"/>
        <v>0</v>
      </c>
    </row>
    <row r="428" spans="1:7" ht="14.4" hidden="1" x14ac:dyDescent="0.3">
      <c r="A428" s="420"/>
      <c r="B428" s="420" t="s">
        <v>487</v>
      </c>
      <c r="C428" s="419" t="s">
        <v>115</v>
      </c>
      <c r="E428" s="452">
        <v>1.4</v>
      </c>
      <c r="F428" s="41">
        <f t="shared" si="15"/>
        <v>0</v>
      </c>
      <c r="G428" s="452"/>
    </row>
    <row r="429" spans="1:7" ht="14.4" hidden="1" x14ac:dyDescent="0.3">
      <c r="A429" s="420"/>
      <c r="B429" s="420" t="s">
        <v>488</v>
      </c>
      <c r="C429" s="419" t="s">
        <v>115</v>
      </c>
      <c r="E429" s="452">
        <v>1.38</v>
      </c>
      <c r="F429" s="41">
        <f t="shared" si="15"/>
        <v>0</v>
      </c>
      <c r="G429" s="452"/>
    </row>
    <row r="430" spans="1:7" ht="14.4" hidden="1" x14ac:dyDescent="0.3">
      <c r="A430" s="420"/>
      <c r="B430" s="420" t="s">
        <v>489</v>
      </c>
      <c r="C430" s="419" t="s">
        <v>115</v>
      </c>
      <c r="E430" s="452">
        <v>1.32</v>
      </c>
      <c r="F430" s="41">
        <f t="shared" si="15"/>
        <v>0</v>
      </c>
      <c r="G430" s="452"/>
    </row>
    <row r="431" spans="1:7" ht="14.4" hidden="1" x14ac:dyDescent="0.3">
      <c r="A431" s="420"/>
      <c r="B431" s="420" t="s">
        <v>490</v>
      </c>
      <c r="C431" s="419" t="s">
        <v>115</v>
      </c>
      <c r="E431" s="452">
        <v>1.24</v>
      </c>
      <c r="F431" s="41">
        <f t="shared" si="15"/>
        <v>0</v>
      </c>
      <c r="G431" s="452"/>
    </row>
    <row r="432" spans="1:7" ht="14.4" hidden="1" x14ac:dyDescent="0.3">
      <c r="A432" s="420"/>
      <c r="B432" s="420" t="s">
        <v>491</v>
      </c>
      <c r="C432" s="419" t="s">
        <v>149</v>
      </c>
      <c r="E432" s="452">
        <v>5.0999999999999996</v>
      </c>
      <c r="F432" s="41">
        <f t="shared" si="15"/>
        <v>0</v>
      </c>
      <c r="G432" s="452"/>
    </row>
    <row r="433" spans="1:6" ht="14.4" hidden="1" x14ac:dyDescent="0.3">
      <c r="A433" s="420"/>
      <c r="B433" s="420"/>
      <c r="C433" s="419"/>
      <c r="E433" s="452"/>
      <c r="F433" s="41">
        <f t="shared" si="15"/>
        <v>0</v>
      </c>
    </row>
    <row r="434" spans="1:6" ht="14.4" hidden="1" x14ac:dyDescent="0.3">
      <c r="A434" s="420"/>
      <c r="B434" s="420"/>
      <c r="C434" s="419"/>
      <c r="E434" s="452"/>
    </row>
    <row r="435" spans="1:6" ht="14.4" hidden="1" x14ac:dyDescent="0.3">
      <c r="A435" s="420"/>
      <c r="B435" s="420" t="s">
        <v>492</v>
      </c>
      <c r="C435" s="419" t="s">
        <v>115</v>
      </c>
      <c r="E435" s="452">
        <v>118.5</v>
      </c>
      <c r="F435" s="41">
        <f t="shared" ref="F435:F498" si="16">E435*D435</f>
        <v>0</v>
      </c>
    </row>
    <row r="436" spans="1:6" ht="14.4" hidden="1" x14ac:dyDescent="0.3">
      <c r="A436" s="420"/>
      <c r="B436" s="420" t="s">
        <v>493</v>
      </c>
      <c r="C436" s="419" t="s">
        <v>115</v>
      </c>
      <c r="E436" s="452">
        <v>79.8</v>
      </c>
      <c r="F436" s="41">
        <f t="shared" si="16"/>
        <v>0</v>
      </c>
    </row>
    <row r="437" spans="1:6" ht="14.4" hidden="1" x14ac:dyDescent="0.3">
      <c r="A437" s="420"/>
      <c r="B437" s="420" t="s">
        <v>494</v>
      </c>
      <c r="C437" s="419" t="s">
        <v>115</v>
      </c>
      <c r="E437" s="452">
        <v>45.02</v>
      </c>
      <c r="F437" s="41">
        <f t="shared" si="16"/>
        <v>0</v>
      </c>
    </row>
    <row r="438" spans="1:6" ht="14.4" hidden="1" x14ac:dyDescent="0.3">
      <c r="A438" s="420"/>
      <c r="B438" s="420" t="s">
        <v>495</v>
      </c>
      <c r="C438" s="419" t="s">
        <v>115</v>
      </c>
      <c r="E438" s="452">
        <v>17.37</v>
      </c>
      <c r="F438" s="41">
        <f t="shared" si="16"/>
        <v>0</v>
      </c>
    </row>
    <row r="439" spans="1:6" ht="14.4" hidden="1" x14ac:dyDescent="0.3">
      <c r="A439" s="420"/>
      <c r="B439" s="420" t="s">
        <v>496</v>
      </c>
      <c r="C439" s="419" t="s">
        <v>115</v>
      </c>
      <c r="E439" s="452">
        <v>7.7</v>
      </c>
      <c r="F439" s="41">
        <f t="shared" si="16"/>
        <v>0</v>
      </c>
    </row>
    <row r="440" spans="1:6" ht="14.4" hidden="1" x14ac:dyDescent="0.3">
      <c r="A440" s="420"/>
      <c r="B440" s="420" t="s">
        <v>497</v>
      </c>
      <c r="C440" s="419" t="s">
        <v>115</v>
      </c>
      <c r="E440" s="452">
        <v>4.58</v>
      </c>
      <c r="F440" s="41">
        <f t="shared" si="16"/>
        <v>0</v>
      </c>
    </row>
    <row r="441" spans="1:6" ht="14.4" hidden="1" x14ac:dyDescent="0.3">
      <c r="A441" s="420"/>
      <c r="B441" s="420"/>
      <c r="C441" s="419"/>
      <c r="E441" s="452"/>
      <c r="F441" s="41">
        <f t="shared" si="16"/>
        <v>0</v>
      </c>
    </row>
    <row r="442" spans="1:6" ht="14.4" hidden="1" x14ac:dyDescent="0.3">
      <c r="A442" s="420"/>
      <c r="B442" s="420"/>
      <c r="C442" s="419"/>
      <c r="E442" s="452"/>
      <c r="F442" s="41">
        <f t="shared" si="16"/>
        <v>0</v>
      </c>
    </row>
    <row r="443" spans="1:6" ht="14.4" hidden="1" x14ac:dyDescent="0.3">
      <c r="A443" s="420"/>
      <c r="B443" s="420"/>
      <c r="C443" s="419"/>
      <c r="E443" s="452"/>
      <c r="F443" s="41">
        <f t="shared" si="16"/>
        <v>0</v>
      </c>
    </row>
    <row r="444" spans="1:6" ht="14.4" hidden="1" x14ac:dyDescent="0.3">
      <c r="A444" s="420" t="s">
        <v>498</v>
      </c>
      <c r="B444" s="420"/>
      <c r="C444" s="419"/>
      <c r="E444" s="452"/>
      <c r="F444" s="41">
        <f t="shared" si="16"/>
        <v>0</v>
      </c>
    </row>
    <row r="445" spans="1:6" ht="14.4" hidden="1" x14ac:dyDescent="0.3">
      <c r="A445" s="420"/>
      <c r="B445" s="420" t="s">
        <v>499</v>
      </c>
      <c r="C445" s="419"/>
      <c r="E445" s="452"/>
      <c r="F445" s="41">
        <f t="shared" si="16"/>
        <v>0</v>
      </c>
    </row>
    <row r="446" spans="1:6" ht="14.4" hidden="1" x14ac:dyDescent="0.3">
      <c r="A446" s="420"/>
      <c r="B446" s="420" t="s">
        <v>500</v>
      </c>
      <c r="C446" s="419" t="s">
        <v>115</v>
      </c>
      <c r="E446" s="452">
        <v>13.5</v>
      </c>
      <c r="F446" s="41">
        <f t="shared" si="16"/>
        <v>0</v>
      </c>
    </row>
    <row r="447" spans="1:6" ht="14.4" hidden="1" x14ac:dyDescent="0.3">
      <c r="A447" s="420"/>
      <c r="B447" s="420" t="s">
        <v>501</v>
      </c>
      <c r="C447" s="419" t="s">
        <v>115</v>
      </c>
      <c r="E447" s="452">
        <v>13.5</v>
      </c>
      <c r="F447" s="41">
        <f t="shared" si="16"/>
        <v>0</v>
      </c>
    </row>
    <row r="448" spans="1:6" ht="14.4" hidden="1" x14ac:dyDescent="0.3">
      <c r="A448" s="420"/>
      <c r="B448" s="420" t="s">
        <v>502</v>
      </c>
      <c r="C448" s="419" t="s">
        <v>115</v>
      </c>
      <c r="E448" s="452">
        <v>9.5</v>
      </c>
      <c r="F448" s="41">
        <f t="shared" si="16"/>
        <v>0</v>
      </c>
    </row>
    <row r="449" spans="1:6" ht="14.4" hidden="1" x14ac:dyDescent="0.3">
      <c r="A449" s="420"/>
      <c r="B449" s="420" t="s">
        <v>503</v>
      </c>
      <c r="C449" s="419" t="s">
        <v>115</v>
      </c>
      <c r="E449" s="452">
        <v>18.5</v>
      </c>
      <c r="F449" s="41">
        <f t="shared" si="16"/>
        <v>0</v>
      </c>
    </row>
    <row r="450" spans="1:6" ht="14.4" hidden="1" x14ac:dyDescent="0.3">
      <c r="A450" s="420"/>
      <c r="B450" s="420" t="s">
        <v>504</v>
      </c>
      <c r="C450" s="419" t="s">
        <v>115</v>
      </c>
      <c r="E450" s="452">
        <v>18.5</v>
      </c>
      <c r="F450" s="41">
        <f t="shared" si="16"/>
        <v>0</v>
      </c>
    </row>
    <row r="451" spans="1:6" ht="14.4" hidden="1" x14ac:dyDescent="0.3">
      <c r="A451" s="420"/>
      <c r="B451" s="420" t="s">
        <v>505</v>
      </c>
      <c r="C451" s="419" t="s">
        <v>115</v>
      </c>
      <c r="E451" s="452">
        <v>6</v>
      </c>
      <c r="F451" s="41">
        <f t="shared" si="16"/>
        <v>0</v>
      </c>
    </row>
    <row r="452" spans="1:6" ht="14.4" hidden="1" x14ac:dyDescent="0.3">
      <c r="A452" s="420"/>
      <c r="B452" s="420" t="s">
        <v>506</v>
      </c>
      <c r="C452" s="419" t="s">
        <v>115</v>
      </c>
      <c r="E452" s="452">
        <v>5.5</v>
      </c>
      <c r="F452" s="41">
        <f t="shared" si="16"/>
        <v>0</v>
      </c>
    </row>
    <row r="453" spans="1:6" ht="14.4" hidden="1" x14ac:dyDescent="0.3">
      <c r="A453" s="420"/>
      <c r="B453" s="420" t="s">
        <v>507</v>
      </c>
      <c r="C453" s="419" t="s">
        <v>115</v>
      </c>
      <c r="E453" s="452">
        <v>17.5</v>
      </c>
      <c r="F453" s="41">
        <f t="shared" si="16"/>
        <v>0</v>
      </c>
    </row>
    <row r="454" spans="1:6" ht="14.4" hidden="1" x14ac:dyDescent="0.3">
      <c r="A454" s="420"/>
      <c r="B454" s="420" t="s">
        <v>508</v>
      </c>
      <c r="C454" s="419" t="s">
        <v>115</v>
      </c>
      <c r="E454" s="452">
        <v>16.5</v>
      </c>
      <c r="F454" s="41">
        <f t="shared" si="16"/>
        <v>0</v>
      </c>
    </row>
    <row r="455" spans="1:6" ht="14.4" hidden="1" x14ac:dyDescent="0.3">
      <c r="A455" s="420"/>
      <c r="B455" s="420" t="s">
        <v>509</v>
      </c>
      <c r="C455" s="419" t="s">
        <v>115</v>
      </c>
      <c r="E455" s="452">
        <v>2.5</v>
      </c>
      <c r="F455" s="41">
        <f t="shared" si="16"/>
        <v>0</v>
      </c>
    </row>
    <row r="456" spans="1:6" ht="14.4" hidden="1" x14ac:dyDescent="0.3">
      <c r="A456" s="420"/>
      <c r="B456" s="420" t="s">
        <v>510</v>
      </c>
      <c r="C456" s="419" t="s">
        <v>115</v>
      </c>
      <c r="E456" s="452">
        <v>43.5</v>
      </c>
      <c r="F456" s="41">
        <f t="shared" si="16"/>
        <v>0</v>
      </c>
    </row>
    <row r="457" spans="1:6" ht="14.4" hidden="1" x14ac:dyDescent="0.3">
      <c r="A457" s="420"/>
      <c r="B457" s="420" t="s">
        <v>511</v>
      </c>
      <c r="C457" s="419" t="s">
        <v>115</v>
      </c>
      <c r="E457" s="452">
        <v>43.5</v>
      </c>
      <c r="F457" s="41">
        <f t="shared" si="16"/>
        <v>0</v>
      </c>
    </row>
    <row r="458" spans="1:6" ht="14.4" hidden="1" x14ac:dyDescent="0.3">
      <c r="A458" s="420"/>
      <c r="B458" s="420" t="s">
        <v>512</v>
      </c>
      <c r="C458" s="419" t="s">
        <v>115</v>
      </c>
      <c r="E458" s="452">
        <v>45.5</v>
      </c>
      <c r="F458" s="41">
        <f t="shared" si="16"/>
        <v>0</v>
      </c>
    </row>
    <row r="459" spans="1:6" ht="14.4" hidden="1" x14ac:dyDescent="0.3">
      <c r="A459" s="420"/>
      <c r="B459" s="420" t="s">
        <v>513</v>
      </c>
      <c r="C459" s="419" t="s">
        <v>115</v>
      </c>
      <c r="E459" s="452">
        <v>76</v>
      </c>
      <c r="F459" s="41">
        <f t="shared" si="16"/>
        <v>0</v>
      </c>
    </row>
    <row r="460" spans="1:6" ht="14.4" hidden="1" x14ac:dyDescent="0.3">
      <c r="A460" s="420"/>
      <c r="B460" s="420" t="s">
        <v>514</v>
      </c>
      <c r="C460" s="419" t="s">
        <v>115</v>
      </c>
      <c r="E460" s="452">
        <v>11.5</v>
      </c>
      <c r="F460" s="41">
        <f t="shared" si="16"/>
        <v>0</v>
      </c>
    </row>
    <row r="461" spans="1:6" ht="14.4" hidden="1" x14ac:dyDescent="0.3">
      <c r="A461" s="420"/>
      <c r="B461" s="420" t="s">
        <v>515</v>
      </c>
      <c r="C461" s="419" t="s">
        <v>115</v>
      </c>
      <c r="E461" s="452">
        <v>11.5</v>
      </c>
      <c r="F461" s="41">
        <f t="shared" si="16"/>
        <v>0</v>
      </c>
    </row>
    <row r="462" spans="1:6" ht="14.4" hidden="1" x14ac:dyDescent="0.3">
      <c r="A462" s="420"/>
      <c r="B462" s="420" t="s">
        <v>516</v>
      </c>
      <c r="C462" s="419" t="s">
        <v>115</v>
      </c>
      <c r="E462" s="452">
        <v>12</v>
      </c>
      <c r="F462" s="41">
        <f t="shared" si="16"/>
        <v>0</v>
      </c>
    </row>
    <row r="463" spans="1:6" ht="14.4" hidden="1" x14ac:dyDescent="0.3">
      <c r="A463" s="420"/>
      <c r="B463" s="420" t="s">
        <v>517</v>
      </c>
      <c r="C463" s="419" t="s">
        <v>115</v>
      </c>
      <c r="E463" s="452">
        <v>18.5</v>
      </c>
      <c r="F463" s="41">
        <f t="shared" si="16"/>
        <v>0</v>
      </c>
    </row>
    <row r="464" spans="1:6" ht="14.4" hidden="1" x14ac:dyDescent="0.3">
      <c r="A464" s="420"/>
      <c r="B464" s="420" t="s">
        <v>518</v>
      </c>
      <c r="C464" s="419" t="s">
        <v>115</v>
      </c>
      <c r="E464" s="452">
        <v>19.5</v>
      </c>
      <c r="F464" s="41">
        <f t="shared" si="16"/>
        <v>0</v>
      </c>
    </row>
    <row r="465" spans="1:6" ht="14.4" hidden="1" x14ac:dyDescent="0.3">
      <c r="A465" s="420"/>
      <c r="B465" s="420" t="s">
        <v>519</v>
      </c>
      <c r="C465" s="419" t="s">
        <v>115</v>
      </c>
      <c r="E465" s="452">
        <v>4.5</v>
      </c>
      <c r="F465" s="41">
        <f t="shared" si="16"/>
        <v>0</v>
      </c>
    </row>
    <row r="466" spans="1:6" ht="14.4" hidden="1" x14ac:dyDescent="0.3">
      <c r="A466" s="420"/>
      <c r="B466" s="420" t="s">
        <v>520</v>
      </c>
      <c r="C466" s="419" t="s">
        <v>115</v>
      </c>
      <c r="E466" s="452">
        <v>10.5</v>
      </c>
      <c r="F466" s="41">
        <f t="shared" si="16"/>
        <v>0</v>
      </c>
    </row>
    <row r="467" spans="1:6" ht="14.4" hidden="1" x14ac:dyDescent="0.3">
      <c r="A467" s="420"/>
      <c r="B467" s="420" t="s">
        <v>521</v>
      </c>
      <c r="C467" s="419" t="s">
        <v>115</v>
      </c>
      <c r="E467" s="452">
        <v>14.5</v>
      </c>
      <c r="F467" s="41">
        <f t="shared" si="16"/>
        <v>0</v>
      </c>
    </row>
    <row r="468" spans="1:6" ht="14.4" hidden="1" x14ac:dyDescent="0.3">
      <c r="A468" s="420"/>
      <c r="B468" s="420" t="s">
        <v>522</v>
      </c>
      <c r="C468" s="419" t="s">
        <v>115</v>
      </c>
      <c r="E468" s="452">
        <v>28.5</v>
      </c>
      <c r="F468" s="41">
        <f t="shared" si="16"/>
        <v>0</v>
      </c>
    </row>
    <row r="469" spans="1:6" ht="14.4" hidden="1" x14ac:dyDescent="0.3">
      <c r="A469" s="420"/>
      <c r="B469" s="420" t="s">
        <v>523</v>
      </c>
      <c r="C469" s="419" t="s">
        <v>115</v>
      </c>
      <c r="E469" s="452">
        <v>29.5</v>
      </c>
      <c r="F469" s="41">
        <f t="shared" si="16"/>
        <v>0</v>
      </c>
    </row>
    <row r="470" spans="1:6" ht="14.4" hidden="1" x14ac:dyDescent="0.3">
      <c r="A470" s="420"/>
      <c r="B470" s="420" t="s">
        <v>524</v>
      </c>
      <c r="C470" s="419" t="s">
        <v>115</v>
      </c>
      <c r="E470" s="452">
        <v>36</v>
      </c>
      <c r="F470" s="41">
        <f t="shared" si="16"/>
        <v>0</v>
      </c>
    </row>
    <row r="471" spans="1:6" ht="14.4" hidden="1" x14ac:dyDescent="0.3">
      <c r="A471" s="420"/>
      <c r="B471" s="420" t="s">
        <v>525</v>
      </c>
      <c r="C471" s="419" t="s">
        <v>115</v>
      </c>
      <c r="E471" s="452">
        <v>54</v>
      </c>
      <c r="F471" s="41">
        <f t="shared" si="16"/>
        <v>0</v>
      </c>
    </row>
    <row r="472" spans="1:6" ht="14.4" hidden="1" x14ac:dyDescent="0.3">
      <c r="A472" s="420"/>
      <c r="B472" s="420" t="s">
        <v>526</v>
      </c>
      <c r="C472" s="419" t="s">
        <v>115</v>
      </c>
      <c r="E472" s="452">
        <v>10.5</v>
      </c>
      <c r="F472" s="41">
        <f t="shared" si="16"/>
        <v>0</v>
      </c>
    </row>
    <row r="473" spans="1:6" ht="14.4" hidden="1" x14ac:dyDescent="0.3">
      <c r="A473" s="420"/>
      <c r="B473" s="420" t="s">
        <v>527</v>
      </c>
      <c r="C473" s="419" t="s">
        <v>115</v>
      </c>
      <c r="E473" s="452">
        <v>10</v>
      </c>
      <c r="F473" s="41">
        <f t="shared" si="16"/>
        <v>0</v>
      </c>
    </row>
    <row r="474" spans="1:6" ht="14.4" hidden="1" x14ac:dyDescent="0.3">
      <c r="A474" s="420"/>
      <c r="B474" s="420" t="s">
        <v>528</v>
      </c>
      <c r="C474" s="419" t="s">
        <v>115</v>
      </c>
      <c r="E474" s="452">
        <v>5.5</v>
      </c>
      <c r="F474" s="41">
        <f t="shared" si="16"/>
        <v>0</v>
      </c>
    </row>
    <row r="475" spans="1:6" ht="14.4" hidden="1" x14ac:dyDescent="0.3">
      <c r="A475" s="420"/>
      <c r="B475" s="420" t="s">
        <v>529</v>
      </c>
      <c r="C475" s="419" t="s">
        <v>115</v>
      </c>
      <c r="E475" s="452">
        <v>18</v>
      </c>
      <c r="F475" s="41">
        <f t="shared" si="16"/>
        <v>0</v>
      </c>
    </row>
    <row r="476" spans="1:6" ht="14.4" hidden="1" x14ac:dyDescent="0.3">
      <c r="A476" s="420"/>
      <c r="B476" s="420" t="s">
        <v>530</v>
      </c>
      <c r="C476" s="419" t="s">
        <v>115</v>
      </c>
      <c r="E476" s="452">
        <v>4.5</v>
      </c>
      <c r="F476" s="41">
        <f t="shared" si="16"/>
        <v>0</v>
      </c>
    </row>
    <row r="477" spans="1:6" ht="14.4" hidden="1" x14ac:dyDescent="0.3">
      <c r="A477" s="420"/>
      <c r="B477" s="420" t="s">
        <v>531</v>
      </c>
      <c r="C477" s="419" t="s">
        <v>115</v>
      </c>
      <c r="E477" s="452">
        <v>6.5</v>
      </c>
      <c r="F477" s="41">
        <f t="shared" si="16"/>
        <v>0</v>
      </c>
    </row>
    <row r="478" spans="1:6" ht="14.4" hidden="1" x14ac:dyDescent="0.3">
      <c r="A478" s="420"/>
      <c r="B478" s="420" t="s">
        <v>532</v>
      </c>
      <c r="C478" s="419" t="s">
        <v>115</v>
      </c>
      <c r="E478" s="452">
        <v>25.5</v>
      </c>
      <c r="F478" s="41">
        <f t="shared" si="16"/>
        <v>0</v>
      </c>
    </row>
    <row r="479" spans="1:6" ht="14.4" hidden="1" x14ac:dyDescent="0.3">
      <c r="A479" s="420"/>
      <c r="B479" s="420" t="s">
        <v>533</v>
      </c>
      <c r="C479" s="419" t="s">
        <v>115</v>
      </c>
      <c r="E479" s="452">
        <v>22.5</v>
      </c>
      <c r="F479" s="41">
        <f t="shared" si="16"/>
        <v>0</v>
      </c>
    </row>
    <row r="480" spans="1:6" ht="14.4" hidden="1" x14ac:dyDescent="0.3">
      <c r="A480" s="420"/>
      <c r="B480" s="420" t="s">
        <v>534</v>
      </c>
      <c r="C480" s="419" t="s">
        <v>115</v>
      </c>
      <c r="E480" s="452">
        <v>8.5</v>
      </c>
      <c r="F480" s="41">
        <f t="shared" si="16"/>
        <v>0</v>
      </c>
    </row>
    <row r="481" spans="1:6" ht="14.4" hidden="1" x14ac:dyDescent="0.3">
      <c r="A481" s="420"/>
      <c r="B481" s="420" t="s">
        <v>535</v>
      </c>
      <c r="C481" s="419" t="s">
        <v>115</v>
      </c>
      <c r="E481" s="452">
        <v>6.5</v>
      </c>
      <c r="F481" s="41">
        <f t="shared" si="16"/>
        <v>0</v>
      </c>
    </row>
    <row r="482" spans="1:6" ht="14.4" hidden="1" x14ac:dyDescent="0.3">
      <c r="A482" s="420"/>
      <c r="B482" s="420" t="s">
        <v>536</v>
      </c>
      <c r="C482" s="419" t="s">
        <v>115</v>
      </c>
      <c r="E482" s="452">
        <v>10.5</v>
      </c>
      <c r="F482" s="41">
        <f t="shared" si="16"/>
        <v>0</v>
      </c>
    </row>
    <row r="483" spans="1:6" ht="14.4" hidden="1" x14ac:dyDescent="0.3">
      <c r="A483" s="420"/>
      <c r="B483" s="420" t="s">
        <v>537</v>
      </c>
      <c r="C483" s="419" t="s">
        <v>115</v>
      </c>
      <c r="E483" s="452">
        <v>0</v>
      </c>
      <c r="F483" s="41">
        <f t="shared" si="16"/>
        <v>0</v>
      </c>
    </row>
    <row r="484" spans="1:6" ht="14.4" hidden="1" x14ac:dyDescent="0.3">
      <c r="A484" s="420"/>
      <c r="B484" s="420" t="s">
        <v>538</v>
      </c>
      <c r="C484" s="419" t="s">
        <v>115</v>
      </c>
      <c r="E484" s="452">
        <v>4.5</v>
      </c>
      <c r="F484" s="41">
        <f t="shared" si="16"/>
        <v>0</v>
      </c>
    </row>
    <row r="485" spans="1:6" ht="14.4" hidden="1" x14ac:dyDescent="0.3">
      <c r="A485" s="420"/>
      <c r="B485" s="420" t="s">
        <v>539</v>
      </c>
      <c r="C485" s="419" t="s">
        <v>115</v>
      </c>
      <c r="E485" s="452">
        <v>4</v>
      </c>
      <c r="F485" s="41">
        <f t="shared" si="16"/>
        <v>0</v>
      </c>
    </row>
    <row r="486" spans="1:6" ht="14.4" hidden="1" x14ac:dyDescent="0.3">
      <c r="A486" s="420"/>
      <c r="B486" s="420" t="s">
        <v>540</v>
      </c>
      <c r="C486" s="419" t="s">
        <v>115</v>
      </c>
      <c r="E486" s="452">
        <v>17</v>
      </c>
      <c r="F486" s="41">
        <f t="shared" si="16"/>
        <v>0</v>
      </c>
    </row>
    <row r="487" spans="1:6" ht="14.4" hidden="1" x14ac:dyDescent="0.3">
      <c r="A487" s="420"/>
      <c r="B487" s="420" t="s">
        <v>541</v>
      </c>
      <c r="C487" s="419" t="s">
        <v>115</v>
      </c>
      <c r="E487" s="452">
        <v>17.5</v>
      </c>
      <c r="F487" s="41">
        <f t="shared" si="16"/>
        <v>0</v>
      </c>
    </row>
    <row r="488" spans="1:6" ht="14.4" hidden="1" x14ac:dyDescent="0.3">
      <c r="A488" s="420"/>
      <c r="B488" s="420" t="s">
        <v>542</v>
      </c>
      <c r="C488" s="419" t="s">
        <v>115</v>
      </c>
      <c r="E488" s="452">
        <v>4.5</v>
      </c>
      <c r="F488" s="41">
        <f t="shared" si="16"/>
        <v>0</v>
      </c>
    </row>
    <row r="489" spans="1:6" ht="14.4" hidden="1" x14ac:dyDescent="0.3">
      <c r="A489" s="420"/>
      <c r="B489" s="420" t="s">
        <v>543</v>
      </c>
      <c r="C489" s="419" t="s">
        <v>115</v>
      </c>
      <c r="E489" s="452">
        <v>2</v>
      </c>
      <c r="F489" s="41">
        <f t="shared" si="16"/>
        <v>0</v>
      </c>
    </row>
    <row r="490" spans="1:6" ht="14.4" hidden="1" x14ac:dyDescent="0.3">
      <c r="A490" s="420"/>
      <c r="B490" s="420" t="s">
        <v>544</v>
      </c>
      <c r="C490" s="419" t="s">
        <v>115</v>
      </c>
      <c r="E490" s="452">
        <v>8.5</v>
      </c>
      <c r="F490" s="41">
        <f t="shared" si="16"/>
        <v>0</v>
      </c>
    </row>
    <row r="491" spans="1:6" ht="14.4" hidden="1" x14ac:dyDescent="0.3">
      <c r="A491" s="420" t="s">
        <v>498</v>
      </c>
      <c r="B491" s="420"/>
      <c r="C491" s="419" t="s">
        <v>115</v>
      </c>
      <c r="E491" s="452">
        <v>4</v>
      </c>
      <c r="F491" s="41">
        <f t="shared" si="16"/>
        <v>0</v>
      </c>
    </row>
    <row r="492" spans="1:6" ht="14.4" hidden="1" x14ac:dyDescent="0.3">
      <c r="A492" s="420"/>
      <c r="B492" s="420" t="s">
        <v>545</v>
      </c>
      <c r="C492" s="419"/>
      <c r="E492" s="452"/>
      <c r="F492" s="41">
        <f t="shared" si="16"/>
        <v>0</v>
      </c>
    </row>
    <row r="493" spans="1:6" ht="14.4" hidden="1" x14ac:dyDescent="0.3">
      <c r="A493" s="420"/>
      <c r="B493" s="420" t="s">
        <v>546</v>
      </c>
      <c r="C493" s="419" t="s">
        <v>115</v>
      </c>
      <c r="E493" s="452">
        <v>137</v>
      </c>
      <c r="F493" s="41">
        <f t="shared" si="16"/>
        <v>0</v>
      </c>
    </row>
    <row r="494" spans="1:6" ht="14.4" hidden="1" x14ac:dyDescent="0.3">
      <c r="A494" s="420"/>
      <c r="B494" s="420" t="s">
        <v>547</v>
      </c>
      <c r="C494" s="419" t="s">
        <v>115</v>
      </c>
      <c r="E494" s="452">
        <v>139.5</v>
      </c>
      <c r="F494" s="41">
        <f t="shared" si="16"/>
        <v>0</v>
      </c>
    </row>
    <row r="495" spans="1:6" ht="14.4" hidden="1" x14ac:dyDescent="0.3">
      <c r="A495" s="420"/>
      <c r="B495" s="420" t="s">
        <v>548</v>
      </c>
      <c r="C495" s="419" t="s">
        <v>115</v>
      </c>
      <c r="E495" s="452">
        <v>183</v>
      </c>
      <c r="F495" s="41">
        <f t="shared" si="16"/>
        <v>0</v>
      </c>
    </row>
    <row r="496" spans="1:6" ht="14.4" hidden="1" x14ac:dyDescent="0.3">
      <c r="A496" s="420"/>
      <c r="B496" s="420" t="s">
        <v>549</v>
      </c>
      <c r="C496" s="419" t="s">
        <v>115</v>
      </c>
      <c r="E496" s="452">
        <v>184.5</v>
      </c>
      <c r="F496" s="41">
        <f t="shared" si="16"/>
        <v>0</v>
      </c>
    </row>
    <row r="497" spans="1:6" ht="14.4" hidden="1" x14ac:dyDescent="0.3">
      <c r="A497" s="420"/>
      <c r="B497" s="420" t="s">
        <v>550</v>
      </c>
      <c r="C497" s="419" t="s">
        <v>115</v>
      </c>
      <c r="E497" s="452">
        <v>56</v>
      </c>
      <c r="F497" s="41">
        <f t="shared" si="16"/>
        <v>0</v>
      </c>
    </row>
    <row r="498" spans="1:6" ht="14.4" hidden="1" x14ac:dyDescent="0.3">
      <c r="A498" s="420"/>
      <c r="B498" s="420" t="s">
        <v>551</v>
      </c>
      <c r="C498" s="419" t="s">
        <v>115</v>
      </c>
      <c r="E498" s="452">
        <v>103</v>
      </c>
      <c r="F498" s="41">
        <f t="shared" si="16"/>
        <v>0</v>
      </c>
    </row>
    <row r="499" spans="1:6" ht="14.4" hidden="1" x14ac:dyDescent="0.3">
      <c r="A499" s="420"/>
      <c r="B499" s="420" t="s">
        <v>552</v>
      </c>
      <c r="C499" s="419" t="s">
        <v>115</v>
      </c>
      <c r="E499" s="452">
        <v>95</v>
      </c>
      <c r="F499" s="41">
        <f t="shared" ref="F499:F562" si="17">E499*D499</f>
        <v>0</v>
      </c>
    </row>
    <row r="500" spans="1:6" ht="14.4" hidden="1" x14ac:dyDescent="0.3">
      <c r="A500" s="420"/>
      <c r="B500" s="420" t="s">
        <v>553</v>
      </c>
      <c r="C500" s="419" t="s">
        <v>115</v>
      </c>
      <c r="E500" s="452">
        <v>100</v>
      </c>
      <c r="F500" s="41">
        <f t="shared" si="17"/>
        <v>0</v>
      </c>
    </row>
    <row r="501" spans="1:6" ht="14.4" hidden="1" x14ac:dyDescent="0.3">
      <c r="A501" s="420"/>
      <c r="B501" s="420" t="s">
        <v>554</v>
      </c>
      <c r="C501" s="419" t="s">
        <v>115</v>
      </c>
      <c r="E501" s="452">
        <v>130.1</v>
      </c>
      <c r="F501" s="41">
        <f t="shared" si="17"/>
        <v>0</v>
      </c>
    </row>
    <row r="502" spans="1:6" ht="14.4" hidden="1" x14ac:dyDescent="0.3">
      <c r="A502" s="420"/>
      <c r="B502" s="420" t="s">
        <v>555</v>
      </c>
      <c r="C502" s="419" t="s">
        <v>115</v>
      </c>
      <c r="E502" s="452">
        <v>60</v>
      </c>
      <c r="F502" s="41">
        <f t="shared" si="17"/>
        <v>0</v>
      </c>
    </row>
    <row r="503" spans="1:6" ht="14.4" hidden="1" x14ac:dyDescent="0.3">
      <c r="A503" s="420"/>
      <c r="B503" s="420" t="s">
        <v>556</v>
      </c>
      <c r="C503" s="419" t="s">
        <v>115</v>
      </c>
      <c r="E503" s="452">
        <v>55</v>
      </c>
      <c r="F503" s="41">
        <f t="shared" si="17"/>
        <v>0</v>
      </c>
    </row>
    <row r="504" spans="1:6" ht="14.4" hidden="1" x14ac:dyDescent="0.3">
      <c r="A504" s="420"/>
      <c r="B504" s="420" t="s">
        <v>557</v>
      </c>
      <c r="C504" s="419" t="s">
        <v>115</v>
      </c>
      <c r="E504" s="452">
        <v>50</v>
      </c>
      <c r="F504" s="41">
        <f t="shared" si="17"/>
        <v>0</v>
      </c>
    </row>
    <row r="505" spans="1:6" ht="14.4" hidden="1" x14ac:dyDescent="0.3">
      <c r="A505" s="420"/>
      <c r="B505" s="420" t="s">
        <v>558</v>
      </c>
      <c r="C505" s="419" t="s">
        <v>115</v>
      </c>
      <c r="E505" s="452">
        <v>99.5</v>
      </c>
      <c r="F505" s="41">
        <f t="shared" si="17"/>
        <v>0</v>
      </c>
    </row>
    <row r="506" spans="1:6" ht="14.4" hidden="1" x14ac:dyDescent="0.3">
      <c r="A506" s="420"/>
      <c r="B506" s="420" t="s">
        <v>559</v>
      </c>
      <c r="C506" s="419" t="s">
        <v>115</v>
      </c>
      <c r="E506" s="452">
        <v>33.5</v>
      </c>
      <c r="F506" s="41">
        <f t="shared" si="17"/>
        <v>0</v>
      </c>
    </row>
    <row r="507" spans="1:6" ht="14.4" hidden="1" x14ac:dyDescent="0.3">
      <c r="A507" s="420"/>
      <c r="B507" s="420" t="s">
        <v>560</v>
      </c>
      <c r="C507" s="419" t="s">
        <v>115</v>
      </c>
      <c r="E507" s="452">
        <v>56.35</v>
      </c>
      <c r="F507" s="41">
        <f t="shared" si="17"/>
        <v>0</v>
      </c>
    </row>
    <row r="508" spans="1:6" ht="14.4" hidden="1" x14ac:dyDescent="0.3">
      <c r="A508" s="420"/>
      <c r="B508" s="420" t="s">
        <v>561</v>
      </c>
      <c r="C508" s="419" t="s">
        <v>115</v>
      </c>
      <c r="E508" s="452">
        <v>60.5</v>
      </c>
      <c r="F508" s="41">
        <f t="shared" si="17"/>
        <v>0</v>
      </c>
    </row>
    <row r="509" spans="1:6" ht="14.4" hidden="1" x14ac:dyDescent="0.3">
      <c r="A509" s="420"/>
      <c r="B509" s="420" t="s">
        <v>562</v>
      </c>
      <c r="C509" s="419" t="s">
        <v>115</v>
      </c>
      <c r="E509" s="452">
        <v>61</v>
      </c>
      <c r="F509" s="41">
        <f t="shared" si="17"/>
        <v>0</v>
      </c>
    </row>
    <row r="510" spans="1:6" ht="14.4" hidden="1" x14ac:dyDescent="0.3">
      <c r="A510" s="420"/>
      <c r="B510" s="420" t="s">
        <v>563</v>
      </c>
      <c r="C510" s="419" t="s">
        <v>115</v>
      </c>
      <c r="E510" s="452">
        <v>65</v>
      </c>
      <c r="F510" s="41">
        <f t="shared" si="17"/>
        <v>0</v>
      </c>
    </row>
    <row r="511" spans="1:6" ht="14.4" hidden="1" x14ac:dyDescent="0.3">
      <c r="A511" s="420"/>
      <c r="B511" s="420" t="s">
        <v>564</v>
      </c>
      <c r="C511" s="419" t="s">
        <v>115</v>
      </c>
      <c r="E511" s="452">
        <v>65</v>
      </c>
      <c r="F511" s="41">
        <f t="shared" si="17"/>
        <v>0</v>
      </c>
    </row>
    <row r="512" spans="1:6" ht="14.4" hidden="1" x14ac:dyDescent="0.3">
      <c r="A512" s="420"/>
      <c r="B512" s="420" t="s">
        <v>565</v>
      </c>
      <c r="C512" s="419" t="s">
        <v>115</v>
      </c>
      <c r="E512" s="452">
        <v>65</v>
      </c>
      <c r="F512" s="41">
        <f t="shared" si="17"/>
        <v>0</v>
      </c>
    </row>
    <row r="513" spans="1:6" ht="14.4" hidden="1" x14ac:dyDescent="0.3">
      <c r="A513" s="420"/>
      <c r="B513" s="420" t="s">
        <v>566</v>
      </c>
      <c r="C513" s="419" t="s">
        <v>115</v>
      </c>
      <c r="E513" s="452">
        <v>65</v>
      </c>
      <c r="F513" s="41">
        <f t="shared" si="17"/>
        <v>0</v>
      </c>
    </row>
    <row r="514" spans="1:6" ht="14.4" hidden="1" x14ac:dyDescent="0.3">
      <c r="A514" s="420"/>
      <c r="B514" s="420" t="s">
        <v>567</v>
      </c>
      <c r="C514" s="419" t="s">
        <v>115</v>
      </c>
      <c r="E514" s="452">
        <v>45</v>
      </c>
      <c r="F514" s="41">
        <f t="shared" si="17"/>
        <v>0</v>
      </c>
    </row>
    <row r="515" spans="1:6" ht="14.4" hidden="1" x14ac:dyDescent="0.3">
      <c r="A515" s="420"/>
      <c r="B515" s="420" t="s">
        <v>568</v>
      </c>
      <c r="C515" s="419" t="s">
        <v>115</v>
      </c>
      <c r="E515" s="452">
        <v>55</v>
      </c>
      <c r="F515" s="41">
        <f t="shared" si="17"/>
        <v>0</v>
      </c>
    </row>
    <row r="516" spans="1:6" ht="14.4" hidden="1" x14ac:dyDescent="0.3">
      <c r="A516" s="420"/>
      <c r="B516" s="420" t="s">
        <v>569</v>
      </c>
      <c r="C516" s="419" t="s">
        <v>115</v>
      </c>
      <c r="E516" s="452">
        <v>55</v>
      </c>
      <c r="F516" s="41">
        <f t="shared" si="17"/>
        <v>0</v>
      </c>
    </row>
    <row r="517" spans="1:6" ht="14.4" hidden="1" x14ac:dyDescent="0.3">
      <c r="A517" s="420"/>
      <c r="B517" s="420" t="s">
        <v>570</v>
      </c>
      <c r="C517" s="419" t="s">
        <v>115</v>
      </c>
      <c r="E517" s="452">
        <v>21.5</v>
      </c>
      <c r="F517" s="41">
        <f t="shared" si="17"/>
        <v>0</v>
      </c>
    </row>
    <row r="518" spans="1:6" ht="14.4" hidden="1" x14ac:dyDescent="0.3">
      <c r="A518" s="420"/>
      <c r="B518" s="420" t="s">
        <v>571</v>
      </c>
      <c r="C518" s="419" t="s">
        <v>115</v>
      </c>
      <c r="E518" s="452">
        <v>34.92</v>
      </c>
      <c r="F518" s="41">
        <f t="shared" si="17"/>
        <v>0</v>
      </c>
    </row>
    <row r="519" spans="1:6" ht="14.4" hidden="1" x14ac:dyDescent="0.3">
      <c r="A519" s="420"/>
      <c r="B519" s="420" t="s">
        <v>572</v>
      </c>
      <c r="C519" s="419" t="s">
        <v>115</v>
      </c>
      <c r="E519" s="452">
        <v>35</v>
      </c>
      <c r="F519" s="41">
        <f t="shared" si="17"/>
        <v>0</v>
      </c>
    </row>
    <row r="520" spans="1:6" ht="14.4" hidden="1" x14ac:dyDescent="0.3">
      <c r="A520" s="420"/>
      <c r="B520" s="420" t="s">
        <v>573</v>
      </c>
      <c r="C520" s="419" t="s">
        <v>115</v>
      </c>
      <c r="E520" s="452">
        <v>22</v>
      </c>
      <c r="F520" s="41">
        <f t="shared" si="17"/>
        <v>0</v>
      </c>
    </row>
    <row r="521" spans="1:6" ht="14.4" hidden="1" x14ac:dyDescent="0.3">
      <c r="A521" s="420"/>
      <c r="B521" s="420" t="s">
        <v>574</v>
      </c>
      <c r="C521" s="419" t="s">
        <v>115</v>
      </c>
      <c r="E521" s="452">
        <v>22</v>
      </c>
      <c r="F521" s="41">
        <f t="shared" si="17"/>
        <v>0</v>
      </c>
    </row>
    <row r="522" spans="1:6" ht="14.4" hidden="1" x14ac:dyDescent="0.3">
      <c r="A522" s="420"/>
      <c r="B522" s="420" t="s">
        <v>575</v>
      </c>
      <c r="C522" s="419" t="s">
        <v>115</v>
      </c>
      <c r="E522" s="452">
        <v>78</v>
      </c>
      <c r="F522" s="41">
        <f t="shared" si="17"/>
        <v>0</v>
      </c>
    </row>
    <row r="523" spans="1:6" ht="14.4" hidden="1" x14ac:dyDescent="0.3">
      <c r="A523" s="420"/>
      <c r="B523" s="420" t="s">
        <v>576</v>
      </c>
      <c r="C523" s="419" t="s">
        <v>115</v>
      </c>
      <c r="E523" s="452">
        <v>89</v>
      </c>
      <c r="F523" s="41">
        <f t="shared" si="17"/>
        <v>0</v>
      </c>
    </row>
    <row r="524" spans="1:6" ht="14.4" hidden="1" x14ac:dyDescent="0.3">
      <c r="A524" s="420"/>
      <c r="B524" s="420" t="s">
        <v>577</v>
      </c>
      <c r="C524" s="419" t="s">
        <v>115</v>
      </c>
      <c r="E524" s="452">
        <v>21</v>
      </c>
      <c r="F524" s="41">
        <f t="shared" si="17"/>
        <v>0</v>
      </c>
    </row>
    <row r="525" spans="1:6" ht="14.4" hidden="1" x14ac:dyDescent="0.3">
      <c r="A525" s="420"/>
      <c r="B525" s="420" t="s">
        <v>578</v>
      </c>
      <c r="C525" s="419" t="s">
        <v>115</v>
      </c>
      <c r="E525" s="452">
        <v>21</v>
      </c>
      <c r="F525" s="41">
        <f t="shared" si="17"/>
        <v>0</v>
      </c>
    </row>
    <row r="526" spans="1:6" ht="14.4" hidden="1" x14ac:dyDescent="0.3">
      <c r="A526" s="420"/>
      <c r="B526" s="420" t="s">
        <v>579</v>
      </c>
      <c r="C526" s="419" t="s">
        <v>115</v>
      </c>
      <c r="E526" s="452">
        <v>0</v>
      </c>
      <c r="F526" s="41">
        <f t="shared" si="17"/>
        <v>0</v>
      </c>
    </row>
    <row r="527" spans="1:6" ht="14.4" hidden="1" x14ac:dyDescent="0.3">
      <c r="A527" s="420"/>
      <c r="B527" s="420" t="s">
        <v>580</v>
      </c>
      <c r="C527" s="419" t="s">
        <v>115</v>
      </c>
      <c r="E527" s="452">
        <v>0</v>
      </c>
      <c r="F527" s="41">
        <f t="shared" si="17"/>
        <v>0</v>
      </c>
    </row>
    <row r="528" spans="1:6" ht="14.4" hidden="1" x14ac:dyDescent="0.3">
      <c r="A528" s="420"/>
      <c r="B528" s="420" t="s">
        <v>581</v>
      </c>
      <c r="C528" s="419" t="s">
        <v>115</v>
      </c>
      <c r="E528" s="452">
        <v>0</v>
      </c>
      <c r="F528" s="41">
        <f t="shared" si="17"/>
        <v>0</v>
      </c>
    </row>
    <row r="529" spans="1:6" ht="14.4" hidden="1" x14ac:dyDescent="0.3">
      <c r="A529" s="420"/>
      <c r="B529" s="420" t="s">
        <v>582</v>
      </c>
      <c r="C529" s="419" t="s">
        <v>115</v>
      </c>
      <c r="E529" s="452">
        <v>0</v>
      </c>
      <c r="F529" s="41">
        <f t="shared" si="17"/>
        <v>0</v>
      </c>
    </row>
    <row r="530" spans="1:6" ht="14.4" hidden="1" x14ac:dyDescent="0.3">
      <c r="A530" s="420"/>
      <c r="B530" s="420" t="s">
        <v>583</v>
      </c>
      <c r="C530" s="419" t="s">
        <v>115</v>
      </c>
      <c r="E530" s="452">
        <v>0</v>
      </c>
      <c r="F530" s="41">
        <f t="shared" si="17"/>
        <v>0</v>
      </c>
    </row>
    <row r="531" spans="1:6" ht="14.4" hidden="1" x14ac:dyDescent="0.3">
      <c r="A531" s="420"/>
      <c r="B531" s="420" t="s">
        <v>584</v>
      </c>
      <c r="C531" s="419" t="s">
        <v>115</v>
      </c>
      <c r="E531" s="452">
        <v>0</v>
      </c>
      <c r="F531" s="41">
        <f t="shared" si="17"/>
        <v>0</v>
      </c>
    </row>
    <row r="532" spans="1:6" ht="14.4" hidden="1" x14ac:dyDescent="0.3">
      <c r="A532" s="420"/>
      <c r="B532" s="420" t="s">
        <v>585</v>
      </c>
      <c r="C532" s="419" t="s">
        <v>115</v>
      </c>
      <c r="E532" s="452">
        <v>0</v>
      </c>
      <c r="F532" s="41">
        <f t="shared" si="17"/>
        <v>0</v>
      </c>
    </row>
    <row r="533" spans="1:6" ht="14.4" hidden="1" x14ac:dyDescent="0.3">
      <c r="A533" s="420"/>
      <c r="B533" s="420" t="s">
        <v>586</v>
      </c>
      <c r="C533" s="419" t="s">
        <v>115</v>
      </c>
      <c r="E533" s="452">
        <v>0</v>
      </c>
      <c r="F533" s="41">
        <f t="shared" si="17"/>
        <v>0</v>
      </c>
    </row>
    <row r="534" spans="1:6" ht="14.4" hidden="1" x14ac:dyDescent="0.3">
      <c r="A534" s="420"/>
      <c r="B534" s="420" t="s">
        <v>587</v>
      </c>
      <c r="C534" s="419" t="s">
        <v>115</v>
      </c>
      <c r="E534" s="452">
        <v>0</v>
      </c>
      <c r="F534" s="41">
        <f t="shared" si="17"/>
        <v>0</v>
      </c>
    </row>
    <row r="535" spans="1:6" ht="14.4" hidden="1" x14ac:dyDescent="0.3">
      <c r="A535" s="420"/>
      <c r="B535" s="420" t="s">
        <v>588</v>
      </c>
      <c r="C535" s="419" t="s">
        <v>115</v>
      </c>
      <c r="E535" s="452">
        <v>0</v>
      </c>
      <c r="F535" s="41">
        <f t="shared" si="17"/>
        <v>0</v>
      </c>
    </row>
    <row r="536" spans="1:6" ht="14.4" hidden="1" x14ac:dyDescent="0.3">
      <c r="A536" s="420"/>
      <c r="B536" s="420" t="s">
        <v>589</v>
      </c>
      <c r="C536" s="419" t="s">
        <v>115</v>
      </c>
      <c r="E536" s="452">
        <v>0</v>
      </c>
      <c r="F536" s="41">
        <f t="shared" si="17"/>
        <v>0</v>
      </c>
    </row>
    <row r="537" spans="1:6" ht="14.4" hidden="1" x14ac:dyDescent="0.3">
      <c r="A537" s="420"/>
      <c r="B537" s="420" t="s">
        <v>590</v>
      </c>
      <c r="C537" s="419" t="s">
        <v>115</v>
      </c>
      <c r="E537" s="452">
        <v>0</v>
      </c>
      <c r="F537" s="41">
        <f t="shared" si="17"/>
        <v>0</v>
      </c>
    </row>
    <row r="538" spans="1:6" ht="14.4" hidden="1" x14ac:dyDescent="0.3">
      <c r="A538" s="420"/>
      <c r="B538" s="420" t="s">
        <v>591</v>
      </c>
      <c r="C538" s="419" t="s">
        <v>115</v>
      </c>
      <c r="E538" s="452">
        <v>0</v>
      </c>
      <c r="F538" s="41">
        <f t="shared" si="17"/>
        <v>0</v>
      </c>
    </row>
    <row r="539" spans="1:6" ht="14.4" hidden="1" x14ac:dyDescent="0.3">
      <c r="A539" s="420"/>
      <c r="B539" s="420" t="s">
        <v>592</v>
      </c>
      <c r="C539" s="419" t="s">
        <v>115</v>
      </c>
      <c r="E539" s="452">
        <v>0</v>
      </c>
      <c r="F539" s="41">
        <f t="shared" si="17"/>
        <v>0</v>
      </c>
    </row>
    <row r="540" spans="1:6" ht="14.4" hidden="1" x14ac:dyDescent="0.3">
      <c r="A540" s="420"/>
      <c r="B540" s="420" t="s">
        <v>593</v>
      </c>
      <c r="C540" s="419" t="s">
        <v>115</v>
      </c>
      <c r="E540" s="452">
        <v>0</v>
      </c>
      <c r="F540" s="41">
        <f t="shared" si="17"/>
        <v>0</v>
      </c>
    </row>
    <row r="541" spans="1:6" ht="14.4" hidden="1" x14ac:dyDescent="0.3">
      <c r="A541" s="420"/>
      <c r="B541" s="420" t="s">
        <v>594</v>
      </c>
      <c r="C541" s="419" t="s">
        <v>115</v>
      </c>
      <c r="E541" s="452">
        <v>0</v>
      </c>
      <c r="F541" s="41">
        <f t="shared" si="17"/>
        <v>0</v>
      </c>
    </row>
    <row r="542" spans="1:6" ht="14.4" hidden="1" x14ac:dyDescent="0.3">
      <c r="A542" s="420"/>
      <c r="B542" s="420" t="s">
        <v>595</v>
      </c>
      <c r="C542" s="419" t="s">
        <v>115</v>
      </c>
      <c r="E542" s="452">
        <v>0</v>
      </c>
      <c r="F542" s="41">
        <f t="shared" si="17"/>
        <v>0</v>
      </c>
    </row>
    <row r="543" spans="1:6" ht="14.4" hidden="1" x14ac:dyDescent="0.3">
      <c r="A543" s="420"/>
      <c r="B543" s="420" t="s">
        <v>596</v>
      </c>
      <c r="C543" s="419" t="s">
        <v>115</v>
      </c>
      <c r="E543" s="452">
        <v>0</v>
      </c>
      <c r="F543" s="41">
        <f t="shared" si="17"/>
        <v>0</v>
      </c>
    </row>
    <row r="544" spans="1:6" ht="14.4" hidden="1" x14ac:dyDescent="0.3">
      <c r="A544" s="420"/>
      <c r="B544" s="420" t="s">
        <v>597</v>
      </c>
      <c r="C544" s="419" t="s">
        <v>115</v>
      </c>
      <c r="E544" s="452">
        <v>0</v>
      </c>
      <c r="F544" s="41">
        <f t="shared" si="17"/>
        <v>0</v>
      </c>
    </row>
    <row r="545" spans="1:6" ht="14.4" hidden="1" x14ac:dyDescent="0.3">
      <c r="A545" s="420"/>
      <c r="B545" s="420" t="s">
        <v>598</v>
      </c>
      <c r="C545" s="419" t="s">
        <v>115</v>
      </c>
      <c r="E545" s="452">
        <v>0</v>
      </c>
      <c r="F545" s="41">
        <f t="shared" si="17"/>
        <v>0</v>
      </c>
    </row>
    <row r="546" spans="1:6" ht="14.4" hidden="1" x14ac:dyDescent="0.3">
      <c r="A546" s="420"/>
      <c r="B546" s="420" t="s">
        <v>599</v>
      </c>
      <c r="C546" s="419" t="s">
        <v>115</v>
      </c>
      <c r="E546" s="452">
        <v>0</v>
      </c>
      <c r="F546" s="41">
        <f t="shared" si="17"/>
        <v>0</v>
      </c>
    </row>
    <row r="547" spans="1:6" ht="14.4" hidden="1" x14ac:dyDescent="0.3">
      <c r="A547" s="420"/>
      <c r="B547" s="420" t="s">
        <v>600</v>
      </c>
      <c r="C547" s="419" t="s">
        <v>115</v>
      </c>
      <c r="E547" s="452">
        <v>0</v>
      </c>
      <c r="F547" s="41">
        <f t="shared" si="17"/>
        <v>0</v>
      </c>
    </row>
    <row r="548" spans="1:6" ht="14.4" hidden="1" x14ac:dyDescent="0.3">
      <c r="A548" s="420"/>
      <c r="B548" s="420" t="s">
        <v>601</v>
      </c>
      <c r="C548" s="419" t="s">
        <v>115</v>
      </c>
      <c r="E548" s="452">
        <v>0</v>
      </c>
      <c r="F548" s="41">
        <f t="shared" si="17"/>
        <v>0</v>
      </c>
    </row>
    <row r="549" spans="1:6" ht="14.4" hidden="1" x14ac:dyDescent="0.3">
      <c r="A549" s="420"/>
      <c r="B549" s="420" t="s">
        <v>602</v>
      </c>
      <c r="C549" s="419" t="s">
        <v>115</v>
      </c>
      <c r="E549" s="452">
        <v>0</v>
      </c>
      <c r="F549" s="41">
        <f t="shared" si="17"/>
        <v>0</v>
      </c>
    </row>
    <row r="550" spans="1:6" ht="14.4" hidden="1" x14ac:dyDescent="0.3">
      <c r="A550" s="420"/>
      <c r="B550" s="420" t="s">
        <v>603</v>
      </c>
      <c r="C550" s="419" t="s">
        <v>115</v>
      </c>
      <c r="E550" s="452">
        <v>0</v>
      </c>
      <c r="F550" s="41">
        <f t="shared" si="17"/>
        <v>0</v>
      </c>
    </row>
    <row r="551" spans="1:6" ht="14.4" hidden="1" x14ac:dyDescent="0.3">
      <c r="A551" s="420"/>
      <c r="B551" s="420" t="s">
        <v>604</v>
      </c>
      <c r="C551" s="419" t="s">
        <v>115</v>
      </c>
      <c r="E551" s="452">
        <v>0</v>
      </c>
      <c r="F551" s="41">
        <f t="shared" si="17"/>
        <v>0</v>
      </c>
    </row>
    <row r="552" spans="1:6" ht="14.4" hidden="1" x14ac:dyDescent="0.3">
      <c r="A552" s="420"/>
      <c r="B552" s="420" t="s">
        <v>605</v>
      </c>
      <c r="C552" s="419" t="s">
        <v>115</v>
      </c>
      <c r="E552" s="452">
        <v>0</v>
      </c>
      <c r="F552" s="41">
        <f t="shared" si="17"/>
        <v>0</v>
      </c>
    </row>
    <row r="553" spans="1:6" ht="14.4" hidden="1" x14ac:dyDescent="0.3">
      <c r="A553" s="420"/>
      <c r="B553" s="420" t="s">
        <v>606</v>
      </c>
      <c r="C553" s="419" t="s">
        <v>115</v>
      </c>
      <c r="E553" s="452">
        <v>0</v>
      </c>
      <c r="F553" s="41">
        <f t="shared" si="17"/>
        <v>0</v>
      </c>
    </row>
    <row r="554" spans="1:6" ht="14.4" hidden="1" x14ac:dyDescent="0.3">
      <c r="A554" s="420"/>
      <c r="B554" s="420" t="s">
        <v>607</v>
      </c>
      <c r="C554" s="419" t="s">
        <v>115</v>
      </c>
      <c r="E554" s="452">
        <v>0</v>
      </c>
      <c r="F554" s="41">
        <f t="shared" si="17"/>
        <v>0</v>
      </c>
    </row>
    <row r="555" spans="1:6" ht="14.4" hidden="1" x14ac:dyDescent="0.3">
      <c r="A555" s="420"/>
      <c r="B555" s="420" t="s">
        <v>608</v>
      </c>
      <c r="C555" s="419" t="s">
        <v>115</v>
      </c>
      <c r="E555" s="452">
        <v>0</v>
      </c>
      <c r="F555" s="41">
        <f t="shared" si="17"/>
        <v>0</v>
      </c>
    </row>
    <row r="556" spans="1:6" ht="14.4" hidden="1" x14ac:dyDescent="0.3">
      <c r="A556" s="420"/>
      <c r="B556" s="420" t="s">
        <v>609</v>
      </c>
      <c r="C556" s="419" t="s">
        <v>115</v>
      </c>
      <c r="E556" s="452">
        <v>18.54</v>
      </c>
      <c r="F556" s="41">
        <f t="shared" si="17"/>
        <v>0</v>
      </c>
    </row>
    <row r="557" spans="1:6" ht="14.4" hidden="1" x14ac:dyDescent="0.3">
      <c r="A557" s="420"/>
      <c r="B557" s="420" t="s">
        <v>610</v>
      </c>
      <c r="C557" s="419" t="s">
        <v>115</v>
      </c>
      <c r="E557" s="452">
        <v>0</v>
      </c>
      <c r="F557" s="41">
        <f t="shared" si="17"/>
        <v>0</v>
      </c>
    </row>
    <row r="558" spans="1:6" ht="14.4" hidden="1" x14ac:dyDescent="0.3">
      <c r="A558" s="420"/>
      <c r="B558" s="420" t="s">
        <v>611</v>
      </c>
      <c r="C558" s="419" t="s">
        <v>115</v>
      </c>
      <c r="E558" s="452">
        <v>0</v>
      </c>
      <c r="F558" s="41">
        <f t="shared" si="17"/>
        <v>0</v>
      </c>
    </row>
    <row r="559" spans="1:6" ht="14.4" hidden="1" x14ac:dyDescent="0.3">
      <c r="A559" s="420"/>
      <c r="B559" s="420" t="s">
        <v>612</v>
      </c>
      <c r="C559" s="419" t="s">
        <v>115</v>
      </c>
      <c r="E559" s="452">
        <v>18.350000000000001</v>
      </c>
      <c r="F559" s="41">
        <f t="shared" si="17"/>
        <v>0</v>
      </c>
    </row>
    <row r="560" spans="1:6" ht="14.4" hidden="1" x14ac:dyDescent="0.3">
      <c r="A560" s="420"/>
      <c r="B560" s="420" t="s">
        <v>613</v>
      </c>
      <c r="C560" s="419" t="s">
        <v>115</v>
      </c>
      <c r="E560" s="452">
        <v>0</v>
      </c>
      <c r="F560" s="41">
        <f t="shared" si="17"/>
        <v>0</v>
      </c>
    </row>
    <row r="561" spans="1:6" ht="14.4" hidden="1" x14ac:dyDescent="0.3">
      <c r="A561" s="420"/>
      <c r="B561" s="420" t="s">
        <v>614</v>
      </c>
      <c r="C561" s="419" t="s">
        <v>115</v>
      </c>
      <c r="E561" s="452">
        <v>0</v>
      </c>
      <c r="F561" s="41">
        <f t="shared" si="17"/>
        <v>0</v>
      </c>
    </row>
    <row r="562" spans="1:6" ht="14.4" hidden="1" x14ac:dyDescent="0.3">
      <c r="A562" s="420"/>
      <c r="B562" s="420" t="s">
        <v>615</v>
      </c>
      <c r="C562" s="419" t="s">
        <v>115</v>
      </c>
      <c r="E562" s="452">
        <v>0</v>
      </c>
      <c r="F562" s="41">
        <f t="shared" si="17"/>
        <v>0</v>
      </c>
    </row>
    <row r="563" spans="1:6" ht="14.4" hidden="1" x14ac:dyDescent="0.3">
      <c r="A563" s="420"/>
      <c r="B563" s="420" t="s">
        <v>616</v>
      </c>
      <c r="C563" s="419" t="s">
        <v>115</v>
      </c>
      <c r="E563" s="452">
        <v>0</v>
      </c>
      <c r="F563" s="41">
        <f t="shared" ref="F563:F626" si="18">E563*D563</f>
        <v>0</v>
      </c>
    </row>
    <row r="564" spans="1:6" ht="14.4" hidden="1" x14ac:dyDescent="0.3">
      <c r="A564" s="420"/>
      <c r="B564" s="420" t="s">
        <v>617</v>
      </c>
      <c r="C564" s="419" t="s">
        <v>115</v>
      </c>
      <c r="E564" s="452">
        <v>0</v>
      </c>
      <c r="F564" s="41">
        <f t="shared" si="18"/>
        <v>0</v>
      </c>
    </row>
    <row r="565" spans="1:6" ht="14.4" hidden="1" x14ac:dyDescent="0.3">
      <c r="A565" s="420"/>
      <c r="B565" s="420" t="s">
        <v>618</v>
      </c>
      <c r="C565" s="419" t="s">
        <v>115</v>
      </c>
      <c r="E565" s="452">
        <v>20</v>
      </c>
      <c r="F565" s="41">
        <f t="shared" si="18"/>
        <v>0</v>
      </c>
    </row>
    <row r="566" spans="1:6" ht="14.4" hidden="1" x14ac:dyDescent="0.3">
      <c r="A566" s="420"/>
      <c r="B566" s="420" t="s">
        <v>619</v>
      </c>
      <c r="C566" s="419" t="s">
        <v>115</v>
      </c>
      <c r="E566" s="452">
        <v>16.329999999999998</v>
      </c>
      <c r="F566" s="41">
        <f t="shared" si="18"/>
        <v>0</v>
      </c>
    </row>
    <row r="567" spans="1:6" ht="14.4" hidden="1" x14ac:dyDescent="0.3">
      <c r="A567" s="420"/>
      <c r="B567" s="420" t="s">
        <v>620</v>
      </c>
      <c r="C567" s="419" t="s">
        <v>115</v>
      </c>
      <c r="E567" s="452">
        <v>0</v>
      </c>
      <c r="F567" s="41">
        <f t="shared" si="18"/>
        <v>0</v>
      </c>
    </row>
    <row r="568" spans="1:6" ht="14.4" hidden="1" x14ac:dyDescent="0.3">
      <c r="A568" s="420"/>
      <c r="B568" s="420" t="s">
        <v>621</v>
      </c>
      <c r="C568" s="419" t="s">
        <v>115</v>
      </c>
      <c r="E568" s="452">
        <v>0</v>
      </c>
      <c r="F568" s="41">
        <f t="shared" si="18"/>
        <v>0</v>
      </c>
    </row>
    <row r="569" spans="1:6" ht="14.4" hidden="1" x14ac:dyDescent="0.3">
      <c r="A569" s="420"/>
      <c r="B569" s="420" t="s">
        <v>622</v>
      </c>
      <c r="C569" s="419" t="s">
        <v>115</v>
      </c>
      <c r="E569" s="452">
        <v>0</v>
      </c>
      <c r="F569" s="41">
        <f t="shared" si="18"/>
        <v>0</v>
      </c>
    </row>
    <row r="570" spans="1:6" ht="14.4" hidden="1" x14ac:dyDescent="0.3">
      <c r="A570" s="420"/>
      <c r="B570" s="420" t="s">
        <v>623</v>
      </c>
      <c r="C570" s="419" t="s">
        <v>115</v>
      </c>
      <c r="E570" s="452">
        <v>0</v>
      </c>
      <c r="F570" s="41">
        <f t="shared" si="18"/>
        <v>0</v>
      </c>
    </row>
    <row r="571" spans="1:6" ht="14.4" hidden="1" x14ac:dyDescent="0.3">
      <c r="A571" s="420"/>
      <c r="B571" s="420" t="s">
        <v>624</v>
      </c>
      <c r="C571" s="419" t="s">
        <v>115</v>
      </c>
      <c r="E571" s="452">
        <v>0</v>
      </c>
      <c r="F571" s="41">
        <f t="shared" si="18"/>
        <v>0</v>
      </c>
    </row>
    <row r="572" spans="1:6" ht="14.4" hidden="1" x14ac:dyDescent="0.3">
      <c r="A572" s="420"/>
      <c r="B572" s="420" t="s">
        <v>625</v>
      </c>
      <c r="C572" s="419" t="s">
        <v>115</v>
      </c>
      <c r="E572" s="452">
        <v>0</v>
      </c>
      <c r="F572" s="41">
        <f t="shared" si="18"/>
        <v>0</v>
      </c>
    </row>
    <row r="573" spans="1:6" ht="14.4" hidden="1" x14ac:dyDescent="0.3">
      <c r="A573" s="420"/>
      <c r="B573" s="420" t="s">
        <v>626</v>
      </c>
      <c r="C573" s="419" t="s">
        <v>115</v>
      </c>
      <c r="E573" s="452">
        <v>0</v>
      </c>
      <c r="F573" s="41">
        <f t="shared" si="18"/>
        <v>0</v>
      </c>
    </row>
    <row r="574" spans="1:6" ht="14.4" hidden="1" x14ac:dyDescent="0.3">
      <c r="A574" s="420"/>
      <c r="B574" s="420" t="s">
        <v>627</v>
      </c>
      <c r="C574" s="419" t="s">
        <v>115</v>
      </c>
      <c r="E574" s="452">
        <v>0</v>
      </c>
      <c r="F574" s="41">
        <f t="shared" si="18"/>
        <v>0</v>
      </c>
    </row>
    <row r="575" spans="1:6" ht="14.4" hidden="1" x14ac:dyDescent="0.3">
      <c r="A575" s="420"/>
      <c r="B575" s="420" t="s">
        <v>628</v>
      </c>
      <c r="C575" s="419" t="s">
        <v>115</v>
      </c>
      <c r="E575" s="452">
        <v>0</v>
      </c>
      <c r="F575" s="41">
        <f t="shared" si="18"/>
        <v>0</v>
      </c>
    </row>
    <row r="576" spans="1:6" ht="14.4" hidden="1" x14ac:dyDescent="0.3">
      <c r="A576" s="420"/>
      <c r="B576" s="420" t="s">
        <v>629</v>
      </c>
      <c r="C576" s="419" t="s">
        <v>115</v>
      </c>
      <c r="E576" s="452">
        <v>0</v>
      </c>
      <c r="F576" s="41">
        <f t="shared" si="18"/>
        <v>0</v>
      </c>
    </row>
    <row r="577" spans="1:6" ht="14.4" hidden="1" x14ac:dyDescent="0.3">
      <c r="A577" s="420"/>
      <c r="B577" s="420" t="s">
        <v>630</v>
      </c>
      <c r="C577" s="419" t="s">
        <v>115</v>
      </c>
      <c r="E577" s="452">
        <v>0</v>
      </c>
      <c r="F577" s="41">
        <f t="shared" si="18"/>
        <v>0</v>
      </c>
    </row>
    <row r="578" spans="1:6" ht="14.4" hidden="1" x14ac:dyDescent="0.3">
      <c r="A578" s="420"/>
      <c r="B578" s="420" t="s">
        <v>631</v>
      </c>
      <c r="C578" s="419" t="s">
        <v>115</v>
      </c>
      <c r="E578" s="452">
        <v>0</v>
      </c>
      <c r="F578" s="41">
        <f t="shared" si="18"/>
        <v>0</v>
      </c>
    </row>
    <row r="579" spans="1:6" ht="14.4" hidden="1" x14ac:dyDescent="0.3">
      <c r="A579" s="420"/>
      <c r="B579" s="420" t="s">
        <v>632</v>
      </c>
      <c r="C579" s="419" t="s">
        <v>115</v>
      </c>
      <c r="E579" s="452">
        <v>0</v>
      </c>
      <c r="F579" s="41">
        <f t="shared" si="18"/>
        <v>0</v>
      </c>
    </row>
    <row r="580" spans="1:6" ht="14.4" hidden="1" x14ac:dyDescent="0.3">
      <c r="A580" s="420"/>
      <c r="B580" s="420" t="s">
        <v>633</v>
      </c>
      <c r="C580" s="419" t="s">
        <v>115</v>
      </c>
      <c r="E580" s="452">
        <v>0</v>
      </c>
      <c r="F580" s="41">
        <f t="shared" si="18"/>
        <v>0</v>
      </c>
    </row>
    <row r="581" spans="1:6" ht="14.4" hidden="1" x14ac:dyDescent="0.3">
      <c r="A581" s="420"/>
      <c r="B581" s="420" t="s">
        <v>634</v>
      </c>
      <c r="C581" s="419" t="s">
        <v>115</v>
      </c>
      <c r="E581" s="452">
        <v>0</v>
      </c>
      <c r="F581" s="41">
        <f t="shared" si="18"/>
        <v>0</v>
      </c>
    </row>
    <row r="582" spans="1:6" ht="14.4" hidden="1" x14ac:dyDescent="0.3">
      <c r="A582" s="420"/>
      <c r="B582" s="420" t="s">
        <v>635</v>
      </c>
      <c r="C582" s="419" t="s">
        <v>115</v>
      </c>
      <c r="E582" s="452">
        <v>0</v>
      </c>
      <c r="F582" s="41">
        <f t="shared" si="18"/>
        <v>0</v>
      </c>
    </row>
    <row r="583" spans="1:6" ht="14.4" hidden="1" x14ac:dyDescent="0.3">
      <c r="A583" s="420"/>
      <c r="B583" s="420" t="s">
        <v>636</v>
      </c>
      <c r="C583" s="419" t="s">
        <v>115</v>
      </c>
      <c r="E583" s="452">
        <v>0</v>
      </c>
      <c r="F583" s="41">
        <f t="shared" si="18"/>
        <v>0</v>
      </c>
    </row>
    <row r="584" spans="1:6" ht="14.4" hidden="1" x14ac:dyDescent="0.3">
      <c r="A584" s="420"/>
      <c r="B584" s="420" t="s">
        <v>637</v>
      </c>
      <c r="C584" s="419" t="s">
        <v>115</v>
      </c>
      <c r="E584" s="452">
        <v>0</v>
      </c>
      <c r="F584" s="41">
        <f t="shared" si="18"/>
        <v>0</v>
      </c>
    </row>
    <row r="585" spans="1:6" ht="14.4" hidden="1" x14ac:dyDescent="0.3">
      <c r="A585" s="420"/>
      <c r="B585" s="420" t="s">
        <v>638</v>
      </c>
      <c r="C585" s="419" t="s">
        <v>115</v>
      </c>
      <c r="E585" s="452">
        <v>0</v>
      </c>
      <c r="F585" s="41">
        <f t="shared" si="18"/>
        <v>0</v>
      </c>
    </row>
    <row r="586" spans="1:6" ht="14.4" hidden="1" x14ac:dyDescent="0.3">
      <c r="A586" s="420"/>
      <c r="B586" s="420" t="s">
        <v>639</v>
      </c>
      <c r="C586" s="419" t="s">
        <v>115</v>
      </c>
      <c r="E586" s="452">
        <v>0</v>
      </c>
      <c r="F586" s="41">
        <f t="shared" si="18"/>
        <v>0</v>
      </c>
    </row>
    <row r="587" spans="1:6" ht="14.4" hidden="1" x14ac:dyDescent="0.3">
      <c r="A587" s="420"/>
      <c r="B587" s="420" t="s">
        <v>640</v>
      </c>
      <c r="C587" s="419" t="s">
        <v>115</v>
      </c>
      <c r="E587" s="452">
        <v>0</v>
      </c>
      <c r="F587" s="41">
        <f t="shared" si="18"/>
        <v>0</v>
      </c>
    </row>
    <row r="588" spans="1:6" ht="14.4" hidden="1" x14ac:dyDescent="0.3">
      <c r="A588" s="420"/>
      <c r="B588" s="420" t="s">
        <v>641</v>
      </c>
      <c r="C588" s="419" t="s">
        <v>115</v>
      </c>
      <c r="E588" s="452">
        <v>0</v>
      </c>
      <c r="F588" s="41">
        <f t="shared" si="18"/>
        <v>0</v>
      </c>
    </row>
    <row r="589" spans="1:6" ht="14.4" hidden="1" x14ac:dyDescent="0.3">
      <c r="A589" s="420"/>
      <c r="B589" s="420" t="s">
        <v>642</v>
      </c>
      <c r="C589" s="419" t="s">
        <v>115</v>
      </c>
      <c r="E589" s="452">
        <v>0</v>
      </c>
      <c r="F589" s="41">
        <f t="shared" si="18"/>
        <v>0</v>
      </c>
    </row>
    <row r="590" spans="1:6" ht="14.4" hidden="1" x14ac:dyDescent="0.3">
      <c r="A590" s="420"/>
      <c r="B590" s="420" t="s">
        <v>643</v>
      </c>
      <c r="C590" s="419" t="s">
        <v>115</v>
      </c>
      <c r="E590" s="452">
        <v>0</v>
      </c>
      <c r="F590" s="41">
        <f t="shared" si="18"/>
        <v>0</v>
      </c>
    </row>
    <row r="591" spans="1:6" ht="14.4" hidden="1" x14ac:dyDescent="0.3">
      <c r="A591" s="420"/>
      <c r="B591" s="420" t="s">
        <v>644</v>
      </c>
      <c r="C591" s="419" t="s">
        <v>115</v>
      </c>
      <c r="E591" s="452">
        <v>0</v>
      </c>
      <c r="F591" s="41">
        <f t="shared" si="18"/>
        <v>0</v>
      </c>
    </row>
    <row r="592" spans="1:6" ht="14.4" hidden="1" x14ac:dyDescent="0.3">
      <c r="A592" s="420"/>
      <c r="B592" s="420" t="s">
        <v>645</v>
      </c>
      <c r="C592" s="419" t="s">
        <v>115</v>
      </c>
      <c r="E592" s="452">
        <v>0</v>
      </c>
      <c r="F592" s="41">
        <f t="shared" si="18"/>
        <v>0</v>
      </c>
    </row>
    <row r="593" spans="1:6" ht="14.4" hidden="1" x14ac:dyDescent="0.3">
      <c r="A593" s="420"/>
      <c r="B593" s="420" t="s">
        <v>646</v>
      </c>
      <c r="C593" s="419" t="s">
        <v>115</v>
      </c>
      <c r="E593" s="452">
        <v>0</v>
      </c>
      <c r="F593" s="41">
        <f t="shared" si="18"/>
        <v>0</v>
      </c>
    </row>
    <row r="594" spans="1:6" ht="14.4" hidden="1" x14ac:dyDescent="0.3">
      <c r="A594" s="420"/>
      <c r="B594" s="420" t="s">
        <v>647</v>
      </c>
      <c r="C594" s="419" t="s">
        <v>115</v>
      </c>
      <c r="E594" s="452">
        <v>0</v>
      </c>
      <c r="F594" s="41">
        <f t="shared" si="18"/>
        <v>0</v>
      </c>
    </row>
    <row r="595" spans="1:6" ht="14.4" hidden="1" x14ac:dyDescent="0.3">
      <c r="A595" s="420"/>
      <c r="B595" s="420" t="s">
        <v>648</v>
      </c>
      <c r="C595" s="419" t="s">
        <v>115</v>
      </c>
      <c r="E595" s="452">
        <v>0</v>
      </c>
      <c r="F595" s="41">
        <f t="shared" si="18"/>
        <v>0</v>
      </c>
    </row>
    <row r="596" spans="1:6" ht="14.4" hidden="1" x14ac:dyDescent="0.3">
      <c r="A596" s="420"/>
      <c r="B596" s="420" t="s">
        <v>649</v>
      </c>
      <c r="C596" s="419" t="s">
        <v>115</v>
      </c>
      <c r="E596" s="452">
        <v>0</v>
      </c>
      <c r="F596" s="41">
        <f t="shared" si="18"/>
        <v>0</v>
      </c>
    </row>
    <row r="597" spans="1:6" ht="14.4" hidden="1" x14ac:dyDescent="0.3">
      <c r="A597" s="420"/>
      <c r="B597" s="420" t="s">
        <v>650</v>
      </c>
      <c r="C597" s="419" t="s">
        <v>115</v>
      </c>
      <c r="E597" s="452">
        <v>0</v>
      </c>
      <c r="F597" s="41">
        <f t="shared" si="18"/>
        <v>0</v>
      </c>
    </row>
    <row r="598" spans="1:6" ht="14.4" hidden="1" x14ac:dyDescent="0.3">
      <c r="A598" s="420"/>
      <c r="B598" s="420" t="s">
        <v>651</v>
      </c>
      <c r="C598" s="419" t="s">
        <v>115</v>
      </c>
      <c r="E598" s="452">
        <v>5.61</v>
      </c>
      <c r="F598" s="41">
        <f t="shared" si="18"/>
        <v>0</v>
      </c>
    </row>
    <row r="599" spans="1:6" ht="14.4" hidden="1" x14ac:dyDescent="0.3">
      <c r="A599" s="420"/>
      <c r="B599" s="420" t="s">
        <v>652</v>
      </c>
      <c r="C599" s="419" t="s">
        <v>115</v>
      </c>
      <c r="E599" s="452">
        <v>0</v>
      </c>
      <c r="F599" s="41">
        <f t="shared" si="18"/>
        <v>0</v>
      </c>
    </row>
    <row r="600" spans="1:6" ht="14.4" hidden="1" x14ac:dyDescent="0.3">
      <c r="A600" s="420"/>
      <c r="B600" s="420" t="s">
        <v>653</v>
      </c>
      <c r="C600" s="419" t="s">
        <v>115</v>
      </c>
      <c r="E600" s="452">
        <v>0</v>
      </c>
      <c r="F600" s="41">
        <f t="shared" si="18"/>
        <v>0</v>
      </c>
    </row>
    <row r="601" spans="1:6" ht="14.4" hidden="1" x14ac:dyDescent="0.3">
      <c r="A601" s="420"/>
      <c r="B601" s="420" t="s">
        <v>654</v>
      </c>
      <c r="C601" s="419" t="s">
        <v>115</v>
      </c>
      <c r="E601" s="452">
        <v>0</v>
      </c>
      <c r="F601" s="41">
        <f t="shared" si="18"/>
        <v>0</v>
      </c>
    </row>
    <row r="602" spans="1:6" ht="14.4" hidden="1" x14ac:dyDescent="0.3">
      <c r="A602" s="420"/>
      <c r="B602" s="420" t="s">
        <v>655</v>
      </c>
      <c r="C602" s="419" t="s">
        <v>115</v>
      </c>
      <c r="E602" s="452">
        <v>0</v>
      </c>
      <c r="F602" s="41">
        <f t="shared" si="18"/>
        <v>0</v>
      </c>
    </row>
    <row r="603" spans="1:6" ht="14.4" hidden="1" x14ac:dyDescent="0.3">
      <c r="A603" s="420"/>
      <c r="B603" s="420" t="s">
        <v>656</v>
      </c>
      <c r="C603" s="419" t="s">
        <v>115</v>
      </c>
      <c r="E603" s="452">
        <v>0</v>
      </c>
      <c r="F603" s="41">
        <f t="shared" si="18"/>
        <v>0</v>
      </c>
    </row>
    <row r="604" spans="1:6" ht="14.4" hidden="1" x14ac:dyDescent="0.3">
      <c r="A604" s="420"/>
      <c r="B604" s="420" t="s">
        <v>657</v>
      </c>
      <c r="C604" s="419" t="s">
        <v>115</v>
      </c>
      <c r="E604" s="452">
        <v>0</v>
      </c>
      <c r="F604" s="41">
        <f t="shared" si="18"/>
        <v>0</v>
      </c>
    </row>
    <row r="605" spans="1:6" ht="14.4" hidden="1" x14ac:dyDescent="0.3">
      <c r="A605" s="420"/>
      <c r="B605" s="420" t="s">
        <v>658</v>
      </c>
      <c r="C605" s="419" t="s">
        <v>115</v>
      </c>
      <c r="E605" s="452">
        <v>0</v>
      </c>
      <c r="F605" s="41">
        <f t="shared" si="18"/>
        <v>0</v>
      </c>
    </row>
    <row r="606" spans="1:6" ht="14.4" hidden="1" x14ac:dyDescent="0.3">
      <c r="A606" s="420"/>
      <c r="B606" s="420" t="s">
        <v>659</v>
      </c>
      <c r="C606" s="419" t="s">
        <v>115</v>
      </c>
      <c r="E606" s="452">
        <v>0</v>
      </c>
      <c r="F606" s="41">
        <f t="shared" si="18"/>
        <v>0</v>
      </c>
    </row>
    <row r="607" spans="1:6" ht="14.4" hidden="1" x14ac:dyDescent="0.3">
      <c r="A607" s="420"/>
      <c r="B607" s="420" t="s">
        <v>660</v>
      </c>
      <c r="C607" s="419" t="s">
        <v>115</v>
      </c>
      <c r="E607" s="452">
        <v>0</v>
      </c>
      <c r="F607" s="41">
        <f t="shared" si="18"/>
        <v>0</v>
      </c>
    </row>
    <row r="608" spans="1:6" ht="14.4" hidden="1" x14ac:dyDescent="0.3">
      <c r="A608" s="420"/>
      <c r="B608" s="420" t="s">
        <v>661</v>
      </c>
      <c r="C608" s="419" t="s">
        <v>115</v>
      </c>
      <c r="E608" s="452">
        <v>0</v>
      </c>
      <c r="F608" s="41">
        <f t="shared" si="18"/>
        <v>0</v>
      </c>
    </row>
    <row r="609" spans="1:6" ht="14.4" hidden="1" x14ac:dyDescent="0.3">
      <c r="A609" s="420"/>
      <c r="B609" s="420" t="s">
        <v>662</v>
      </c>
      <c r="C609" s="419" t="s">
        <v>115</v>
      </c>
      <c r="E609" s="452">
        <v>0</v>
      </c>
      <c r="F609" s="41">
        <f t="shared" si="18"/>
        <v>0</v>
      </c>
    </row>
    <row r="610" spans="1:6" ht="14.4" hidden="1" x14ac:dyDescent="0.3">
      <c r="A610" s="420"/>
      <c r="B610" s="420" t="s">
        <v>663</v>
      </c>
      <c r="C610" s="419" t="s">
        <v>115</v>
      </c>
      <c r="E610" s="452">
        <v>0</v>
      </c>
      <c r="F610" s="41">
        <f t="shared" si="18"/>
        <v>0</v>
      </c>
    </row>
    <row r="611" spans="1:6" ht="14.4" hidden="1" x14ac:dyDescent="0.3">
      <c r="A611" s="420"/>
      <c r="B611" s="420" t="s">
        <v>664</v>
      </c>
      <c r="C611" s="419" t="s">
        <v>115</v>
      </c>
      <c r="E611" s="452">
        <v>0</v>
      </c>
      <c r="F611" s="41">
        <f t="shared" si="18"/>
        <v>0</v>
      </c>
    </row>
    <row r="612" spans="1:6" ht="14.4" hidden="1" x14ac:dyDescent="0.3">
      <c r="A612" s="420"/>
      <c r="B612" s="420" t="s">
        <v>665</v>
      </c>
      <c r="C612" s="419" t="s">
        <v>115</v>
      </c>
      <c r="E612" s="452">
        <v>0</v>
      </c>
      <c r="F612" s="41">
        <f t="shared" si="18"/>
        <v>0</v>
      </c>
    </row>
    <row r="613" spans="1:6" ht="14.4" hidden="1" x14ac:dyDescent="0.3">
      <c r="A613" s="420"/>
      <c r="B613" s="420" t="s">
        <v>666</v>
      </c>
      <c r="C613" s="419" t="s">
        <v>115</v>
      </c>
      <c r="E613" s="452">
        <v>0</v>
      </c>
      <c r="F613" s="41">
        <f t="shared" si="18"/>
        <v>0</v>
      </c>
    </row>
    <row r="614" spans="1:6" ht="14.4" hidden="1" x14ac:dyDescent="0.3">
      <c r="A614" s="420"/>
      <c r="B614" s="420" t="s">
        <v>667</v>
      </c>
      <c r="C614" s="419" t="s">
        <v>115</v>
      </c>
      <c r="E614" s="452">
        <v>0</v>
      </c>
      <c r="F614" s="41">
        <f t="shared" si="18"/>
        <v>0</v>
      </c>
    </row>
    <row r="615" spans="1:6" ht="14.4" hidden="1" x14ac:dyDescent="0.3">
      <c r="A615" s="420"/>
      <c r="B615" s="420" t="s">
        <v>668</v>
      </c>
      <c r="C615" s="419" t="s">
        <v>115</v>
      </c>
      <c r="E615" s="452">
        <v>0</v>
      </c>
      <c r="F615" s="41">
        <f t="shared" si="18"/>
        <v>0</v>
      </c>
    </row>
    <row r="616" spans="1:6" ht="14.4" hidden="1" x14ac:dyDescent="0.3">
      <c r="A616" s="420"/>
      <c r="B616" s="420" t="s">
        <v>669</v>
      </c>
      <c r="C616" s="419" t="s">
        <v>115</v>
      </c>
      <c r="E616" s="452">
        <v>0</v>
      </c>
      <c r="F616" s="41">
        <f t="shared" si="18"/>
        <v>0</v>
      </c>
    </row>
    <row r="617" spans="1:6" ht="14.4" hidden="1" x14ac:dyDescent="0.3">
      <c r="A617" s="420"/>
      <c r="B617" s="420" t="s">
        <v>670</v>
      </c>
      <c r="C617" s="419" t="s">
        <v>115</v>
      </c>
      <c r="E617" s="452">
        <v>0</v>
      </c>
      <c r="F617" s="41">
        <f t="shared" si="18"/>
        <v>0</v>
      </c>
    </row>
    <row r="618" spans="1:6" ht="14.4" hidden="1" x14ac:dyDescent="0.3">
      <c r="A618" s="420"/>
      <c r="B618" s="420" t="s">
        <v>671</v>
      </c>
      <c r="C618" s="419" t="s">
        <v>115</v>
      </c>
      <c r="E618" s="452">
        <v>0</v>
      </c>
      <c r="F618" s="41">
        <f t="shared" si="18"/>
        <v>0</v>
      </c>
    </row>
    <row r="619" spans="1:6" ht="14.4" hidden="1" x14ac:dyDescent="0.3">
      <c r="A619" s="420"/>
      <c r="B619" s="420" t="s">
        <v>672</v>
      </c>
      <c r="C619" s="419" t="s">
        <v>115</v>
      </c>
      <c r="E619" s="452">
        <v>0</v>
      </c>
      <c r="F619" s="41">
        <f t="shared" si="18"/>
        <v>0</v>
      </c>
    </row>
    <row r="620" spans="1:6" ht="14.4" hidden="1" x14ac:dyDescent="0.3">
      <c r="A620" s="420"/>
      <c r="B620" s="420" t="s">
        <v>673</v>
      </c>
      <c r="C620" s="419" t="s">
        <v>115</v>
      </c>
      <c r="E620" s="452">
        <v>0</v>
      </c>
      <c r="F620" s="41">
        <f t="shared" si="18"/>
        <v>0</v>
      </c>
    </row>
    <row r="621" spans="1:6" ht="14.4" hidden="1" x14ac:dyDescent="0.3">
      <c r="A621" s="420"/>
      <c r="B621" s="420" t="s">
        <v>674</v>
      </c>
      <c r="C621" s="419" t="s">
        <v>115</v>
      </c>
      <c r="E621" s="452">
        <v>0</v>
      </c>
      <c r="F621" s="41">
        <f t="shared" si="18"/>
        <v>0</v>
      </c>
    </row>
    <row r="622" spans="1:6" ht="14.4" hidden="1" x14ac:dyDescent="0.3">
      <c r="A622" s="420"/>
      <c r="B622" s="420" t="s">
        <v>675</v>
      </c>
      <c r="C622" s="419" t="s">
        <v>115</v>
      </c>
      <c r="E622" s="452">
        <v>0</v>
      </c>
      <c r="F622" s="41">
        <f t="shared" si="18"/>
        <v>0</v>
      </c>
    </row>
    <row r="623" spans="1:6" ht="14.4" hidden="1" x14ac:dyDescent="0.3">
      <c r="A623" s="420"/>
      <c r="B623" s="420" t="s">
        <v>676</v>
      </c>
      <c r="C623" s="419" t="s">
        <v>115</v>
      </c>
      <c r="E623" s="452">
        <v>0</v>
      </c>
      <c r="F623" s="41">
        <f t="shared" si="18"/>
        <v>0</v>
      </c>
    </row>
    <row r="624" spans="1:6" ht="14.4" hidden="1" x14ac:dyDescent="0.3">
      <c r="A624" s="420"/>
      <c r="B624" s="420" t="s">
        <v>677</v>
      </c>
      <c r="C624" s="419" t="s">
        <v>115</v>
      </c>
      <c r="E624" s="452">
        <v>26.25</v>
      </c>
      <c r="F624" s="41">
        <f t="shared" si="18"/>
        <v>0</v>
      </c>
    </row>
    <row r="625" spans="1:6" ht="14.4" hidden="1" x14ac:dyDescent="0.3">
      <c r="A625" s="420"/>
      <c r="B625" s="420" t="s">
        <v>678</v>
      </c>
      <c r="C625" s="419" t="s">
        <v>115</v>
      </c>
      <c r="E625" s="452">
        <v>0</v>
      </c>
      <c r="F625" s="41">
        <f t="shared" si="18"/>
        <v>0</v>
      </c>
    </row>
    <row r="626" spans="1:6" ht="14.4" hidden="1" x14ac:dyDescent="0.3">
      <c r="A626" s="420"/>
      <c r="B626" s="420" t="s">
        <v>679</v>
      </c>
      <c r="C626" s="419" t="s">
        <v>115</v>
      </c>
      <c r="E626" s="452">
        <v>0</v>
      </c>
      <c r="F626" s="41">
        <f t="shared" si="18"/>
        <v>0</v>
      </c>
    </row>
    <row r="627" spans="1:6" ht="14.4" hidden="1" x14ac:dyDescent="0.3">
      <c r="A627" s="420"/>
      <c r="B627" s="420" t="s">
        <v>680</v>
      </c>
      <c r="C627" s="419" t="s">
        <v>115</v>
      </c>
      <c r="E627" s="452">
        <v>0</v>
      </c>
      <c r="F627" s="41">
        <f t="shared" ref="F627:F690" si="19">E627*D627</f>
        <v>0</v>
      </c>
    </row>
    <row r="628" spans="1:6" ht="14.4" hidden="1" x14ac:dyDescent="0.3">
      <c r="A628" s="420"/>
      <c r="B628" s="420" t="s">
        <v>681</v>
      </c>
      <c r="C628" s="419" t="s">
        <v>115</v>
      </c>
      <c r="E628" s="452">
        <v>0</v>
      </c>
      <c r="F628" s="41">
        <f t="shared" si="19"/>
        <v>0</v>
      </c>
    </row>
    <row r="629" spans="1:6" ht="14.4" hidden="1" x14ac:dyDescent="0.3">
      <c r="A629" s="420"/>
      <c r="B629" s="420" t="s">
        <v>682</v>
      </c>
      <c r="C629" s="419" t="s">
        <v>115</v>
      </c>
      <c r="E629" s="452">
        <v>0</v>
      </c>
      <c r="F629" s="41">
        <f t="shared" si="19"/>
        <v>0</v>
      </c>
    </row>
    <row r="630" spans="1:6" ht="14.4" hidden="1" x14ac:dyDescent="0.3">
      <c r="A630" s="420"/>
      <c r="B630" s="420" t="s">
        <v>683</v>
      </c>
      <c r="C630" s="419" t="s">
        <v>115</v>
      </c>
      <c r="E630" s="452">
        <v>0</v>
      </c>
      <c r="F630" s="41">
        <f t="shared" si="19"/>
        <v>0</v>
      </c>
    </row>
    <row r="631" spans="1:6" ht="14.4" hidden="1" x14ac:dyDescent="0.3">
      <c r="A631" s="420"/>
      <c r="B631" s="420" t="s">
        <v>684</v>
      </c>
      <c r="C631" s="419" t="s">
        <v>115</v>
      </c>
      <c r="E631" s="452">
        <v>0</v>
      </c>
      <c r="F631" s="41">
        <f t="shared" si="19"/>
        <v>0</v>
      </c>
    </row>
    <row r="632" spans="1:6" ht="14.4" hidden="1" x14ac:dyDescent="0.3">
      <c r="A632" s="420"/>
      <c r="B632" s="420" t="s">
        <v>685</v>
      </c>
      <c r="C632" s="419" t="s">
        <v>115</v>
      </c>
      <c r="E632" s="452">
        <v>0</v>
      </c>
      <c r="F632" s="41">
        <f t="shared" si="19"/>
        <v>0</v>
      </c>
    </row>
    <row r="633" spans="1:6" ht="14.4" hidden="1" x14ac:dyDescent="0.3">
      <c r="A633" s="420"/>
      <c r="B633" s="420" t="s">
        <v>686</v>
      </c>
      <c r="C633" s="419" t="s">
        <v>115</v>
      </c>
      <c r="E633" s="452">
        <v>0</v>
      </c>
      <c r="F633" s="41">
        <f t="shared" si="19"/>
        <v>0</v>
      </c>
    </row>
    <row r="634" spans="1:6" ht="14.4" hidden="1" x14ac:dyDescent="0.3">
      <c r="A634" s="420"/>
      <c r="B634" s="420" t="s">
        <v>687</v>
      </c>
      <c r="C634" s="419" t="s">
        <v>115</v>
      </c>
      <c r="E634" s="452">
        <v>0</v>
      </c>
      <c r="F634" s="41">
        <f t="shared" si="19"/>
        <v>0</v>
      </c>
    </row>
    <row r="635" spans="1:6" ht="14.4" hidden="1" x14ac:dyDescent="0.3">
      <c r="A635" s="420"/>
      <c r="B635" s="420" t="s">
        <v>688</v>
      </c>
      <c r="C635" s="419" t="s">
        <v>115</v>
      </c>
      <c r="E635" s="452">
        <v>0</v>
      </c>
      <c r="F635" s="41">
        <f t="shared" si="19"/>
        <v>0</v>
      </c>
    </row>
    <row r="636" spans="1:6" ht="14.4" hidden="1" x14ac:dyDescent="0.3">
      <c r="A636" s="420"/>
      <c r="B636" s="420" t="s">
        <v>689</v>
      </c>
      <c r="C636" s="419" t="s">
        <v>115</v>
      </c>
      <c r="E636" s="452">
        <v>0</v>
      </c>
      <c r="F636" s="41">
        <f t="shared" si="19"/>
        <v>0</v>
      </c>
    </row>
    <row r="637" spans="1:6" ht="14.4" hidden="1" x14ac:dyDescent="0.3">
      <c r="A637" s="420"/>
      <c r="B637" s="420" t="s">
        <v>690</v>
      </c>
      <c r="C637" s="419" t="s">
        <v>115</v>
      </c>
      <c r="E637" s="452">
        <v>0</v>
      </c>
      <c r="F637" s="41">
        <f t="shared" si="19"/>
        <v>0</v>
      </c>
    </row>
    <row r="638" spans="1:6" ht="14.4" hidden="1" x14ac:dyDescent="0.3">
      <c r="A638" s="420"/>
      <c r="B638" s="420" t="s">
        <v>691</v>
      </c>
      <c r="C638" s="419" t="s">
        <v>115</v>
      </c>
      <c r="E638" s="452">
        <v>0</v>
      </c>
      <c r="F638" s="41">
        <f t="shared" si="19"/>
        <v>0</v>
      </c>
    </row>
    <row r="639" spans="1:6" ht="14.4" hidden="1" x14ac:dyDescent="0.3">
      <c r="A639" s="420"/>
      <c r="B639" s="420" t="s">
        <v>692</v>
      </c>
      <c r="C639" s="419" t="s">
        <v>115</v>
      </c>
      <c r="E639" s="452">
        <v>0</v>
      </c>
      <c r="F639" s="41">
        <f t="shared" si="19"/>
        <v>0</v>
      </c>
    </row>
    <row r="640" spans="1:6" ht="14.4" hidden="1" x14ac:dyDescent="0.3">
      <c r="A640" s="420"/>
      <c r="B640" s="420" t="s">
        <v>693</v>
      </c>
      <c r="C640" s="419" t="s">
        <v>115</v>
      </c>
      <c r="E640" s="452">
        <v>0</v>
      </c>
      <c r="F640" s="41">
        <f t="shared" si="19"/>
        <v>0</v>
      </c>
    </row>
    <row r="641" spans="1:6" ht="14.4" hidden="1" x14ac:dyDescent="0.3">
      <c r="A641" s="420"/>
      <c r="B641" s="420" t="s">
        <v>694</v>
      </c>
      <c r="C641" s="419" t="s">
        <v>115</v>
      </c>
      <c r="E641" s="452">
        <v>0</v>
      </c>
      <c r="F641" s="41">
        <f t="shared" si="19"/>
        <v>0</v>
      </c>
    </row>
    <row r="642" spans="1:6" ht="14.4" hidden="1" x14ac:dyDescent="0.3">
      <c r="A642" s="420"/>
      <c r="B642" s="420" t="s">
        <v>695</v>
      </c>
      <c r="C642" s="419" t="s">
        <v>115</v>
      </c>
      <c r="E642" s="452">
        <v>0</v>
      </c>
      <c r="F642" s="41">
        <f t="shared" si="19"/>
        <v>0</v>
      </c>
    </row>
    <row r="643" spans="1:6" ht="14.4" hidden="1" x14ac:dyDescent="0.3">
      <c r="A643" s="420"/>
      <c r="B643" s="420" t="s">
        <v>696</v>
      </c>
      <c r="C643" s="419" t="s">
        <v>115</v>
      </c>
      <c r="E643" s="452">
        <v>0</v>
      </c>
      <c r="F643" s="41">
        <f t="shared" si="19"/>
        <v>0</v>
      </c>
    </row>
    <row r="644" spans="1:6" ht="14.4" hidden="1" x14ac:dyDescent="0.3">
      <c r="A644" s="420"/>
      <c r="B644" s="420" t="s">
        <v>697</v>
      </c>
      <c r="C644" s="419" t="s">
        <v>115</v>
      </c>
      <c r="E644" s="452">
        <v>0</v>
      </c>
      <c r="F644" s="41">
        <f t="shared" si="19"/>
        <v>0</v>
      </c>
    </row>
    <row r="645" spans="1:6" ht="14.4" hidden="1" x14ac:dyDescent="0.3">
      <c r="A645" s="420"/>
      <c r="B645" s="420" t="s">
        <v>698</v>
      </c>
      <c r="C645" s="419" t="s">
        <v>115</v>
      </c>
      <c r="E645" s="452">
        <v>0</v>
      </c>
      <c r="F645" s="41">
        <f t="shared" si="19"/>
        <v>0</v>
      </c>
    </row>
    <row r="646" spans="1:6" ht="14.4" hidden="1" x14ac:dyDescent="0.3">
      <c r="A646" s="420"/>
      <c r="B646" s="420" t="s">
        <v>699</v>
      </c>
      <c r="C646" s="419" t="s">
        <v>115</v>
      </c>
      <c r="E646" s="452">
        <v>0</v>
      </c>
      <c r="F646" s="41">
        <f t="shared" si="19"/>
        <v>0</v>
      </c>
    </row>
    <row r="647" spans="1:6" ht="14.4" hidden="1" x14ac:dyDescent="0.3">
      <c r="A647" s="420"/>
      <c r="B647" s="420" t="s">
        <v>700</v>
      </c>
      <c r="C647" s="419" t="s">
        <v>115</v>
      </c>
      <c r="E647" s="452">
        <v>0</v>
      </c>
      <c r="F647" s="41">
        <f t="shared" si="19"/>
        <v>0</v>
      </c>
    </row>
    <row r="648" spans="1:6" ht="14.4" hidden="1" x14ac:dyDescent="0.3">
      <c r="A648" s="420"/>
      <c r="B648" s="420" t="s">
        <v>701</v>
      </c>
      <c r="C648" s="419" t="s">
        <v>115</v>
      </c>
      <c r="E648" s="452">
        <v>0</v>
      </c>
      <c r="F648" s="41">
        <f t="shared" si="19"/>
        <v>0</v>
      </c>
    </row>
    <row r="649" spans="1:6" ht="14.4" hidden="1" x14ac:dyDescent="0.3">
      <c r="A649" s="420"/>
      <c r="B649" s="420" t="s">
        <v>702</v>
      </c>
      <c r="C649" s="419" t="s">
        <v>115</v>
      </c>
      <c r="E649" s="452">
        <v>0</v>
      </c>
      <c r="F649" s="41">
        <f t="shared" si="19"/>
        <v>0</v>
      </c>
    </row>
    <row r="650" spans="1:6" ht="14.4" hidden="1" x14ac:dyDescent="0.3">
      <c r="A650" s="420"/>
      <c r="B650" s="420" t="s">
        <v>703</v>
      </c>
      <c r="C650" s="419" t="s">
        <v>115</v>
      </c>
      <c r="E650" s="452">
        <v>0</v>
      </c>
      <c r="F650" s="41">
        <f t="shared" si="19"/>
        <v>0</v>
      </c>
    </row>
    <row r="651" spans="1:6" ht="14.4" hidden="1" x14ac:dyDescent="0.3">
      <c r="A651" s="420"/>
      <c r="B651" s="420"/>
      <c r="C651" s="419" t="s">
        <v>115</v>
      </c>
      <c r="E651" s="452">
        <v>0</v>
      </c>
      <c r="F651" s="41">
        <f t="shared" si="19"/>
        <v>0</v>
      </c>
    </row>
    <row r="652" spans="1:6" ht="14.4" hidden="1" x14ac:dyDescent="0.3">
      <c r="A652" s="420"/>
      <c r="B652" s="420" t="s">
        <v>704</v>
      </c>
      <c r="C652" s="419"/>
      <c r="E652" s="452">
        <v>0</v>
      </c>
      <c r="F652" s="41">
        <f t="shared" si="19"/>
        <v>0</v>
      </c>
    </row>
    <row r="653" spans="1:6" ht="14.4" hidden="1" x14ac:dyDescent="0.3">
      <c r="A653" s="420"/>
      <c r="B653" s="420" t="s">
        <v>705</v>
      </c>
      <c r="C653" s="419" t="s">
        <v>149</v>
      </c>
      <c r="E653" s="452">
        <v>0</v>
      </c>
      <c r="F653" s="41">
        <f t="shared" si="19"/>
        <v>0</v>
      </c>
    </row>
    <row r="654" spans="1:6" ht="14.4" hidden="1" x14ac:dyDescent="0.3">
      <c r="A654" s="420"/>
      <c r="B654" s="420" t="s">
        <v>706</v>
      </c>
      <c r="C654" s="419" t="s">
        <v>149</v>
      </c>
      <c r="E654" s="452">
        <v>0</v>
      </c>
      <c r="F654" s="41">
        <f t="shared" si="19"/>
        <v>0</v>
      </c>
    </row>
    <row r="655" spans="1:6" ht="14.4" hidden="1" x14ac:dyDescent="0.3">
      <c r="A655" s="420"/>
      <c r="B655" s="420" t="s">
        <v>707</v>
      </c>
      <c r="C655" s="419" t="s">
        <v>149</v>
      </c>
      <c r="E655" s="452">
        <v>0</v>
      </c>
      <c r="F655" s="41">
        <f t="shared" si="19"/>
        <v>0</v>
      </c>
    </row>
    <row r="656" spans="1:6" ht="14.4" hidden="1" x14ac:dyDescent="0.3">
      <c r="A656" s="420"/>
      <c r="B656" s="420" t="s">
        <v>708</v>
      </c>
      <c r="C656" s="419" t="s">
        <v>115</v>
      </c>
      <c r="E656" s="452">
        <v>0</v>
      </c>
      <c r="F656" s="41">
        <f t="shared" si="19"/>
        <v>0</v>
      </c>
    </row>
    <row r="657" spans="1:6" ht="14.4" hidden="1" x14ac:dyDescent="0.3">
      <c r="A657" s="420"/>
      <c r="B657" s="420" t="s">
        <v>709</v>
      </c>
      <c r="C657" s="419" t="s">
        <v>115</v>
      </c>
      <c r="E657" s="452">
        <v>0</v>
      </c>
      <c r="F657" s="41">
        <f t="shared" si="19"/>
        <v>0</v>
      </c>
    </row>
    <row r="658" spans="1:6" ht="14.4" hidden="1" x14ac:dyDescent="0.3">
      <c r="A658" s="420"/>
      <c r="B658" s="420" t="s">
        <v>710</v>
      </c>
      <c r="C658" s="419" t="s">
        <v>115</v>
      </c>
      <c r="E658" s="452">
        <v>0</v>
      </c>
      <c r="F658" s="41">
        <f t="shared" si="19"/>
        <v>0</v>
      </c>
    </row>
    <row r="659" spans="1:6" ht="14.4" hidden="1" x14ac:dyDescent="0.3">
      <c r="A659" s="420"/>
      <c r="B659" s="420" t="s">
        <v>711</v>
      </c>
      <c r="C659" s="419" t="s">
        <v>115</v>
      </c>
      <c r="E659" s="452">
        <v>0</v>
      </c>
      <c r="F659" s="41">
        <f t="shared" si="19"/>
        <v>0</v>
      </c>
    </row>
    <row r="660" spans="1:6" ht="14.4" hidden="1" x14ac:dyDescent="0.3">
      <c r="A660" s="420"/>
      <c r="B660" s="420" t="s">
        <v>712</v>
      </c>
      <c r="C660" s="419" t="s">
        <v>115</v>
      </c>
      <c r="E660" s="452">
        <v>0</v>
      </c>
      <c r="F660" s="41">
        <f t="shared" si="19"/>
        <v>0</v>
      </c>
    </row>
    <row r="661" spans="1:6" ht="14.4" hidden="1" x14ac:dyDescent="0.3">
      <c r="A661" s="420"/>
      <c r="B661" s="420" t="s">
        <v>713</v>
      </c>
      <c r="C661" s="419" t="s">
        <v>115</v>
      </c>
      <c r="E661" s="452">
        <v>0</v>
      </c>
      <c r="F661" s="41">
        <f t="shared" si="19"/>
        <v>0</v>
      </c>
    </row>
    <row r="662" spans="1:6" ht="14.4" hidden="1" x14ac:dyDescent="0.3">
      <c r="A662" s="420"/>
      <c r="B662" s="420" t="s">
        <v>714</v>
      </c>
      <c r="C662" s="419" t="s">
        <v>115</v>
      </c>
      <c r="E662" s="452">
        <v>0</v>
      </c>
      <c r="F662" s="41">
        <f t="shared" si="19"/>
        <v>0</v>
      </c>
    </row>
    <row r="663" spans="1:6" ht="14.4" hidden="1" x14ac:dyDescent="0.3">
      <c r="A663" s="420"/>
      <c r="B663" s="420" t="s">
        <v>715</v>
      </c>
      <c r="C663" s="419" t="s">
        <v>115</v>
      </c>
      <c r="E663" s="452">
        <v>0</v>
      </c>
      <c r="F663" s="41">
        <f t="shared" si="19"/>
        <v>0</v>
      </c>
    </row>
    <row r="664" spans="1:6" ht="14.4" hidden="1" x14ac:dyDescent="0.3">
      <c r="A664" s="420"/>
      <c r="B664" s="420" t="s">
        <v>716</v>
      </c>
      <c r="C664" s="419" t="s">
        <v>115</v>
      </c>
      <c r="E664" s="452">
        <v>0</v>
      </c>
      <c r="F664" s="41">
        <f t="shared" si="19"/>
        <v>0</v>
      </c>
    </row>
    <row r="665" spans="1:6" ht="14.4" hidden="1" x14ac:dyDescent="0.3">
      <c r="A665" s="420"/>
      <c r="B665" s="420" t="s">
        <v>717</v>
      </c>
      <c r="C665" s="419" t="s">
        <v>115</v>
      </c>
      <c r="E665" s="452">
        <v>0</v>
      </c>
      <c r="F665" s="41">
        <f t="shared" si="19"/>
        <v>0</v>
      </c>
    </row>
    <row r="666" spans="1:6" ht="14.4" hidden="1" x14ac:dyDescent="0.3">
      <c r="A666" s="420"/>
      <c r="B666" s="420" t="s">
        <v>718</v>
      </c>
      <c r="C666" s="419" t="s">
        <v>115</v>
      </c>
      <c r="E666" s="452">
        <v>0</v>
      </c>
      <c r="F666" s="41">
        <f t="shared" si="19"/>
        <v>0</v>
      </c>
    </row>
    <row r="667" spans="1:6" ht="14.4" hidden="1" x14ac:dyDescent="0.3">
      <c r="A667" s="420"/>
      <c r="B667" s="420" t="s">
        <v>719</v>
      </c>
      <c r="C667" s="419" t="s">
        <v>115</v>
      </c>
      <c r="E667" s="452">
        <v>0</v>
      </c>
      <c r="F667" s="41">
        <f t="shared" si="19"/>
        <v>0</v>
      </c>
    </row>
    <row r="668" spans="1:6" ht="14.4" hidden="1" x14ac:dyDescent="0.3">
      <c r="A668" s="420"/>
      <c r="B668" s="420" t="s">
        <v>720</v>
      </c>
      <c r="C668" s="419" t="s">
        <v>115</v>
      </c>
      <c r="E668" s="452">
        <v>0</v>
      </c>
      <c r="F668" s="41">
        <f t="shared" si="19"/>
        <v>0</v>
      </c>
    </row>
    <row r="669" spans="1:6" ht="14.4" hidden="1" x14ac:dyDescent="0.3">
      <c r="A669" s="420"/>
      <c r="B669" s="420" t="s">
        <v>721</v>
      </c>
      <c r="C669" s="419" t="s">
        <v>115</v>
      </c>
      <c r="E669" s="452">
        <v>0</v>
      </c>
      <c r="F669" s="41">
        <f t="shared" si="19"/>
        <v>0</v>
      </c>
    </row>
    <row r="670" spans="1:6" ht="14.4" hidden="1" x14ac:dyDescent="0.3">
      <c r="A670" s="420"/>
      <c r="B670" s="420" t="s">
        <v>722</v>
      </c>
      <c r="C670" s="419" t="s">
        <v>115</v>
      </c>
      <c r="E670" s="452">
        <v>0</v>
      </c>
      <c r="F670" s="41">
        <f t="shared" si="19"/>
        <v>0</v>
      </c>
    </row>
    <row r="671" spans="1:6" ht="14.4" hidden="1" x14ac:dyDescent="0.3">
      <c r="A671" s="420"/>
      <c r="B671" s="420" t="s">
        <v>723</v>
      </c>
      <c r="C671" s="419" t="s">
        <v>115</v>
      </c>
      <c r="E671" s="452">
        <v>0</v>
      </c>
      <c r="F671" s="41">
        <f t="shared" si="19"/>
        <v>0</v>
      </c>
    </row>
    <row r="672" spans="1:6" ht="14.4" hidden="1" x14ac:dyDescent="0.3">
      <c r="A672" s="420"/>
      <c r="B672" s="420"/>
      <c r="C672" s="419" t="s">
        <v>115</v>
      </c>
      <c r="E672" s="452">
        <v>0</v>
      </c>
      <c r="F672" s="41">
        <f t="shared" si="19"/>
        <v>0</v>
      </c>
    </row>
    <row r="673" spans="1:10" ht="14.4" hidden="1" x14ac:dyDescent="0.3">
      <c r="A673"/>
      <c r="B673" s="330" t="s">
        <v>724</v>
      </c>
      <c r="C673" s="419" t="s">
        <v>115</v>
      </c>
      <c r="E673" s="452">
        <v>56</v>
      </c>
      <c r="F673" s="41">
        <f t="shared" si="19"/>
        <v>0</v>
      </c>
    </row>
    <row r="674" spans="1:10" ht="14.4" hidden="1" x14ac:dyDescent="0.3">
      <c r="A674"/>
      <c r="B674" t="s">
        <v>725</v>
      </c>
      <c r="C674" s="303" t="s">
        <v>115</v>
      </c>
      <c r="E674" s="452">
        <v>202.94</v>
      </c>
      <c r="F674" s="41">
        <f t="shared" si="19"/>
        <v>0</v>
      </c>
    </row>
    <row r="675" spans="1:10" ht="14.4" hidden="1" x14ac:dyDescent="0.3">
      <c r="A675"/>
      <c r="B675" t="s">
        <v>726</v>
      </c>
      <c r="C675" s="303" t="s">
        <v>115</v>
      </c>
      <c r="E675" s="452">
        <v>92.67</v>
      </c>
      <c r="F675" s="41">
        <f t="shared" si="19"/>
        <v>0</v>
      </c>
    </row>
    <row r="676" spans="1:10" ht="14.4" hidden="1" x14ac:dyDescent="0.3">
      <c r="A676"/>
      <c r="B676" t="s">
        <v>727</v>
      </c>
      <c r="C676" s="303" t="s">
        <v>115</v>
      </c>
      <c r="E676" s="452">
        <v>24.71</v>
      </c>
      <c r="F676" s="41">
        <f t="shared" si="19"/>
        <v>0</v>
      </c>
    </row>
    <row r="677" spans="1:10" ht="14.4" hidden="1" x14ac:dyDescent="0.3">
      <c r="A677"/>
      <c r="B677" t="s">
        <v>340</v>
      </c>
      <c r="C677" s="303" t="s">
        <v>115</v>
      </c>
      <c r="E677" s="452">
        <v>20</v>
      </c>
      <c r="F677" s="41">
        <f t="shared" si="19"/>
        <v>0</v>
      </c>
    </row>
    <row r="678" spans="1:10" ht="14.4" hidden="1" x14ac:dyDescent="0.3">
      <c r="A678"/>
      <c r="B678" t="s">
        <v>305</v>
      </c>
      <c r="C678" s="303" t="s">
        <v>115</v>
      </c>
      <c r="E678" s="452">
        <v>136.94</v>
      </c>
      <c r="F678" s="41">
        <f t="shared" si="19"/>
        <v>0</v>
      </c>
    </row>
    <row r="679" spans="1:10" ht="14.4" hidden="1" x14ac:dyDescent="0.3">
      <c r="A679"/>
      <c r="B679" t="s">
        <v>374</v>
      </c>
      <c r="C679" s="303" t="s">
        <v>115</v>
      </c>
      <c r="E679" s="452">
        <v>365</v>
      </c>
      <c r="F679" s="41">
        <f t="shared" si="19"/>
        <v>0</v>
      </c>
    </row>
    <row r="680" spans="1:10" ht="14.4" hidden="1" x14ac:dyDescent="0.3">
      <c r="A680"/>
      <c r="B680" t="s">
        <v>728</v>
      </c>
      <c r="C680" s="303" t="s">
        <v>115</v>
      </c>
      <c r="E680" s="452">
        <v>201.43</v>
      </c>
      <c r="F680" s="41">
        <f t="shared" si="19"/>
        <v>0</v>
      </c>
    </row>
    <row r="681" spans="1:10" ht="14.4" hidden="1" x14ac:dyDescent="0.3">
      <c r="A681"/>
      <c r="B681" t="s">
        <v>376</v>
      </c>
      <c r="C681" s="303" t="s">
        <v>115</v>
      </c>
      <c r="E681" s="452">
        <v>5</v>
      </c>
      <c r="F681" s="41">
        <f t="shared" si="19"/>
        <v>0</v>
      </c>
    </row>
    <row r="682" spans="1:10" ht="14.4" hidden="1" x14ac:dyDescent="0.3">
      <c r="A682"/>
      <c r="B682" t="s">
        <v>729</v>
      </c>
      <c r="C682" s="303" t="s">
        <v>115</v>
      </c>
      <c r="E682" s="452">
        <v>853</v>
      </c>
      <c r="F682" s="41">
        <f t="shared" si="19"/>
        <v>0</v>
      </c>
      <c r="J682" s="452"/>
    </row>
    <row r="683" spans="1:10" ht="14.4" hidden="1" x14ac:dyDescent="0.3">
      <c r="A683"/>
      <c r="B683" t="s">
        <v>730</v>
      </c>
      <c r="C683" s="303" t="s">
        <v>115</v>
      </c>
      <c r="E683" s="452">
        <v>503</v>
      </c>
      <c r="F683" s="41">
        <f t="shared" si="19"/>
        <v>0</v>
      </c>
      <c r="J683" s="452"/>
    </row>
    <row r="684" spans="1:10" ht="14.4" hidden="1" x14ac:dyDescent="0.3">
      <c r="A684"/>
      <c r="B684" t="s">
        <v>731</v>
      </c>
      <c r="C684" s="303" t="s">
        <v>115</v>
      </c>
      <c r="E684" s="452">
        <v>1809.63</v>
      </c>
      <c r="F684" s="41">
        <f t="shared" si="19"/>
        <v>0</v>
      </c>
      <c r="J684" s="452"/>
    </row>
    <row r="685" spans="1:10" ht="14.4" hidden="1" x14ac:dyDescent="0.3">
      <c r="A685"/>
      <c r="B685" t="s">
        <v>732</v>
      </c>
      <c r="C685" s="303" t="s">
        <v>115</v>
      </c>
      <c r="E685" s="452">
        <v>1650</v>
      </c>
      <c r="F685" s="41">
        <f t="shared" si="19"/>
        <v>0</v>
      </c>
      <c r="J685" s="452"/>
    </row>
    <row r="686" spans="1:10" ht="14.4" hidden="1" x14ac:dyDescent="0.3">
      <c r="A686"/>
      <c r="B686" t="s">
        <v>733</v>
      </c>
      <c r="C686" s="303" t="s">
        <v>115</v>
      </c>
      <c r="E686" s="452">
        <v>160</v>
      </c>
      <c r="F686" s="41">
        <f t="shared" si="19"/>
        <v>0</v>
      </c>
      <c r="J686" s="452"/>
    </row>
    <row r="687" spans="1:10" ht="14.4" hidden="1" x14ac:dyDescent="0.3">
      <c r="A687"/>
      <c r="B687" t="s">
        <v>734</v>
      </c>
      <c r="C687" s="303" t="s">
        <v>115</v>
      </c>
      <c r="E687" s="452">
        <v>750</v>
      </c>
      <c r="F687" s="41">
        <f t="shared" si="19"/>
        <v>0</v>
      </c>
      <c r="J687" s="452"/>
    </row>
    <row r="688" spans="1:10" ht="14.4" hidden="1" x14ac:dyDescent="0.3">
      <c r="A688"/>
      <c r="B688" t="s">
        <v>735</v>
      </c>
      <c r="C688" s="303" t="s">
        <v>115</v>
      </c>
      <c r="E688" s="452">
        <v>450</v>
      </c>
      <c r="F688" s="41">
        <f t="shared" si="19"/>
        <v>0</v>
      </c>
      <c r="J688" s="452"/>
    </row>
    <row r="689" spans="1:10" ht="14.4" hidden="1" x14ac:dyDescent="0.3">
      <c r="A689"/>
      <c r="B689" t="s">
        <v>736</v>
      </c>
      <c r="C689" s="303" t="s">
        <v>115</v>
      </c>
      <c r="E689" s="452">
        <v>1250</v>
      </c>
      <c r="F689" s="41">
        <f t="shared" si="19"/>
        <v>0</v>
      </c>
      <c r="J689" s="452"/>
    </row>
    <row r="690" spans="1:10" ht="14.4" hidden="1" x14ac:dyDescent="0.3">
      <c r="A690"/>
      <c r="B690" t="s">
        <v>737</v>
      </c>
      <c r="C690" s="303" t="s">
        <v>115</v>
      </c>
      <c r="E690" s="452">
        <v>190</v>
      </c>
      <c r="F690" s="41">
        <f t="shared" si="19"/>
        <v>0</v>
      </c>
      <c r="J690" s="452"/>
    </row>
    <row r="691" spans="1:10" ht="14.4" hidden="1" x14ac:dyDescent="0.3">
      <c r="A691"/>
      <c r="B691" t="s">
        <v>738</v>
      </c>
      <c r="C691" s="303" t="s">
        <v>115</v>
      </c>
      <c r="E691" s="452">
        <v>412.59</v>
      </c>
      <c r="F691" s="41">
        <f t="shared" ref="F691:F711" si="20">E691*D691</f>
        <v>0</v>
      </c>
      <c r="J691" s="452"/>
    </row>
    <row r="692" spans="1:10" ht="14.4" hidden="1" x14ac:dyDescent="0.3">
      <c r="A692"/>
      <c r="B692" t="s">
        <v>739</v>
      </c>
      <c r="C692" s="303" t="s">
        <v>115</v>
      </c>
      <c r="E692" s="452">
        <v>18.649999999999999</v>
      </c>
      <c r="F692" s="41">
        <f t="shared" si="20"/>
        <v>0</v>
      </c>
      <c r="J692" s="452"/>
    </row>
    <row r="693" spans="1:10" ht="14.4" hidden="1" x14ac:dyDescent="0.3">
      <c r="A693"/>
      <c r="B693" t="s">
        <v>740</v>
      </c>
      <c r="C693" s="303" t="s">
        <v>115</v>
      </c>
      <c r="E693" s="452">
        <v>26.55</v>
      </c>
      <c r="F693" s="41">
        <f t="shared" si="20"/>
        <v>0</v>
      </c>
      <c r="J693" s="452"/>
    </row>
    <row r="694" spans="1:10" ht="14.4" hidden="1" x14ac:dyDescent="0.3">
      <c r="A694"/>
      <c r="B694" t="s">
        <v>741</v>
      </c>
      <c r="C694" s="303" t="s">
        <v>115</v>
      </c>
      <c r="E694" s="452">
        <v>92.1</v>
      </c>
      <c r="F694" s="41">
        <f t="shared" si="20"/>
        <v>0</v>
      </c>
      <c r="J694" s="452"/>
    </row>
    <row r="695" spans="1:10" ht="16.8" hidden="1" x14ac:dyDescent="0.3">
      <c r="A695"/>
      <c r="B695" s="331" t="s">
        <v>742</v>
      </c>
      <c r="C695" s="303" t="s">
        <v>115</v>
      </c>
      <c r="E695" s="452">
        <v>30</v>
      </c>
      <c r="F695" s="41">
        <f t="shared" si="20"/>
        <v>0</v>
      </c>
      <c r="J695" s="452"/>
    </row>
    <row r="696" spans="1:10" ht="14.4" hidden="1" x14ac:dyDescent="0.3">
      <c r="A696"/>
      <c r="B696" t="s">
        <v>743</v>
      </c>
      <c r="C696" s="303" t="s">
        <v>115</v>
      </c>
      <c r="E696" s="452">
        <v>1850</v>
      </c>
      <c r="F696" s="41">
        <f t="shared" si="20"/>
        <v>0</v>
      </c>
      <c r="J696" s="452"/>
    </row>
    <row r="697" spans="1:10" ht="14.4" hidden="1" x14ac:dyDescent="0.3">
      <c r="A697"/>
      <c r="B697" t="s">
        <v>744</v>
      </c>
      <c r="C697" s="303" t="s">
        <v>115</v>
      </c>
      <c r="E697" s="452">
        <v>1800</v>
      </c>
      <c r="F697" s="41">
        <f t="shared" si="20"/>
        <v>0</v>
      </c>
      <c r="J697" s="452"/>
    </row>
    <row r="698" spans="1:10" ht="14.4" hidden="1" x14ac:dyDescent="0.3">
      <c r="A698"/>
      <c r="B698"/>
      <c r="C698" s="303" t="s">
        <v>115</v>
      </c>
      <c r="E698" s="452"/>
      <c r="F698" s="41">
        <f t="shared" si="20"/>
        <v>0</v>
      </c>
      <c r="J698" s="452"/>
    </row>
    <row r="699" spans="1:10" ht="14.4" hidden="1" x14ac:dyDescent="0.3">
      <c r="A699" s="420"/>
      <c r="B699" s="420" t="s">
        <v>745</v>
      </c>
      <c r="C699" s="303"/>
      <c r="E699" s="452"/>
      <c r="F699" s="41">
        <f t="shared" si="20"/>
        <v>0</v>
      </c>
      <c r="J699" s="452"/>
    </row>
    <row r="700" spans="1:10" ht="14.4" hidden="1" x14ac:dyDescent="0.3">
      <c r="A700" s="420"/>
      <c r="B700" s="420" t="s">
        <v>746</v>
      </c>
      <c r="C700" s="419" t="s">
        <v>115</v>
      </c>
      <c r="E700" s="452">
        <v>3800</v>
      </c>
      <c r="F700" s="41">
        <f t="shared" si="20"/>
        <v>0</v>
      </c>
      <c r="J700" s="452"/>
    </row>
    <row r="701" spans="1:10" ht="14.4" hidden="1" x14ac:dyDescent="0.3">
      <c r="A701" s="420"/>
      <c r="B701" s="420" t="s">
        <v>747</v>
      </c>
      <c r="C701" s="419" t="s">
        <v>115</v>
      </c>
      <c r="E701" s="452">
        <v>371.37</v>
      </c>
      <c r="F701" s="41">
        <f t="shared" si="20"/>
        <v>0</v>
      </c>
      <c r="J701" s="452"/>
    </row>
    <row r="702" spans="1:10" ht="14.4" hidden="1" x14ac:dyDescent="0.3">
      <c r="A702" s="420"/>
      <c r="B702" s="420" t="s">
        <v>748</v>
      </c>
      <c r="C702" s="419" t="s">
        <v>115</v>
      </c>
      <c r="E702" s="452">
        <f>430.67+38.37</f>
        <v>469.04</v>
      </c>
      <c r="F702" s="41">
        <f t="shared" si="20"/>
        <v>0</v>
      </c>
      <c r="J702" s="452"/>
    </row>
    <row r="703" spans="1:10" ht="14.4" hidden="1" x14ac:dyDescent="0.3">
      <c r="A703" s="420"/>
      <c r="B703" s="420" t="s">
        <v>749</v>
      </c>
      <c r="C703" s="419" t="s">
        <v>115</v>
      </c>
      <c r="E703" s="452">
        <f>141.13+18.87+18.87+480.93</f>
        <v>659.8</v>
      </c>
      <c r="F703" s="41">
        <f t="shared" si="20"/>
        <v>0</v>
      </c>
      <c r="J703" s="452"/>
    </row>
    <row r="704" spans="1:10" ht="14.4" hidden="1" x14ac:dyDescent="0.3">
      <c r="A704" s="420"/>
      <c r="B704" s="420" t="s">
        <v>750</v>
      </c>
      <c r="C704" s="419" t="s">
        <v>115</v>
      </c>
      <c r="E704" s="452">
        <v>587.96</v>
      </c>
      <c r="F704" s="41">
        <f t="shared" si="20"/>
        <v>0</v>
      </c>
      <c r="J704" s="452"/>
    </row>
    <row r="705" spans="1:10" ht="14.4" hidden="1" x14ac:dyDescent="0.3">
      <c r="A705" s="420"/>
      <c r="B705" s="421" t="s">
        <v>751</v>
      </c>
      <c r="C705" s="424" t="s">
        <v>115</v>
      </c>
      <c r="D705" s="398"/>
      <c r="E705" s="454">
        <v>900</v>
      </c>
      <c r="F705" s="400">
        <f t="shared" si="20"/>
        <v>0</v>
      </c>
      <c r="J705" s="452"/>
    </row>
    <row r="706" spans="1:10" ht="14.4" hidden="1" x14ac:dyDescent="0.3">
      <c r="A706" s="420"/>
      <c r="B706" s="420" t="s">
        <v>752</v>
      </c>
      <c r="C706" s="419" t="s">
        <v>115</v>
      </c>
      <c r="E706" s="452">
        <v>641.58000000000004</v>
      </c>
      <c r="F706" s="41">
        <f t="shared" si="20"/>
        <v>0</v>
      </c>
      <c r="J706" s="452"/>
    </row>
    <row r="707" spans="1:10" ht="14.4" hidden="1" x14ac:dyDescent="0.3">
      <c r="A707" s="420"/>
      <c r="B707" s="420" t="s">
        <v>753</v>
      </c>
      <c r="C707" s="419" t="s">
        <v>115</v>
      </c>
      <c r="E707" s="452">
        <v>50</v>
      </c>
      <c r="F707" s="41">
        <f t="shared" si="20"/>
        <v>0</v>
      </c>
      <c r="J707" s="452"/>
    </row>
    <row r="708" spans="1:10" ht="14.4" hidden="1" x14ac:dyDescent="0.3">
      <c r="A708" s="420"/>
      <c r="B708" s="420" t="s">
        <v>754</v>
      </c>
      <c r="C708" s="419" t="s">
        <v>115</v>
      </c>
      <c r="E708" s="452">
        <v>31.71</v>
      </c>
      <c r="F708" s="41">
        <f t="shared" si="20"/>
        <v>0</v>
      </c>
    </row>
    <row r="709" spans="1:10" ht="14.4" hidden="1" x14ac:dyDescent="0.3">
      <c r="A709" s="420"/>
      <c r="B709" s="420" t="s">
        <v>755</v>
      </c>
      <c r="C709" s="419" t="s">
        <v>115</v>
      </c>
      <c r="E709" s="452">
        <v>146.09</v>
      </c>
      <c r="F709" s="41">
        <f t="shared" si="20"/>
        <v>0</v>
      </c>
    </row>
    <row r="710" spans="1:10" ht="14.4" x14ac:dyDescent="0.3">
      <c r="C710" s="419" t="s">
        <v>115</v>
      </c>
      <c r="E710" s="452">
        <v>99.49</v>
      </c>
      <c r="F710" s="41">
        <f t="shared" si="20"/>
        <v>0</v>
      </c>
    </row>
    <row r="711" spans="1:10" ht="21.6" x14ac:dyDescent="0.3">
      <c r="B711" s="505" t="s">
        <v>756</v>
      </c>
      <c r="C711" s="497" t="s">
        <v>115</v>
      </c>
      <c r="D711" s="447">
        <v>0</v>
      </c>
      <c r="E711" s="498">
        <v>25000</v>
      </c>
      <c r="F711" s="448">
        <f t="shared" si="20"/>
        <v>0</v>
      </c>
    </row>
    <row r="712" spans="1:10" ht="14.4" x14ac:dyDescent="0.3">
      <c r="C712" s="419"/>
      <c r="E712" s="452"/>
    </row>
    <row r="713" spans="1:10" ht="14.4" x14ac:dyDescent="0.3">
      <c r="B713" s="510" t="s">
        <v>757</v>
      </c>
      <c r="C713" s="497" t="s">
        <v>115</v>
      </c>
      <c r="D713" s="447">
        <v>0</v>
      </c>
      <c r="E713" s="498">
        <v>3500</v>
      </c>
      <c r="F713" s="448">
        <f>E713*D713</f>
        <v>0</v>
      </c>
    </row>
    <row r="714" spans="1:10" ht="14.4" x14ac:dyDescent="0.3">
      <c r="B714" s="510" t="s">
        <v>758</v>
      </c>
      <c r="C714" s="497" t="s">
        <v>115</v>
      </c>
      <c r="D714" s="447">
        <v>1</v>
      </c>
      <c r="E714" s="498">
        <v>1500</v>
      </c>
      <c r="F714" s="448">
        <f t="shared" ref="F714:F717" si="21">E714*D714</f>
        <v>1500</v>
      </c>
    </row>
    <row r="715" spans="1:10" ht="14.4" x14ac:dyDescent="0.3">
      <c r="B715" s="510" t="s">
        <v>759</v>
      </c>
      <c r="C715" s="497" t="s">
        <v>115</v>
      </c>
      <c r="D715" s="447">
        <v>1</v>
      </c>
      <c r="E715" s="498">
        <v>3000</v>
      </c>
      <c r="F715" s="448">
        <f t="shared" si="21"/>
        <v>3000</v>
      </c>
    </row>
    <row r="716" spans="1:10" ht="21.6" x14ac:dyDescent="0.3">
      <c r="B716" s="511" t="s">
        <v>760</v>
      </c>
      <c r="C716" s="497" t="s">
        <v>115</v>
      </c>
      <c r="D716" s="447">
        <v>0</v>
      </c>
      <c r="E716" s="498">
        <v>1200</v>
      </c>
      <c r="F716" s="448">
        <f t="shared" si="21"/>
        <v>0</v>
      </c>
    </row>
    <row r="717" spans="1:10" ht="31.8" x14ac:dyDescent="0.3">
      <c r="B717" s="505" t="s">
        <v>761</v>
      </c>
      <c r="C717" s="497" t="s">
        <v>115</v>
      </c>
      <c r="D717" s="447">
        <v>1</v>
      </c>
      <c r="E717" s="498">
        <v>2500</v>
      </c>
      <c r="F717" s="448">
        <f t="shared" si="21"/>
        <v>2500</v>
      </c>
    </row>
    <row r="718" spans="1:10" ht="14.4" x14ac:dyDescent="0.3">
      <c r="C718" s="419"/>
      <c r="E718" s="452"/>
    </row>
    <row r="720" spans="1:10" ht="14.4" x14ac:dyDescent="0.3">
      <c r="B720" s="325" t="s">
        <v>762</v>
      </c>
    </row>
    <row r="721" spans="1:6" ht="14.4" x14ac:dyDescent="0.3">
      <c r="B721" s="327" t="s">
        <v>354</v>
      </c>
    </row>
    <row r="722" spans="1:6" ht="14.4" x14ac:dyDescent="0.3">
      <c r="A722" s="38" t="s">
        <v>243</v>
      </c>
      <c r="B722" s="420"/>
    </row>
    <row r="723" spans="1:6" ht="14.4" hidden="1" x14ac:dyDescent="0.3">
      <c r="B723" s="420" t="s">
        <v>763</v>
      </c>
      <c r="C723" s="419" t="s">
        <v>149</v>
      </c>
      <c r="E723" s="385">
        <v>14.489999999999998</v>
      </c>
      <c r="F723" s="41">
        <f t="shared" ref="F723:F754" si="22">E723*D723</f>
        <v>0</v>
      </c>
    </row>
    <row r="724" spans="1:6" ht="14.4" hidden="1" x14ac:dyDescent="0.3">
      <c r="B724" s="420" t="s">
        <v>764</v>
      </c>
      <c r="C724" s="419" t="s">
        <v>149</v>
      </c>
      <c r="E724" s="385">
        <v>9.5495999999999999</v>
      </c>
      <c r="F724" s="41">
        <f t="shared" si="22"/>
        <v>0</v>
      </c>
    </row>
    <row r="725" spans="1:6" ht="14.4" hidden="1" x14ac:dyDescent="0.3">
      <c r="B725" s="420" t="s">
        <v>765</v>
      </c>
      <c r="C725" s="419" t="s">
        <v>115</v>
      </c>
      <c r="E725" s="385">
        <v>9.66</v>
      </c>
      <c r="F725" s="41">
        <f t="shared" si="22"/>
        <v>0</v>
      </c>
    </row>
    <row r="726" spans="1:6" ht="14.4" hidden="1" x14ac:dyDescent="0.3">
      <c r="B726" s="420" t="s">
        <v>766</v>
      </c>
      <c r="C726" s="419" t="s">
        <v>115</v>
      </c>
      <c r="E726" s="385">
        <v>4.7885999999999997</v>
      </c>
      <c r="F726" s="41">
        <f t="shared" si="22"/>
        <v>0</v>
      </c>
    </row>
    <row r="727" spans="1:6" ht="14.4" hidden="1" x14ac:dyDescent="0.3">
      <c r="B727" s="420" t="s">
        <v>767</v>
      </c>
      <c r="C727" s="419" t="s">
        <v>115</v>
      </c>
      <c r="E727" s="385">
        <v>13.799999999999999</v>
      </c>
      <c r="F727" s="41">
        <f t="shared" si="22"/>
        <v>0</v>
      </c>
    </row>
    <row r="728" spans="1:6" ht="14.4" hidden="1" x14ac:dyDescent="0.3">
      <c r="B728" s="420" t="s">
        <v>768</v>
      </c>
      <c r="C728" s="419" t="s">
        <v>115</v>
      </c>
      <c r="E728" s="385">
        <v>6.5274000000000001</v>
      </c>
      <c r="F728" s="41">
        <f t="shared" si="22"/>
        <v>0</v>
      </c>
    </row>
    <row r="729" spans="1:6" ht="14.4" hidden="1" x14ac:dyDescent="0.3">
      <c r="B729" s="420" t="s">
        <v>769</v>
      </c>
      <c r="C729" s="419" t="s">
        <v>115</v>
      </c>
      <c r="E729" s="385">
        <v>8.5974000000000004</v>
      </c>
      <c r="F729" s="41">
        <f t="shared" si="22"/>
        <v>0</v>
      </c>
    </row>
    <row r="730" spans="1:6" ht="14.4" hidden="1" x14ac:dyDescent="0.3">
      <c r="B730" s="420" t="s">
        <v>770</v>
      </c>
      <c r="C730" s="419" t="s">
        <v>115</v>
      </c>
      <c r="E730" s="385">
        <v>6.8999999999999995</v>
      </c>
      <c r="F730" s="41">
        <f t="shared" si="22"/>
        <v>0</v>
      </c>
    </row>
    <row r="731" spans="1:6" ht="14.4" hidden="1" x14ac:dyDescent="0.3">
      <c r="B731" s="420" t="s">
        <v>771</v>
      </c>
      <c r="C731" s="419" t="s">
        <v>115</v>
      </c>
      <c r="E731" s="385">
        <v>6.8999999999999995</v>
      </c>
      <c r="F731" s="41">
        <f t="shared" si="22"/>
        <v>0</v>
      </c>
    </row>
    <row r="732" spans="1:6" ht="14.4" hidden="1" x14ac:dyDescent="0.3">
      <c r="B732" s="420" t="s">
        <v>772</v>
      </c>
      <c r="C732" s="419" t="s">
        <v>115</v>
      </c>
      <c r="E732" s="385">
        <v>2.5667999999999997</v>
      </c>
      <c r="F732" s="41">
        <f t="shared" si="22"/>
        <v>0</v>
      </c>
    </row>
    <row r="733" spans="1:6" ht="14.4" hidden="1" x14ac:dyDescent="0.3">
      <c r="B733" s="420" t="s">
        <v>773</v>
      </c>
      <c r="C733" s="419" t="s">
        <v>115</v>
      </c>
      <c r="E733" s="385">
        <v>2.3308200000000001</v>
      </c>
      <c r="F733" s="41">
        <f t="shared" si="22"/>
        <v>0</v>
      </c>
    </row>
    <row r="734" spans="1:6" ht="14.4" hidden="1" x14ac:dyDescent="0.3">
      <c r="B734" s="420" t="s">
        <v>774</v>
      </c>
      <c r="C734" s="419" t="s">
        <v>115</v>
      </c>
      <c r="E734" s="385">
        <v>5.52</v>
      </c>
      <c r="F734" s="41">
        <f t="shared" si="22"/>
        <v>0</v>
      </c>
    </row>
    <row r="735" spans="1:6" ht="14.4" hidden="1" x14ac:dyDescent="0.3">
      <c r="B735" s="420" t="s">
        <v>775</v>
      </c>
      <c r="C735" s="419" t="s">
        <v>115</v>
      </c>
      <c r="E735" s="385">
        <v>2.6771999999999996</v>
      </c>
      <c r="F735" s="41">
        <f t="shared" si="22"/>
        <v>0</v>
      </c>
    </row>
    <row r="736" spans="1:6" ht="14.4" hidden="1" x14ac:dyDescent="0.3">
      <c r="B736" s="420" t="s">
        <v>776</v>
      </c>
      <c r="C736" s="419" t="s">
        <v>149</v>
      </c>
      <c r="E736" s="385">
        <v>6.8999999999999995</v>
      </c>
      <c r="F736" s="41">
        <f t="shared" si="22"/>
        <v>0</v>
      </c>
    </row>
    <row r="737" spans="2:6" ht="14.4" hidden="1" x14ac:dyDescent="0.3">
      <c r="B737" s="420" t="s">
        <v>777</v>
      </c>
      <c r="C737" s="419" t="s">
        <v>149</v>
      </c>
      <c r="E737" s="385">
        <v>5.52</v>
      </c>
      <c r="F737" s="41">
        <f t="shared" si="22"/>
        <v>0</v>
      </c>
    </row>
    <row r="738" spans="2:6" ht="14.4" hidden="1" x14ac:dyDescent="0.3">
      <c r="B738" s="420" t="s">
        <v>778</v>
      </c>
      <c r="C738" s="419" t="s">
        <v>149</v>
      </c>
      <c r="E738" s="385">
        <v>8.7354000000000003</v>
      </c>
      <c r="F738" s="41">
        <f t="shared" si="22"/>
        <v>0</v>
      </c>
    </row>
    <row r="739" spans="2:6" ht="14.4" hidden="1" x14ac:dyDescent="0.3">
      <c r="B739" s="420" t="s">
        <v>779</v>
      </c>
      <c r="C739" s="419" t="s">
        <v>149</v>
      </c>
      <c r="E739" s="385">
        <v>3.726</v>
      </c>
      <c r="F739" s="41">
        <f t="shared" si="22"/>
        <v>0</v>
      </c>
    </row>
    <row r="740" spans="2:6" ht="14.4" hidden="1" x14ac:dyDescent="0.3">
      <c r="B740" s="420" t="s">
        <v>780</v>
      </c>
      <c r="C740" s="419" t="s">
        <v>149</v>
      </c>
      <c r="E740" s="385">
        <v>2.8979999999999997</v>
      </c>
      <c r="F740" s="41">
        <f t="shared" si="22"/>
        <v>0</v>
      </c>
    </row>
    <row r="741" spans="2:6" ht="14.4" hidden="1" x14ac:dyDescent="0.3">
      <c r="B741" s="420" t="s">
        <v>781</v>
      </c>
      <c r="C741" s="419" t="s">
        <v>115</v>
      </c>
      <c r="E741" s="385">
        <v>3.5</v>
      </c>
      <c r="F741" s="41">
        <f t="shared" si="22"/>
        <v>0</v>
      </c>
    </row>
    <row r="742" spans="2:6" ht="14.4" hidden="1" x14ac:dyDescent="0.3">
      <c r="B742" s="420" t="s">
        <v>782</v>
      </c>
      <c r="C742" s="419" t="s">
        <v>115</v>
      </c>
      <c r="E742" s="385">
        <v>3</v>
      </c>
      <c r="F742" s="41">
        <f t="shared" si="22"/>
        <v>0</v>
      </c>
    </row>
    <row r="743" spans="2:6" ht="14.4" hidden="1" x14ac:dyDescent="0.3">
      <c r="B743" s="420" t="s">
        <v>783</v>
      </c>
      <c r="C743" s="419" t="s">
        <v>115</v>
      </c>
      <c r="E743" s="385">
        <v>2.3321999999999998</v>
      </c>
      <c r="F743" s="41">
        <f t="shared" si="22"/>
        <v>0</v>
      </c>
    </row>
    <row r="744" spans="2:6" ht="14.4" hidden="1" x14ac:dyDescent="0.3">
      <c r="B744" s="420" t="s">
        <v>783</v>
      </c>
      <c r="C744" s="419" t="s">
        <v>115</v>
      </c>
      <c r="E744" s="385">
        <v>2.33</v>
      </c>
      <c r="F744" s="41">
        <f t="shared" si="22"/>
        <v>0</v>
      </c>
    </row>
    <row r="745" spans="2:6" ht="14.4" hidden="1" x14ac:dyDescent="0.3">
      <c r="B745" s="420" t="s">
        <v>784</v>
      </c>
      <c r="C745" s="419" t="s">
        <v>115</v>
      </c>
      <c r="E745" s="385">
        <v>4.1399999999999997</v>
      </c>
      <c r="F745" s="41">
        <f t="shared" si="22"/>
        <v>0</v>
      </c>
    </row>
    <row r="746" spans="2:6" ht="14.4" hidden="1" x14ac:dyDescent="0.3">
      <c r="B746" s="420" t="s">
        <v>785</v>
      </c>
      <c r="C746" s="419" t="s">
        <v>115</v>
      </c>
      <c r="E746" s="385">
        <v>0.93840000000000001</v>
      </c>
      <c r="F746" s="41">
        <f t="shared" si="22"/>
        <v>0</v>
      </c>
    </row>
    <row r="747" spans="2:6" ht="14.4" hidden="1" x14ac:dyDescent="0.3">
      <c r="B747" s="420" t="s">
        <v>786</v>
      </c>
      <c r="C747" s="419" t="s">
        <v>115</v>
      </c>
      <c r="E747" s="385">
        <v>11.716199999999999</v>
      </c>
      <c r="F747" s="41">
        <f t="shared" si="22"/>
        <v>0</v>
      </c>
    </row>
    <row r="748" spans="2:6" ht="14.4" hidden="1" x14ac:dyDescent="0.3">
      <c r="B748" s="420" t="s">
        <v>787</v>
      </c>
      <c r="C748" s="419" t="s">
        <v>149</v>
      </c>
      <c r="E748" s="452">
        <v>14</v>
      </c>
      <c r="F748" s="41">
        <f t="shared" si="22"/>
        <v>0</v>
      </c>
    </row>
    <row r="749" spans="2:6" ht="14.4" hidden="1" x14ac:dyDescent="0.3">
      <c r="B749" s="420" t="s">
        <v>788</v>
      </c>
      <c r="C749" s="419" t="s">
        <v>149</v>
      </c>
      <c r="E749" s="452">
        <v>6</v>
      </c>
      <c r="F749" s="41">
        <f t="shared" si="22"/>
        <v>0</v>
      </c>
    </row>
    <row r="750" spans="2:6" ht="14.4" hidden="1" x14ac:dyDescent="0.3">
      <c r="B750" s="420"/>
      <c r="C750" s="419"/>
      <c r="E750" s="419"/>
      <c r="F750" s="41">
        <f t="shared" si="22"/>
        <v>0</v>
      </c>
    </row>
    <row r="751" spans="2:6" ht="14.4" hidden="1" x14ac:dyDescent="0.3">
      <c r="B751" s="420" t="s">
        <v>789</v>
      </c>
      <c r="C751" s="419" t="s">
        <v>115</v>
      </c>
      <c r="E751" s="452">
        <v>40</v>
      </c>
      <c r="F751" s="41">
        <f t="shared" si="22"/>
        <v>0</v>
      </c>
    </row>
    <row r="752" spans="2:6" ht="14.4" hidden="1" x14ac:dyDescent="0.3">
      <c r="B752" s="420" t="s">
        <v>790</v>
      </c>
      <c r="C752" s="419" t="s">
        <v>115</v>
      </c>
      <c r="E752" s="452">
        <v>30</v>
      </c>
      <c r="F752" s="41">
        <f t="shared" si="22"/>
        <v>0</v>
      </c>
    </row>
    <row r="753" spans="2:6" ht="14.4" hidden="1" x14ac:dyDescent="0.3">
      <c r="B753" s="420" t="s">
        <v>791</v>
      </c>
      <c r="C753" s="419" t="s">
        <v>115</v>
      </c>
      <c r="E753" s="452">
        <v>33</v>
      </c>
      <c r="F753" s="41">
        <f t="shared" si="22"/>
        <v>0</v>
      </c>
    </row>
    <row r="754" spans="2:6" ht="14.4" hidden="1" x14ac:dyDescent="0.3">
      <c r="B754" s="420" t="s">
        <v>792</v>
      </c>
      <c r="C754" s="419" t="s">
        <v>115</v>
      </c>
      <c r="E754" s="452">
        <v>23.26</v>
      </c>
      <c r="F754" s="41">
        <f t="shared" si="22"/>
        <v>0</v>
      </c>
    </row>
    <row r="755" spans="2:6" ht="14.4" hidden="1" x14ac:dyDescent="0.3">
      <c r="B755" s="420" t="s">
        <v>793</v>
      </c>
      <c r="C755" s="419" t="s">
        <v>115</v>
      </c>
      <c r="E755" s="452">
        <v>50</v>
      </c>
      <c r="F755" s="41">
        <f t="shared" ref="F755:F786" si="23">E755*D755</f>
        <v>0</v>
      </c>
    </row>
    <row r="756" spans="2:6" ht="14.4" hidden="1" x14ac:dyDescent="0.3">
      <c r="B756" s="420" t="s">
        <v>794</v>
      </c>
      <c r="C756" s="419" t="s">
        <v>115</v>
      </c>
      <c r="E756" s="452">
        <v>7.65</v>
      </c>
      <c r="F756" s="41">
        <f t="shared" si="23"/>
        <v>0</v>
      </c>
    </row>
    <row r="757" spans="2:6" ht="14.4" hidden="1" x14ac:dyDescent="0.3">
      <c r="B757" s="420" t="s">
        <v>795</v>
      </c>
      <c r="C757" s="419" t="s">
        <v>115</v>
      </c>
      <c r="E757" s="452">
        <v>7.65</v>
      </c>
      <c r="F757" s="41">
        <f t="shared" si="23"/>
        <v>0</v>
      </c>
    </row>
    <row r="758" spans="2:6" ht="14.4" hidden="1" x14ac:dyDescent="0.3">
      <c r="B758" s="420" t="s">
        <v>796</v>
      </c>
      <c r="C758" s="419" t="s">
        <v>115</v>
      </c>
      <c r="E758" s="452">
        <v>13.59</v>
      </c>
      <c r="F758" s="41">
        <f t="shared" si="23"/>
        <v>0</v>
      </c>
    </row>
    <row r="759" spans="2:6" ht="14.4" hidden="1" x14ac:dyDescent="0.3">
      <c r="B759" s="420" t="s">
        <v>797</v>
      </c>
      <c r="C759" s="419" t="s">
        <v>115</v>
      </c>
      <c r="E759" s="452">
        <v>0</v>
      </c>
      <c r="F759" s="41">
        <f t="shared" si="23"/>
        <v>0</v>
      </c>
    </row>
    <row r="760" spans="2:6" ht="14.4" hidden="1" x14ac:dyDescent="0.3">
      <c r="B760" s="420" t="s">
        <v>798</v>
      </c>
      <c r="C760" s="419" t="s">
        <v>115</v>
      </c>
      <c r="E760" s="452">
        <v>75</v>
      </c>
      <c r="F760" s="41">
        <f t="shared" si="23"/>
        <v>0</v>
      </c>
    </row>
    <row r="761" spans="2:6" ht="14.4" hidden="1" x14ac:dyDescent="0.3">
      <c r="B761" s="420"/>
      <c r="C761" s="419"/>
      <c r="E761" s="420"/>
      <c r="F761" s="41">
        <f t="shared" si="23"/>
        <v>0</v>
      </c>
    </row>
    <row r="762" spans="2:6" ht="14.4" hidden="1" x14ac:dyDescent="0.3">
      <c r="B762" s="420" t="s">
        <v>799</v>
      </c>
      <c r="C762" s="419" t="s">
        <v>115</v>
      </c>
      <c r="E762" s="452">
        <v>2</v>
      </c>
      <c r="F762" s="41">
        <f t="shared" si="23"/>
        <v>0</v>
      </c>
    </row>
    <row r="763" spans="2:6" ht="14.4" hidden="1" x14ac:dyDescent="0.3">
      <c r="B763" s="420" t="s">
        <v>800</v>
      </c>
      <c r="C763" s="419" t="s">
        <v>115</v>
      </c>
      <c r="E763" s="452">
        <v>1.5</v>
      </c>
      <c r="F763" s="41">
        <f t="shared" si="23"/>
        <v>0</v>
      </c>
    </row>
    <row r="764" spans="2:6" ht="14.4" hidden="1" x14ac:dyDescent="0.3">
      <c r="B764" s="420" t="s">
        <v>491</v>
      </c>
      <c r="C764" s="419" t="s">
        <v>149</v>
      </c>
      <c r="E764" s="452">
        <f>E645</f>
        <v>0</v>
      </c>
      <c r="F764" s="41">
        <f t="shared" si="23"/>
        <v>0</v>
      </c>
    </row>
    <row r="765" spans="2:6" ht="14.4" hidden="1" x14ac:dyDescent="0.3">
      <c r="B765" s="420"/>
      <c r="C765" s="419"/>
      <c r="E765" s="452"/>
      <c r="F765" s="41">
        <f t="shared" si="23"/>
        <v>0</v>
      </c>
    </row>
    <row r="766" spans="2:6" ht="14.4" hidden="1" x14ac:dyDescent="0.3">
      <c r="B766" s="420" t="s">
        <v>801</v>
      </c>
      <c r="C766" s="419" t="s">
        <v>115</v>
      </c>
      <c r="E766" s="452">
        <v>26.4</v>
      </c>
      <c r="F766" s="41">
        <f t="shared" si="23"/>
        <v>0</v>
      </c>
    </row>
    <row r="767" spans="2:6" ht="14.4" hidden="1" x14ac:dyDescent="0.3">
      <c r="B767" s="420" t="s">
        <v>802</v>
      </c>
      <c r="C767" s="419" t="s">
        <v>115</v>
      </c>
      <c r="E767" s="452">
        <v>23</v>
      </c>
      <c r="F767" s="41">
        <f t="shared" si="23"/>
        <v>0</v>
      </c>
    </row>
    <row r="768" spans="2:6" ht="14.4" hidden="1" x14ac:dyDescent="0.3">
      <c r="B768" s="420" t="s">
        <v>803</v>
      </c>
      <c r="C768" s="419" t="s">
        <v>115</v>
      </c>
      <c r="E768" s="452">
        <v>75</v>
      </c>
      <c r="F768" s="41">
        <f t="shared" si="23"/>
        <v>0</v>
      </c>
    </row>
    <row r="769" spans="2:6" ht="14.4" hidden="1" x14ac:dyDescent="0.3">
      <c r="B769" s="420" t="s">
        <v>804</v>
      </c>
      <c r="C769" s="419" t="s">
        <v>115</v>
      </c>
      <c r="E769" s="452">
        <v>22</v>
      </c>
      <c r="F769" s="41">
        <f t="shared" si="23"/>
        <v>0</v>
      </c>
    </row>
    <row r="770" spans="2:6" ht="14.4" hidden="1" x14ac:dyDescent="0.3">
      <c r="B770" s="420" t="s">
        <v>805</v>
      </c>
      <c r="C770" s="419" t="s">
        <v>115</v>
      </c>
      <c r="E770" s="452">
        <v>10</v>
      </c>
      <c r="F770" s="41">
        <f t="shared" si="23"/>
        <v>0</v>
      </c>
    </row>
    <row r="771" spans="2:6" ht="14.4" hidden="1" x14ac:dyDescent="0.3">
      <c r="B771" s="420"/>
      <c r="C771" s="419"/>
      <c r="E771" s="452"/>
      <c r="F771" s="41">
        <f t="shared" si="23"/>
        <v>0</v>
      </c>
    </row>
    <row r="772" spans="2:6" ht="14.4" hidden="1" x14ac:dyDescent="0.3">
      <c r="B772" s="420" t="s">
        <v>806</v>
      </c>
      <c r="C772" s="419" t="s">
        <v>115</v>
      </c>
      <c r="E772" s="452">
        <v>520</v>
      </c>
      <c r="F772" s="41">
        <f t="shared" si="23"/>
        <v>0</v>
      </c>
    </row>
    <row r="773" spans="2:6" ht="14.4" hidden="1" x14ac:dyDescent="0.3">
      <c r="B773" s="420" t="s">
        <v>807</v>
      </c>
      <c r="C773" s="419" t="s">
        <v>115</v>
      </c>
      <c r="E773" s="452">
        <v>230</v>
      </c>
      <c r="F773" s="41">
        <f t="shared" si="23"/>
        <v>0</v>
      </c>
    </row>
    <row r="774" spans="2:6" ht="14.4" hidden="1" x14ac:dyDescent="0.3">
      <c r="B774" s="420" t="s">
        <v>808</v>
      </c>
      <c r="C774" s="419" t="s">
        <v>115</v>
      </c>
      <c r="E774" s="452">
        <v>2800</v>
      </c>
      <c r="F774" s="41">
        <f t="shared" si="23"/>
        <v>0</v>
      </c>
    </row>
    <row r="775" spans="2:6" ht="14.4" hidden="1" x14ac:dyDescent="0.3">
      <c r="B775" s="420" t="s">
        <v>809</v>
      </c>
      <c r="C775" s="419" t="s">
        <v>115</v>
      </c>
      <c r="E775" s="452">
        <v>950</v>
      </c>
      <c r="F775" s="41">
        <f t="shared" si="23"/>
        <v>0</v>
      </c>
    </row>
    <row r="776" spans="2:6" ht="14.4" hidden="1" x14ac:dyDescent="0.3">
      <c r="B776" s="420" t="s">
        <v>745</v>
      </c>
      <c r="C776" s="419" t="s">
        <v>115</v>
      </c>
      <c r="E776" s="452">
        <v>1250</v>
      </c>
      <c r="F776" s="41">
        <f t="shared" si="23"/>
        <v>0</v>
      </c>
    </row>
    <row r="777" spans="2:6" ht="14.4" hidden="1" x14ac:dyDescent="0.3">
      <c r="B777" s="420" t="s">
        <v>810</v>
      </c>
      <c r="C777" s="419" t="s">
        <v>115</v>
      </c>
      <c r="E777" s="455">
        <v>200</v>
      </c>
      <c r="F777" s="41">
        <f t="shared" si="23"/>
        <v>0</v>
      </c>
    </row>
    <row r="778" spans="2:6" ht="14.4" hidden="1" x14ac:dyDescent="0.3">
      <c r="B778" s="420" t="s">
        <v>811</v>
      </c>
      <c r="C778" s="419" t="s">
        <v>115</v>
      </c>
      <c r="E778" s="455">
        <v>60</v>
      </c>
      <c r="F778" s="41">
        <f t="shared" si="23"/>
        <v>0</v>
      </c>
    </row>
    <row r="779" spans="2:6" ht="14.4" hidden="1" x14ac:dyDescent="0.3">
      <c r="B779" s="420" t="s">
        <v>812</v>
      </c>
      <c r="C779" s="419" t="s">
        <v>115</v>
      </c>
      <c r="E779" s="455">
        <v>120</v>
      </c>
      <c r="F779" s="41">
        <f t="shared" si="23"/>
        <v>0</v>
      </c>
    </row>
    <row r="780" spans="2:6" ht="14.4" hidden="1" x14ac:dyDescent="0.3">
      <c r="B780" s="420" t="s">
        <v>813</v>
      </c>
      <c r="C780" s="419" t="s">
        <v>115</v>
      </c>
      <c r="E780" s="452">
        <v>61.33</v>
      </c>
      <c r="F780" s="41">
        <f t="shared" si="23"/>
        <v>0</v>
      </c>
    </row>
    <row r="781" spans="2:6" ht="14.4" hidden="1" x14ac:dyDescent="0.3">
      <c r="B781" s="420" t="s">
        <v>814</v>
      </c>
      <c r="C781" s="419" t="s">
        <v>115</v>
      </c>
      <c r="E781" s="455">
        <v>100</v>
      </c>
      <c r="F781" s="41">
        <f t="shared" si="23"/>
        <v>0</v>
      </c>
    </row>
    <row r="782" spans="2:6" ht="28.8" hidden="1" x14ac:dyDescent="0.3">
      <c r="B782" s="425" t="s">
        <v>815</v>
      </c>
      <c r="C782" s="419" t="s">
        <v>115</v>
      </c>
      <c r="E782" s="455">
        <v>250</v>
      </c>
      <c r="F782" s="41">
        <f t="shared" si="23"/>
        <v>0</v>
      </c>
    </row>
    <row r="783" spans="2:6" ht="43.2" hidden="1" x14ac:dyDescent="0.3">
      <c r="B783" s="425" t="s">
        <v>816</v>
      </c>
      <c r="C783" s="419" t="s">
        <v>115</v>
      </c>
      <c r="E783" s="455">
        <v>250</v>
      </c>
      <c r="F783" s="41">
        <f t="shared" si="23"/>
        <v>0</v>
      </c>
    </row>
    <row r="784" spans="2:6" ht="14.4" hidden="1" x14ac:dyDescent="0.3">
      <c r="B784" s="425" t="s">
        <v>817</v>
      </c>
      <c r="C784" s="419" t="s">
        <v>115</v>
      </c>
      <c r="E784" s="452">
        <v>300</v>
      </c>
      <c r="F784" s="41">
        <f t="shared" si="23"/>
        <v>0</v>
      </c>
    </row>
    <row r="785" spans="1:6" ht="14.4" hidden="1" x14ac:dyDescent="0.3">
      <c r="B785" s="425" t="s">
        <v>818</v>
      </c>
      <c r="C785" s="419" t="s">
        <v>115</v>
      </c>
      <c r="E785" s="455">
        <v>1200</v>
      </c>
      <c r="F785" s="41">
        <f t="shared" si="23"/>
        <v>0</v>
      </c>
    </row>
    <row r="786" spans="1:6" ht="14.4" hidden="1" x14ac:dyDescent="0.3">
      <c r="B786" s="425" t="s">
        <v>819</v>
      </c>
      <c r="C786" s="419" t="s">
        <v>115</v>
      </c>
      <c r="E786" s="455">
        <v>350</v>
      </c>
      <c r="F786" s="41">
        <f t="shared" si="23"/>
        <v>0</v>
      </c>
    </row>
    <row r="787" spans="1:6" ht="14.4" x14ac:dyDescent="0.3">
      <c r="B787" s="425"/>
      <c r="C787" s="419"/>
      <c r="E787" s="455"/>
    </row>
    <row r="788" spans="1:6" ht="14.4" x14ac:dyDescent="0.3">
      <c r="B788" s="425"/>
      <c r="C788" s="419"/>
      <c r="E788" s="455"/>
    </row>
    <row r="789" spans="1:6" ht="14.4" x14ac:dyDescent="0.3">
      <c r="B789" s="496" t="s">
        <v>820</v>
      </c>
      <c r="C789" s="497" t="s">
        <v>115</v>
      </c>
      <c r="D789" s="447">
        <v>1</v>
      </c>
      <c r="E789" s="498">
        <v>1088</v>
      </c>
      <c r="F789" s="448">
        <f>E789*D789</f>
        <v>1088</v>
      </c>
    </row>
    <row r="790" spans="1:6" ht="14.4" x14ac:dyDescent="0.3">
      <c r="B790" s="496" t="s">
        <v>821</v>
      </c>
      <c r="C790" s="497"/>
      <c r="D790" s="447">
        <v>2</v>
      </c>
      <c r="E790" s="498">
        <v>63.16</v>
      </c>
      <c r="F790" s="448">
        <f>E790*D790</f>
        <v>126.32</v>
      </c>
    </row>
    <row r="791" spans="1:6" ht="14.4" x14ac:dyDescent="0.3">
      <c r="B791" s="496" t="s">
        <v>822</v>
      </c>
      <c r="C791" s="497"/>
      <c r="D791" s="447">
        <v>1</v>
      </c>
      <c r="E791" s="498">
        <v>320</v>
      </c>
      <c r="F791" s="448">
        <f>E791*D791</f>
        <v>320</v>
      </c>
    </row>
    <row r="792" spans="1:6" ht="14.4" x14ac:dyDescent="0.3">
      <c r="B792" s="496"/>
      <c r="C792" s="497"/>
      <c r="D792" s="447"/>
      <c r="E792" s="498"/>
      <c r="F792" s="448"/>
    </row>
    <row r="793" spans="1:6" ht="14.4" x14ac:dyDescent="0.3">
      <c r="B793" s="496"/>
      <c r="C793" s="497"/>
      <c r="D793" s="447"/>
      <c r="E793" s="498"/>
      <c r="F793" s="448"/>
    </row>
    <row r="794" spans="1:6" ht="14.4" x14ac:dyDescent="0.3">
      <c r="B794" s="496"/>
      <c r="C794" s="497"/>
      <c r="D794" s="447"/>
      <c r="E794" s="498"/>
      <c r="F794" s="448"/>
    </row>
    <row r="796" spans="1:6" ht="14.4" x14ac:dyDescent="0.3">
      <c r="B796" s="325" t="s">
        <v>823</v>
      </c>
    </row>
    <row r="797" spans="1:6" ht="14.4" x14ac:dyDescent="0.3">
      <c r="B797" s="327" t="s">
        <v>354</v>
      </c>
    </row>
    <row r="798" spans="1:6" x14ac:dyDescent="0.2">
      <c r="A798" s="38" t="s">
        <v>243</v>
      </c>
    </row>
    <row r="800" spans="1:6" ht="14.4" hidden="1" x14ac:dyDescent="0.3">
      <c r="B800" s="38" t="s">
        <v>824</v>
      </c>
      <c r="C800" s="419" t="s">
        <v>149</v>
      </c>
      <c r="E800" s="385">
        <f>58/5</f>
        <v>11.6</v>
      </c>
      <c r="F800" s="41">
        <f t="shared" ref="F800:F815" si="24">E800*D800</f>
        <v>0</v>
      </c>
    </row>
    <row r="801" spans="2:6" ht="15.75" hidden="1" customHeight="1" x14ac:dyDescent="0.2">
      <c r="B801" s="38" t="s">
        <v>825</v>
      </c>
      <c r="C801" s="40" t="s">
        <v>115</v>
      </c>
      <c r="E801" s="41">
        <v>10</v>
      </c>
      <c r="F801" s="41">
        <f t="shared" si="24"/>
        <v>0</v>
      </c>
    </row>
    <row r="802" spans="2:6" hidden="1" x14ac:dyDescent="0.2">
      <c r="B802" s="38" t="s">
        <v>826</v>
      </c>
      <c r="C802" s="40" t="s">
        <v>115</v>
      </c>
      <c r="E802" s="41">
        <v>5.16</v>
      </c>
      <c r="F802" s="41">
        <f t="shared" si="24"/>
        <v>0</v>
      </c>
    </row>
    <row r="803" spans="2:6" hidden="1" x14ac:dyDescent="0.2">
      <c r="B803" s="38" t="s">
        <v>827</v>
      </c>
      <c r="C803" s="40" t="s">
        <v>115</v>
      </c>
      <c r="E803" s="41">
        <v>8.35</v>
      </c>
      <c r="F803" s="41">
        <f t="shared" si="24"/>
        <v>0</v>
      </c>
    </row>
    <row r="804" spans="2:6" hidden="1" x14ac:dyDescent="0.2">
      <c r="B804" s="38" t="s">
        <v>828</v>
      </c>
      <c r="C804" s="40" t="s">
        <v>149</v>
      </c>
      <c r="E804" s="41">
        <v>10</v>
      </c>
      <c r="F804" s="41">
        <f t="shared" si="24"/>
        <v>0</v>
      </c>
    </row>
    <row r="805" spans="2:6" hidden="1" x14ac:dyDescent="0.2">
      <c r="B805" s="38" t="s">
        <v>829</v>
      </c>
      <c r="C805" s="40" t="s">
        <v>115</v>
      </c>
      <c r="E805" s="41">
        <v>4</v>
      </c>
      <c r="F805" s="41">
        <f t="shared" si="24"/>
        <v>0</v>
      </c>
    </row>
    <row r="806" spans="2:6" hidden="1" x14ac:dyDescent="0.2">
      <c r="B806" s="38" t="s">
        <v>830</v>
      </c>
      <c r="C806" s="40" t="s">
        <v>115</v>
      </c>
      <c r="E806" s="41">
        <v>15</v>
      </c>
      <c r="F806" s="41">
        <f t="shared" si="24"/>
        <v>0</v>
      </c>
    </row>
    <row r="807" spans="2:6" hidden="1" x14ac:dyDescent="0.2">
      <c r="B807" s="38" t="s">
        <v>831</v>
      </c>
      <c r="C807" s="40" t="s">
        <v>115</v>
      </c>
      <c r="E807" s="41">
        <v>8</v>
      </c>
      <c r="F807" s="41">
        <f t="shared" si="24"/>
        <v>0</v>
      </c>
    </row>
    <row r="808" spans="2:6" hidden="1" x14ac:dyDescent="0.2">
      <c r="B808" s="38" t="s">
        <v>832</v>
      </c>
      <c r="C808" s="40" t="s">
        <v>115</v>
      </c>
      <c r="E808" s="41">
        <v>5.16</v>
      </c>
      <c r="F808" s="41">
        <f t="shared" si="24"/>
        <v>0</v>
      </c>
    </row>
    <row r="809" spans="2:6" hidden="1" x14ac:dyDescent="0.2">
      <c r="B809" s="38" t="s">
        <v>833</v>
      </c>
      <c r="C809" s="40" t="s">
        <v>149</v>
      </c>
      <c r="E809" s="41">
        <v>8</v>
      </c>
      <c r="F809" s="41">
        <f t="shared" si="24"/>
        <v>0</v>
      </c>
    </row>
    <row r="810" spans="2:6" hidden="1" x14ac:dyDescent="0.2">
      <c r="B810" s="38" t="s">
        <v>834</v>
      </c>
      <c r="C810" s="40" t="s">
        <v>115</v>
      </c>
      <c r="E810" s="41">
        <v>4</v>
      </c>
      <c r="F810" s="41">
        <f t="shared" si="24"/>
        <v>0</v>
      </c>
    </row>
    <row r="811" spans="2:6" hidden="1" x14ac:dyDescent="0.2">
      <c r="B811" s="38" t="s">
        <v>835</v>
      </c>
      <c r="C811" s="40" t="s">
        <v>115</v>
      </c>
      <c r="E811" s="41">
        <v>5</v>
      </c>
      <c r="F811" s="41">
        <f t="shared" si="24"/>
        <v>0</v>
      </c>
    </row>
    <row r="812" spans="2:6" hidden="1" x14ac:dyDescent="0.2">
      <c r="B812" s="38" t="s">
        <v>836</v>
      </c>
      <c r="C812" s="40" t="s">
        <v>115</v>
      </c>
      <c r="E812" s="41">
        <v>7</v>
      </c>
      <c r="F812" s="41">
        <f t="shared" si="24"/>
        <v>0</v>
      </c>
    </row>
    <row r="813" spans="2:6" hidden="1" x14ac:dyDescent="0.2">
      <c r="B813" s="38" t="s">
        <v>837</v>
      </c>
      <c r="C813" s="40" t="s">
        <v>115</v>
      </c>
      <c r="E813" s="41">
        <v>4</v>
      </c>
      <c r="F813" s="41">
        <f t="shared" si="24"/>
        <v>0</v>
      </c>
    </row>
    <row r="814" spans="2:6" hidden="1" x14ac:dyDescent="0.2">
      <c r="B814" s="38" t="s">
        <v>838</v>
      </c>
      <c r="C814" s="40" t="s">
        <v>115</v>
      </c>
      <c r="E814" s="41">
        <v>100</v>
      </c>
      <c r="F814" s="41">
        <f t="shared" si="24"/>
        <v>0</v>
      </c>
    </row>
    <row r="815" spans="2:6" hidden="1" x14ac:dyDescent="0.2">
      <c r="B815" s="38" t="s">
        <v>839</v>
      </c>
      <c r="C815" s="40" t="s">
        <v>115</v>
      </c>
      <c r="E815" s="41">
        <v>80</v>
      </c>
      <c r="F815" s="41">
        <f t="shared" si="24"/>
        <v>0</v>
      </c>
    </row>
    <row r="817" spans="1:6" ht="14.4" x14ac:dyDescent="0.3">
      <c r="B817" s="325" t="s">
        <v>840</v>
      </c>
    </row>
    <row r="818" spans="1:6" ht="14.4" x14ac:dyDescent="0.3">
      <c r="B818" s="327" t="s">
        <v>354</v>
      </c>
    </row>
    <row r="819" spans="1:6" ht="14.4" x14ac:dyDescent="0.3">
      <c r="B819" s="420"/>
    </row>
    <row r="820" spans="1:6" ht="14.4" x14ac:dyDescent="0.3">
      <c r="A820" s="38" t="s">
        <v>243</v>
      </c>
      <c r="B820" s="420"/>
    </row>
    <row r="821" spans="1:6" ht="14.4" hidden="1" x14ac:dyDescent="0.3">
      <c r="B821" s="420" t="s">
        <v>841</v>
      </c>
      <c r="C821" s="419" t="s">
        <v>149</v>
      </c>
      <c r="E821" s="385">
        <v>165.6</v>
      </c>
      <c r="F821" s="41">
        <f t="shared" ref="F821:F852" si="25">E821*D821</f>
        <v>0</v>
      </c>
    </row>
    <row r="822" spans="1:6" ht="14.4" hidden="1" x14ac:dyDescent="0.3">
      <c r="B822" s="420" t="s">
        <v>842</v>
      </c>
      <c r="C822" s="419" t="s">
        <v>149</v>
      </c>
      <c r="E822" s="385">
        <v>89.699999999999989</v>
      </c>
      <c r="F822" s="41">
        <f t="shared" si="25"/>
        <v>0</v>
      </c>
    </row>
    <row r="823" spans="1:6" ht="14.4" hidden="1" x14ac:dyDescent="0.3">
      <c r="B823" s="420" t="s">
        <v>843</v>
      </c>
      <c r="C823" s="419" t="s">
        <v>149</v>
      </c>
      <c r="E823" s="385">
        <v>66.239999999999995</v>
      </c>
      <c r="F823" s="41">
        <f t="shared" si="25"/>
        <v>0</v>
      </c>
    </row>
    <row r="824" spans="1:6" ht="14.4" hidden="1" x14ac:dyDescent="0.3">
      <c r="B824" s="420" t="s">
        <v>844</v>
      </c>
      <c r="C824" s="419" t="s">
        <v>149</v>
      </c>
      <c r="E824" s="385">
        <v>0</v>
      </c>
      <c r="F824" s="41">
        <f t="shared" si="25"/>
        <v>0</v>
      </c>
    </row>
    <row r="825" spans="1:6" ht="14.4" hidden="1" x14ac:dyDescent="0.3">
      <c r="B825" s="420" t="s">
        <v>845</v>
      </c>
      <c r="C825" s="419" t="s">
        <v>149</v>
      </c>
      <c r="E825" s="385">
        <v>85.104599999999991</v>
      </c>
      <c r="F825" s="41">
        <f t="shared" si="25"/>
        <v>0</v>
      </c>
    </row>
    <row r="826" spans="1:6" ht="14.4" hidden="1" x14ac:dyDescent="0.3">
      <c r="B826" s="420" t="s">
        <v>846</v>
      </c>
      <c r="C826" s="419" t="s">
        <v>149</v>
      </c>
      <c r="E826" s="385">
        <v>84.179999999999993</v>
      </c>
      <c r="F826" s="41">
        <f t="shared" si="25"/>
        <v>0</v>
      </c>
    </row>
    <row r="827" spans="1:6" ht="14.4" hidden="1" x14ac:dyDescent="0.3">
      <c r="B827" s="420" t="s">
        <v>847</v>
      </c>
      <c r="C827" s="419" t="s">
        <v>149</v>
      </c>
      <c r="E827" s="385">
        <v>68.77</v>
      </c>
      <c r="F827" s="41">
        <f t="shared" si="25"/>
        <v>0</v>
      </c>
    </row>
    <row r="828" spans="1:6" ht="14.4" hidden="1" x14ac:dyDescent="0.3">
      <c r="B828" s="420" t="s">
        <v>848</v>
      </c>
      <c r="C828" s="419" t="s">
        <v>149</v>
      </c>
      <c r="E828" s="385">
        <v>55.199999999999996</v>
      </c>
      <c r="F828" s="41">
        <f t="shared" si="25"/>
        <v>0</v>
      </c>
    </row>
    <row r="829" spans="1:6" ht="14.4" hidden="1" x14ac:dyDescent="0.3">
      <c r="B829" s="420" t="s">
        <v>849</v>
      </c>
      <c r="C829" s="419" t="s">
        <v>149</v>
      </c>
      <c r="E829" s="385">
        <v>55.199999999999996</v>
      </c>
      <c r="F829" s="41">
        <f t="shared" si="25"/>
        <v>0</v>
      </c>
    </row>
    <row r="830" spans="1:6" ht="14.4" hidden="1" x14ac:dyDescent="0.3">
      <c r="B830" s="420" t="s">
        <v>850</v>
      </c>
      <c r="C830" s="419" t="s">
        <v>149</v>
      </c>
      <c r="E830" s="385">
        <v>42.779999999999994</v>
      </c>
      <c r="F830" s="41">
        <f t="shared" si="25"/>
        <v>0</v>
      </c>
    </row>
    <row r="831" spans="1:6" ht="14.4" hidden="1" x14ac:dyDescent="0.3">
      <c r="B831" s="420" t="s">
        <v>851</v>
      </c>
      <c r="C831" s="419" t="s">
        <v>149</v>
      </c>
      <c r="E831" s="385">
        <v>32.659999999999997</v>
      </c>
      <c r="F831" s="41">
        <f t="shared" si="25"/>
        <v>0</v>
      </c>
    </row>
    <row r="832" spans="1:6" ht="14.4" hidden="1" x14ac:dyDescent="0.3">
      <c r="B832" s="420" t="s">
        <v>852</v>
      </c>
      <c r="C832" s="419" t="s">
        <v>149</v>
      </c>
      <c r="E832" s="385">
        <v>19.549999999999997</v>
      </c>
      <c r="F832" s="41">
        <f t="shared" si="25"/>
        <v>0</v>
      </c>
    </row>
    <row r="833" spans="2:6" ht="14.4" hidden="1" x14ac:dyDescent="0.3">
      <c r="B833" s="420" t="s">
        <v>853</v>
      </c>
      <c r="C833" s="419" t="s">
        <v>149</v>
      </c>
      <c r="E833" s="385">
        <v>16.099999999999998</v>
      </c>
      <c r="F833" s="41">
        <f t="shared" si="25"/>
        <v>0</v>
      </c>
    </row>
    <row r="834" spans="2:6" ht="14.4" hidden="1" x14ac:dyDescent="0.3">
      <c r="B834" s="420" t="s">
        <v>854</v>
      </c>
      <c r="C834" s="419" t="s">
        <v>149</v>
      </c>
      <c r="E834" s="385">
        <v>19.549999999999997</v>
      </c>
      <c r="F834" s="41">
        <f t="shared" si="25"/>
        <v>0</v>
      </c>
    </row>
    <row r="835" spans="2:6" ht="14.4" hidden="1" x14ac:dyDescent="0.3">
      <c r="B835" s="420" t="s">
        <v>853</v>
      </c>
      <c r="C835" s="419" t="s">
        <v>149</v>
      </c>
      <c r="E835" s="385">
        <v>16.559999999999999</v>
      </c>
      <c r="F835" s="41">
        <f t="shared" si="25"/>
        <v>0</v>
      </c>
    </row>
    <row r="836" spans="2:6" ht="14.4" hidden="1" x14ac:dyDescent="0.3">
      <c r="B836" s="420" t="s">
        <v>764</v>
      </c>
      <c r="C836" s="419" t="s">
        <v>149</v>
      </c>
      <c r="E836" s="385">
        <f>(2415.3/(83*6))*1.38</f>
        <v>6.6930000000000005</v>
      </c>
      <c r="F836" s="41">
        <f t="shared" si="25"/>
        <v>0</v>
      </c>
    </row>
    <row r="837" spans="2:6" ht="14.4" hidden="1" x14ac:dyDescent="0.3">
      <c r="B837" s="420" t="s">
        <v>855</v>
      </c>
      <c r="C837" s="419" t="s">
        <v>149</v>
      </c>
      <c r="E837" s="385">
        <v>6.8999999999999995</v>
      </c>
      <c r="F837" s="41">
        <f t="shared" si="25"/>
        <v>0</v>
      </c>
    </row>
    <row r="838" spans="2:6" ht="14.4" hidden="1" x14ac:dyDescent="0.3">
      <c r="B838" s="420" t="s">
        <v>856</v>
      </c>
      <c r="C838" s="419" t="s">
        <v>149</v>
      </c>
      <c r="E838" s="385">
        <f>(2415.3/(83*6))*1.38</f>
        <v>6.6930000000000005</v>
      </c>
      <c r="F838" s="41">
        <f t="shared" si="25"/>
        <v>0</v>
      </c>
    </row>
    <row r="839" spans="2:6" ht="14.4" hidden="1" x14ac:dyDescent="0.3">
      <c r="B839" s="420"/>
      <c r="C839" s="419"/>
      <c r="E839" s="385">
        <v>0</v>
      </c>
      <c r="F839" s="41">
        <f t="shared" si="25"/>
        <v>0</v>
      </c>
    </row>
    <row r="840" spans="2:6" ht="14.4" hidden="1" x14ac:dyDescent="0.3">
      <c r="B840" s="456" t="s">
        <v>857</v>
      </c>
      <c r="C840" s="419"/>
      <c r="E840" s="385">
        <v>0</v>
      </c>
      <c r="F840" s="41">
        <f t="shared" si="25"/>
        <v>0</v>
      </c>
    </row>
    <row r="841" spans="2:6" ht="14.4" hidden="1" x14ac:dyDescent="0.3">
      <c r="B841" s="420"/>
      <c r="C841" s="419" t="s">
        <v>115</v>
      </c>
      <c r="E841" s="385">
        <v>0</v>
      </c>
      <c r="F841" s="41">
        <f t="shared" si="25"/>
        <v>0</v>
      </c>
    </row>
    <row r="842" spans="2:6" ht="14.4" hidden="1" x14ac:dyDescent="0.3">
      <c r="B842" t="s">
        <v>858</v>
      </c>
      <c r="C842" s="419" t="s">
        <v>115</v>
      </c>
      <c r="E842" s="385">
        <v>676.19999999999993</v>
      </c>
      <c r="F842" s="41">
        <f t="shared" si="25"/>
        <v>0</v>
      </c>
    </row>
    <row r="843" spans="2:6" ht="14.4" hidden="1" x14ac:dyDescent="0.3">
      <c r="B843" t="s">
        <v>859</v>
      </c>
      <c r="C843" s="419" t="s">
        <v>115</v>
      </c>
      <c r="E843" s="385">
        <v>896.99999999999989</v>
      </c>
      <c r="F843" s="41">
        <f t="shared" si="25"/>
        <v>0</v>
      </c>
    </row>
    <row r="844" spans="2:6" ht="14.4" hidden="1" x14ac:dyDescent="0.3">
      <c r="B844" t="s">
        <v>860</v>
      </c>
      <c r="C844" s="419" t="s">
        <v>115</v>
      </c>
      <c r="E844" s="385">
        <v>1517.9999999999998</v>
      </c>
      <c r="F844" s="41">
        <f t="shared" si="25"/>
        <v>0</v>
      </c>
    </row>
    <row r="845" spans="2:6" ht="14.4" hidden="1" x14ac:dyDescent="0.3">
      <c r="B845" t="s">
        <v>861</v>
      </c>
      <c r="C845" s="419" t="s">
        <v>115</v>
      </c>
      <c r="E845" s="385">
        <v>634.79999999999995</v>
      </c>
      <c r="F845" s="41">
        <f t="shared" si="25"/>
        <v>0</v>
      </c>
    </row>
    <row r="846" spans="2:6" ht="14.4" hidden="1" x14ac:dyDescent="0.3">
      <c r="B846" t="s">
        <v>862</v>
      </c>
      <c r="C846" s="419" t="s">
        <v>115</v>
      </c>
      <c r="E846" s="385">
        <v>800.4</v>
      </c>
      <c r="F846" s="41">
        <f t="shared" si="25"/>
        <v>0</v>
      </c>
    </row>
    <row r="847" spans="2:6" ht="14.4" hidden="1" x14ac:dyDescent="0.3">
      <c r="B847" t="s">
        <v>863</v>
      </c>
      <c r="C847" s="419" t="s">
        <v>115</v>
      </c>
      <c r="E847" s="385">
        <v>441.59999999999997</v>
      </c>
      <c r="F847" s="41">
        <f t="shared" si="25"/>
        <v>0</v>
      </c>
    </row>
    <row r="848" spans="2:6" ht="14.4" hidden="1" x14ac:dyDescent="0.3">
      <c r="B848" s="420" t="s">
        <v>864</v>
      </c>
      <c r="C848" s="419" t="s">
        <v>115</v>
      </c>
      <c r="E848" s="385">
        <v>579.59999999999991</v>
      </c>
      <c r="F848" s="41">
        <f t="shared" si="25"/>
        <v>0</v>
      </c>
    </row>
    <row r="849" spans="2:6" ht="14.4" hidden="1" x14ac:dyDescent="0.3">
      <c r="B849" s="420" t="s">
        <v>865</v>
      </c>
      <c r="C849" s="419" t="s">
        <v>115</v>
      </c>
      <c r="E849" s="385">
        <v>776.09819999999991</v>
      </c>
      <c r="F849" s="41">
        <f t="shared" si="25"/>
        <v>0</v>
      </c>
    </row>
    <row r="850" spans="2:6" ht="14.4" hidden="1" x14ac:dyDescent="0.3">
      <c r="B850" s="420" t="s">
        <v>866</v>
      </c>
      <c r="C850" s="419" t="s">
        <v>115</v>
      </c>
      <c r="E850" s="385">
        <v>777.4781999999999</v>
      </c>
      <c r="F850" s="41">
        <f t="shared" si="25"/>
        <v>0</v>
      </c>
    </row>
    <row r="851" spans="2:6" ht="14.4" hidden="1" x14ac:dyDescent="0.3">
      <c r="B851" s="420" t="s">
        <v>867</v>
      </c>
      <c r="C851" s="419" t="s">
        <v>115</v>
      </c>
      <c r="E851" s="385">
        <v>524.4</v>
      </c>
      <c r="F851" s="41">
        <f t="shared" si="25"/>
        <v>0</v>
      </c>
    </row>
    <row r="852" spans="2:6" ht="14.4" hidden="1" x14ac:dyDescent="0.3">
      <c r="B852" s="420" t="s">
        <v>868</v>
      </c>
      <c r="C852" s="419" t="s">
        <v>115</v>
      </c>
      <c r="E852" s="385">
        <v>496.79999999999995</v>
      </c>
      <c r="F852" s="41">
        <f t="shared" si="25"/>
        <v>0</v>
      </c>
    </row>
    <row r="853" spans="2:6" ht="14.4" hidden="1" x14ac:dyDescent="0.3">
      <c r="B853" s="420" t="s">
        <v>869</v>
      </c>
      <c r="C853" s="419" t="s">
        <v>115</v>
      </c>
      <c r="E853" s="385">
        <v>745.19999999999993</v>
      </c>
      <c r="F853" s="41">
        <f t="shared" ref="F853:F884" si="26">E853*D853</f>
        <v>0</v>
      </c>
    </row>
    <row r="854" spans="2:6" ht="14.4" hidden="1" x14ac:dyDescent="0.3">
      <c r="B854" s="420" t="s">
        <v>870</v>
      </c>
      <c r="C854" s="419" t="s">
        <v>115</v>
      </c>
      <c r="E854" s="385">
        <v>621</v>
      </c>
      <c r="F854" s="41">
        <f t="shared" si="26"/>
        <v>0</v>
      </c>
    </row>
    <row r="855" spans="2:6" ht="14.4" hidden="1" x14ac:dyDescent="0.3">
      <c r="B855" s="420" t="s">
        <v>871</v>
      </c>
      <c r="C855" s="419" t="s">
        <v>115</v>
      </c>
      <c r="E855" s="385">
        <v>496.79999999999995</v>
      </c>
      <c r="F855" s="41">
        <f t="shared" si="26"/>
        <v>0</v>
      </c>
    </row>
    <row r="856" spans="2:6" ht="14.4" hidden="1" x14ac:dyDescent="0.3">
      <c r="B856" s="420" t="s">
        <v>872</v>
      </c>
      <c r="C856" s="419" t="s">
        <v>115</v>
      </c>
      <c r="E856" s="385">
        <v>441.59999999999997</v>
      </c>
      <c r="F856" s="41">
        <f t="shared" si="26"/>
        <v>0</v>
      </c>
    </row>
    <row r="857" spans="2:6" ht="14.4" hidden="1" x14ac:dyDescent="0.3">
      <c r="B857" s="420" t="s">
        <v>873</v>
      </c>
      <c r="C857" s="419" t="s">
        <v>115</v>
      </c>
      <c r="E857" s="385">
        <v>262.2</v>
      </c>
      <c r="F857" s="41">
        <f t="shared" si="26"/>
        <v>0</v>
      </c>
    </row>
    <row r="858" spans="2:6" ht="14.4" hidden="1" x14ac:dyDescent="0.3">
      <c r="B858" s="420" t="s">
        <v>874</v>
      </c>
      <c r="C858" s="419" t="s">
        <v>115</v>
      </c>
      <c r="E858" s="385">
        <v>345</v>
      </c>
      <c r="F858" s="41">
        <f t="shared" si="26"/>
        <v>0</v>
      </c>
    </row>
    <row r="859" spans="2:6" ht="14.4" hidden="1" x14ac:dyDescent="0.3">
      <c r="B859" s="420" t="s">
        <v>875</v>
      </c>
      <c r="C859" s="419" t="s">
        <v>115</v>
      </c>
      <c r="E859" s="385">
        <v>262.2</v>
      </c>
      <c r="F859" s="41">
        <f t="shared" si="26"/>
        <v>0</v>
      </c>
    </row>
    <row r="860" spans="2:6" ht="14.4" hidden="1" x14ac:dyDescent="0.3">
      <c r="B860" s="420" t="s">
        <v>876</v>
      </c>
      <c r="C860" s="419" t="s">
        <v>115</v>
      </c>
      <c r="E860" s="385">
        <v>455.4</v>
      </c>
      <c r="F860" s="41">
        <f t="shared" si="26"/>
        <v>0</v>
      </c>
    </row>
    <row r="861" spans="2:6" ht="14.4" hidden="1" x14ac:dyDescent="0.3">
      <c r="B861" s="420" t="s">
        <v>877</v>
      </c>
      <c r="C861" s="419" t="s">
        <v>115</v>
      </c>
      <c r="E861" s="385">
        <v>117.645</v>
      </c>
      <c r="F861" s="41">
        <f t="shared" si="26"/>
        <v>0</v>
      </c>
    </row>
    <row r="862" spans="2:6" ht="14.4" hidden="1" x14ac:dyDescent="0.3">
      <c r="B862" s="420" t="s">
        <v>878</v>
      </c>
      <c r="C862" s="419" t="s">
        <v>115</v>
      </c>
      <c r="E862" s="385">
        <v>289.79999999999995</v>
      </c>
      <c r="F862" s="41">
        <f t="shared" si="26"/>
        <v>0</v>
      </c>
    </row>
    <row r="863" spans="2:6" ht="14.4" hidden="1" x14ac:dyDescent="0.3">
      <c r="B863" s="420" t="s">
        <v>879</v>
      </c>
      <c r="C863" s="419" t="s">
        <v>115</v>
      </c>
      <c r="E863" s="385">
        <v>85.559999999999988</v>
      </c>
      <c r="F863" s="41">
        <f t="shared" si="26"/>
        <v>0</v>
      </c>
    </row>
    <row r="864" spans="2:6" ht="14.4" hidden="1" x14ac:dyDescent="0.3">
      <c r="B864" s="420" t="s">
        <v>880</v>
      </c>
      <c r="C864" s="419" t="s">
        <v>115</v>
      </c>
      <c r="E864" s="385">
        <v>84.179999999999993</v>
      </c>
      <c r="F864" s="41">
        <f t="shared" si="26"/>
        <v>0</v>
      </c>
    </row>
    <row r="865" spans="2:6" ht="14.4" hidden="1" x14ac:dyDescent="0.3">
      <c r="B865" s="420" t="s">
        <v>881</v>
      </c>
      <c r="C865" s="419" t="s">
        <v>115</v>
      </c>
      <c r="E865" s="385">
        <v>62.099999999999994</v>
      </c>
      <c r="F865" s="41">
        <f t="shared" si="26"/>
        <v>0</v>
      </c>
    </row>
    <row r="866" spans="2:6" ht="14.4" hidden="1" x14ac:dyDescent="0.3">
      <c r="B866" s="420" t="s">
        <v>882</v>
      </c>
      <c r="C866" s="419" t="s">
        <v>115</v>
      </c>
      <c r="E866" s="385">
        <v>24.839999999999996</v>
      </c>
      <c r="F866" s="41">
        <f t="shared" si="26"/>
        <v>0</v>
      </c>
    </row>
    <row r="867" spans="2:6" ht="14.4" hidden="1" x14ac:dyDescent="0.3">
      <c r="B867" s="420" t="s">
        <v>883</v>
      </c>
      <c r="C867" s="419" t="s">
        <v>115</v>
      </c>
      <c r="E867" s="385">
        <v>22.08</v>
      </c>
      <c r="F867" s="41">
        <f t="shared" si="26"/>
        <v>0</v>
      </c>
    </row>
    <row r="868" spans="2:6" ht="14.4" hidden="1" x14ac:dyDescent="0.3">
      <c r="B868" s="420" t="s">
        <v>884</v>
      </c>
      <c r="C868" s="419" t="s">
        <v>115</v>
      </c>
      <c r="E868" s="385">
        <v>16.559999999999999</v>
      </c>
      <c r="F868" s="41">
        <f t="shared" si="26"/>
        <v>0</v>
      </c>
    </row>
    <row r="869" spans="2:6" ht="14.4" hidden="1" x14ac:dyDescent="0.3">
      <c r="B869" s="420" t="s">
        <v>885</v>
      </c>
      <c r="C869" s="419" t="s">
        <v>115</v>
      </c>
      <c r="E869" s="385">
        <v>22.08</v>
      </c>
      <c r="F869" s="41">
        <f t="shared" si="26"/>
        <v>0</v>
      </c>
    </row>
    <row r="870" spans="2:6" ht="14.4" hidden="1" x14ac:dyDescent="0.3">
      <c r="B870" s="420" t="s">
        <v>886</v>
      </c>
      <c r="C870" s="419" t="s">
        <v>115</v>
      </c>
      <c r="E870" s="385">
        <v>22.08</v>
      </c>
      <c r="F870" s="41">
        <f t="shared" si="26"/>
        <v>0</v>
      </c>
    </row>
    <row r="871" spans="2:6" ht="14.4" hidden="1" x14ac:dyDescent="0.3">
      <c r="B871" s="420" t="s">
        <v>766</v>
      </c>
      <c r="C871" s="419" t="s">
        <v>115</v>
      </c>
      <c r="E871" s="385">
        <v>6.4859999999999998</v>
      </c>
      <c r="F871" s="41">
        <f t="shared" si="26"/>
        <v>0</v>
      </c>
    </row>
    <row r="872" spans="2:6" ht="14.4" hidden="1" x14ac:dyDescent="0.3">
      <c r="B872" s="420" t="s">
        <v>887</v>
      </c>
      <c r="C872" s="419" t="s">
        <v>115</v>
      </c>
      <c r="E872" s="385">
        <v>22.08</v>
      </c>
      <c r="F872" s="41">
        <f t="shared" si="26"/>
        <v>0</v>
      </c>
    </row>
    <row r="873" spans="2:6" ht="14.4" hidden="1" x14ac:dyDescent="0.3">
      <c r="B873" s="420" t="s">
        <v>888</v>
      </c>
      <c r="C873" s="419" t="s">
        <v>115</v>
      </c>
      <c r="E873" s="385">
        <v>22.08</v>
      </c>
      <c r="F873" s="41">
        <f t="shared" si="26"/>
        <v>0</v>
      </c>
    </row>
    <row r="874" spans="2:6" ht="14.4" hidden="1" x14ac:dyDescent="0.3">
      <c r="B874" s="420" t="s">
        <v>772</v>
      </c>
      <c r="C874" s="419" t="s">
        <v>115</v>
      </c>
      <c r="E874" s="385">
        <v>16.559999999999999</v>
      </c>
      <c r="F874" s="41">
        <f t="shared" si="26"/>
        <v>0</v>
      </c>
    </row>
    <row r="875" spans="2:6" ht="14.4" hidden="1" x14ac:dyDescent="0.3">
      <c r="B875" s="420" t="s">
        <v>773</v>
      </c>
      <c r="C875" s="419" t="s">
        <v>115</v>
      </c>
      <c r="E875" s="385">
        <v>16.559999999999999</v>
      </c>
      <c r="F875" s="41">
        <f t="shared" si="26"/>
        <v>0</v>
      </c>
    </row>
    <row r="876" spans="2:6" ht="14.4" hidden="1" x14ac:dyDescent="0.3">
      <c r="B876" s="420" t="s">
        <v>889</v>
      </c>
      <c r="C876" s="419" t="s">
        <v>115</v>
      </c>
      <c r="E876" s="385">
        <v>19.32</v>
      </c>
      <c r="F876" s="41">
        <f t="shared" si="26"/>
        <v>0</v>
      </c>
    </row>
    <row r="877" spans="2:6" ht="14.4" hidden="1" x14ac:dyDescent="0.3">
      <c r="B877" s="420" t="s">
        <v>890</v>
      </c>
      <c r="C877" s="419" t="s">
        <v>115</v>
      </c>
      <c r="E877" s="385">
        <v>0.89699999999999991</v>
      </c>
      <c r="F877" s="41">
        <f t="shared" si="26"/>
        <v>0</v>
      </c>
    </row>
    <row r="878" spans="2:6" ht="14.4" hidden="1" x14ac:dyDescent="0.3">
      <c r="B878" s="420" t="s">
        <v>891</v>
      </c>
      <c r="C878" s="419" t="s">
        <v>115</v>
      </c>
      <c r="E878" s="385">
        <v>0.89699999999999991</v>
      </c>
      <c r="F878" s="41">
        <f t="shared" si="26"/>
        <v>0</v>
      </c>
    </row>
    <row r="879" spans="2:6" ht="14.4" hidden="1" x14ac:dyDescent="0.3">
      <c r="B879" s="420"/>
      <c r="C879" s="419"/>
      <c r="E879" s="385">
        <v>0</v>
      </c>
      <c r="F879" s="41">
        <f t="shared" si="26"/>
        <v>0</v>
      </c>
    </row>
    <row r="880" spans="2:6" ht="14.4" hidden="1" x14ac:dyDescent="0.3">
      <c r="B880" s="420"/>
      <c r="C880" s="419"/>
      <c r="E880" s="385">
        <v>0</v>
      </c>
      <c r="F880" s="41">
        <f t="shared" si="26"/>
        <v>0</v>
      </c>
    </row>
    <row r="881" spans="2:6" ht="14.4" hidden="1" x14ac:dyDescent="0.3">
      <c r="B881" s="420" t="s">
        <v>892</v>
      </c>
      <c r="C881" s="419" t="s">
        <v>115</v>
      </c>
      <c r="E881" s="385">
        <v>2.6219999999999999</v>
      </c>
      <c r="F881" s="41">
        <f t="shared" si="26"/>
        <v>0</v>
      </c>
    </row>
    <row r="882" spans="2:6" ht="14.4" hidden="1" x14ac:dyDescent="0.3">
      <c r="B882" s="420" t="s">
        <v>491</v>
      </c>
      <c r="C882" s="419" t="s">
        <v>149</v>
      </c>
      <c r="E882" s="385">
        <v>2.76</v>
      </c>
      <c r="F882" s="41">
        <f t="shared" si="26"/>
        <v>0</v>
      </c>
    </row>
    <row r="883" spans="2:6" ht="14.4" hidden="1" x14ac:dyDescent="0.3">
      <c r="B883" s="420" t="s">
        <v>801</v>
      </c>
      <c r="C883" s="419" t="s">
        <v>115</v>
      </c>
      <c r="E883" s="385">
        <v>36.431999999999995</v>
      </c>
      <c r="F883" s="41">
        <f t="shared" si="26"/>
        <v>0</v>
      </c>
    </row>
    <row r="884" spans="2:6" ht="14.4" hidden="1" x14ac:dyDescent="0.3">
      <c r="B884" s="420" t="s">
        <v>802</v>
      </c>
      <c r="C884" s="419" t="s">
        <v>115</v>
      </c>
      <c r="E884" s="385">
        <v>31.74</v>
      </c>
      <c r="F884" s="41">
        <f t="shared" si="26"/>
        <v>0</v>
      </c>
    </row>
    <row r="885" spans="2:6" ht="14.4" hidden="1" x14ac:dyDescent="0.3">
      <c r="B885" s="420"/>
      <c r="C885" s="419"/>
      <c r="E885" s="385">
        <v>0</v>
      </c>
      <c r="F885" s="41">
        <f t="shared" ref="F885:F903" si="27">E885*D885</f>
        <v>0</v>
      </c>
    </row>
    <row r="886" spans="2:6" ht="14.4" hidden="1" x14ac:dyDescent="0.3">
      <c r="B886" s="426" t="s">
        <v>893</v>
      </c>
      <c r="C886" s="419"/>
      <c r="E886" s="385">
        <v>0</v>
      </c>
      <c r="F886" s="41">
        <f t="shared" si="27"/>
        <v>0</v>
      </c>
    </row>
    <row r="887" spans="2:6" ht="14.4" hidden="1" x14ac:dyDescent="0.3">
      <c r="B887" s="420"/>
      <c r="C887" s="419"/>
      <c r="E887" s="385">
        <v>0</v>
      </c>
      <c r="F887" s="41">
        <f t="shared" si="27"/>
        <v>0</v>
      </c>
    </row>
    <row r="888" spans="2:6" ht="14.4" hidden="1" x14ac:dyDescent="0.3">
      <c r="B888" s="420" t="s">
        <v>894</v>
      </c>
      <c r="C888" s="419" t="s">
        <v>115</v>
      </c>
      <c r="E888" s="385">
        <v>362.13959999999997</v>
      </c>
      <c r="F888" s="41">
        <f t="shared" si="27"/>
        <v>0</v>
      </c>
    </row>
    <row r="889" spans="2:6" ht="14.4" hidden="1" x14ac:dyDescent="0.3">
      <c r="B889" s="420" t="s">
        <v>895</v>
      </c>
      <c r="C889" s="419" t="s">
        <v>115</v>
      </c>
      <c r="E889" s="385">
        <v>827.99999999999989</v>
      </c>
      <c r="F889" s="41">
        <f t="shared" si="27"/>
        <v>0</v>
      </c>
    </row>
    <row r="890" spans="2:6" ht="14.4" hidden="1" x14ac:dyDescent="0.3">
      <c r="B890" s="420" t="s">
        <v>896</v>
      </c>
      <c r="C890" s="419" t="s">
        <v>115</v>
      </c>
      <c r="E890" s="385">
        <v>552</v>
      </c>
      <c r="F890" s="41">
        <f t="shared" si="27"/>
        <v>0</v>
      </c>
    </row>
    <row r="891" spans="2:6" ht="14.4" hidden="1" x14ac:dyDescent="0.3">
      <c r="B891" s="420"/>
      <c r="C891" s="419"/>
      <c r="E891" s="385">
        <v>0</v>
      </c>
      <c r="F891" s="41">
        <f t="shared" si="27"/>
        <v>0</v>
      </c>
    </row>
    <row r="892" spans="2:6" ht="14.4" hidden="1" x14ac:dyDescent="0.3">
      <c r="B892" s="420" t="s">
        <v>897</v>
      </c>
      <c r="C892" s="419" t="s">
        <v>115</v>
      </c>
      <c r="E892" s="385">
        <v>690</v>
      </c>
      <c r="F892" s="41">
        <f t="shared" si="27"/>
        <v>0</v>
      </c>
    </row>
    <row r="893" spans="2:6" ht="14.4" hidden="1" x14ac:dyDescent="0.3">
      <c r="B893" s="420" t="s">
        <v>898</v>
      </c>
      <c r="C893" s="419" t="s">
        <v>115</v>
      </c>
      <c r="E893" s="385">
        <v>413.99999999999994</v>
      </c>
      <c r="F893" s="41">
        <f t="shared" si="27"/>
        <v>0</v>
      </c>
    </row>
    <row r="894" spans="2:6" ht="14.4" hidden="1" x14ac:dyDescent="0.3">
      <c r="B894" s="420" t="s">
        <v>899</v>
      </c>
      <c r="C894" s="419" t="s">
        <v>115</v>
      </c>
      <c r="E894" s="385">
        <v>413.99999999999994</v>
      </c>
      <c r="F894" s="41">
        <f t="shared" si="27"/>
        <v>0</v>
      </c>
    </row>
    <row r="895" spans="2:6" ht="14.4" hidden="1" x14ac:dyDescent="0.3">
      <c r="B895" s="420" t="s">
        <v>898</v>
      </c>
      <c r="C895" s="419" t="s">
        <v>115</v>
      </c>
      <c r="E895" s="385">
        <v>413.99999999999994</v>
      </c>
      <c r="F895" s="41">
        <f t="shared" si="27"/>
        <v>0</v>
      </c>
    </row>
    <row r="896" spans="2:6" ht="14.4" hidden="1" x14ac:dyDescent="0.3">
      <c r="B896" s="421" t="s">
        <v>900</v>
      </c>
      <c r="C896" s="424" t="s">
        <v>115</v>
      </c>
      <c r="D896" s="398"/>
      <c r="E896" s="404">
        <v>80</v>
      </c>
      <c r="F896" s="400">
        <f t="shared" si="27"/>
        <v>0</v>
      </c>
    </row>
    <row r="897" spans="2:6" ht="14.4" hidden="1" x14ac:dyDescent="0.3">
      <c r="B897" s="420" t="s">
        <v>901</v>
      </c>
      <c r="C897" s="419" t="s">
        <v>115</v>
      </c>
      <c r="E897" s="385">
        <f>89.62+37.92</f>
        <v>127.54</v>
      </c>
      <c r="F897" s="41">
        <f t="shared" si="27"/>
        <v>0</v>
      </c>
    </row>
    <row r="898" spans="2:6" ht="14.4" hidden="1" x14ac:dyDescent="0.3">
      <c r="B898" s="420" t="s">
        <v>902</v>
      </c>
      <c r="C898" s="419" t="s">
        <v>115</v>
      </c>
      <c r="E898" s="385">
        <f>228+147</f>
        <v>375</v>
      </c>
      <c r="F898" s="41">
        <f t="shared" si="27"/>
        <v>0</v>
      </c>
    </row>
    <row r="899" spans="2:6" ht="14.4" hidden="1" x14ac:dyDescent="0.3">
      <c r="B899" s="420" t="s">
        <v>903</v>
      </c>
      <c r="C899" s="419" t="s">
        <v>115</v>
      </c>
      <c r="E899" s="385">
        <f>166+84</f>
        <v>250</v>
      </c>
      <c r="F899" s="41">
        <f t="shared" si="27"/>
        <v>0</v>
      </c>
    </row>
    <row r="900" spans="2:6" ht="14.4" hidden="1" x14ac:dyDescent="0.3">
      <c r="B900" s="421" t="s">
        <v>904</v>
      </c>
      <c r="C900" s="424" t="s">
        <v>115</v>
      </c>
      <c r="D900" s="398"/>
      <c r="E900" s="404">
        <v>1500</v>
      </c>
      <c r="F900" s="400">
        <f t="shared" si="27"/>
        <v>0</v>
      </c>
    </row>
    <row r="901" spans="2:6" ht="14.4" hidden="1" x14ac:dyDescent="0.3">
      <c r="B901" s="420" t="s">
        <v>905</v>
      </c>
      <c r="C901" s="419" t="s">
        <v>115</v>
      </c>
      <c r="E901" s="385">
        <v>20.7</v>
      </c>
      <c r="F901" s="41">
        <f t="shared" si="27"/>
        <v>0</v>
      </c>
    </row>
    <row r="902" spans="2:6" ht="14.4" hidden="1" x14ac:dyDescent="0.3">
      <c r="B902" s="420" t="s">
        <v>906</v>
      </c>
      <c r="C902" s="419" t="s">
        <v>115</v>
      </c>
      <c r="E902" s="385">
        <v>110.39999999999999</v>
      </c>
      <c r="F902" s="41">
        <f t="shared" si="27"/>
        <v>0</v>
      </c>
    </row>
    <row r="903" spans="2:6" ht="14.4" hidden="1" x14ac:dyDescent="0.3">
      <c r="B903" s="420" t="s">
        <v>907</v>
      </c>
      <c r="C903" s="419" t="s">
        <v>115</v>
      </c>
      <c r="E903" s="452">
        <v>180</v>
      </c>
      <c r="F903" s="41">
        <f t="shared" si="27"/>
        <v>0</v>
      </c>
    </row>
    <row r="906" spans="2:6" ht="14.4" x14ac:dyDescent="0.3">
      <c r="B906" s="325" t="s">
        <v>908</v>
      </c>
    </row>
    <row r="908" spans="2:6" ht="14.4" x14ac:dyDescent="0.3">
      <c r="B908" t="s">
        <v>909</v>
      </c>
      <c r="C908" s="419" t="s">
        <v>115</v>
      </c>
      <c r="E908" s="452">
        <v>180</v>
      </c>
      <c r="F908" s="41">
        <f>E908*D908</f>
        <v>0</v>
      </c>
    </row>
    <row r="909" spans="2:6" ht="14.4" x14ac:dyDescent="0.3">
      <c r="B909" t="s">
        <v>909</v>
      </c>
      <c r="C909" s="419" t="s">
        <v>115</v>
      </c>
      <c r="E909" s="452">
        <v>0</v>
      </c>
      <c r="F909" s="41">
        <f>E909*D909</f>
        <v>0</v>
      </c>
    </row>
    <row r="913" spans="2:11" x14ac:dyDescent="0.2">
      <c r="C913" s="548" t="s">
        <v>910</v>
      </c>
      <c r="D913" s="548"/>
      <c r="E913" s="548"/>
    </row>
    <row r="914" spans="2:11" x14ac:dyDescent="0.2">
      <c r="C914" s="548"/>
      <c r="D914" s="548"/>
      <c r="E914" s="548"/>
      <c r="F914" s="41">
        <f>SUM(F15:F913)</f>
        <v>8534.32</v>
      </c>
    </row>
    <row r="915" spans="2:11" x14ac:dyDescent="0.2">
      <c r="C915" s="548"/>
      <c r="D915" s="548"/>
      <c r="E915" s="548"/>
    </row>
    <row r="917" spans="2:11" x14ac:dyDescent="0.2">
      <c r="E917" s="392" t="s">
        <v>911</v>
      </c>
      <c r="F917" s="393">
        <v>1.18</v>
      </c>
    </row>
    <row r="918" spans="2:11" x14ac:dyDescent="0.2">
      <c r="E918" s="392" t="s">
        <v>912</v>
      </c>
      <c r="F918" s="41">
        <v>0</v>
      </c>
    </row>
    <row r="920" spans="2:11" x14ac:dyDescent="0.2">
      <c r="C920" s="548" t="s">
        <v>14</v>
      </c>
      <c r="D920" s="548"/>
      <c r="E920" s="548"/>
    </row>
    <row r="921" spans="2:11" x14ac:dyDescent="0.2">
      <c r="C921" s="548"/>
      <c r="D921" s="548"/>
      <c r="E921" s="548"/>
      <c r="F921" s="41">
        <f>F914*F917+F918</f>
        <v>10070.497599999999</v>
      </c>
    </row>
    <row r="922" spans="2:11" x14ac:dyDescent="0.2">
      <c r="C922" s="548"/>
      <c r="D922" s="548"/>
      <c r="E922" s="548"/>
    </row>
    <row r="927" spans="2:11" s="442" customFormat="1" ht="14.4" x14ac:dyDescent="0.3">
      <c r="B927" s="173" t="s">
        <v>913</v>
      </c>
      <c r="C927" s="457"/>
      <c r="D927" s="458"/>
      <c r="E927" s="436"/>
      <c r="F927" s="436"/>
      <c r="G927" s="436"/>
      <c r="H927" s="459"/>
      <c r="K927" s="438"/>
    </row>
    <row r="928" spans="2:11" s="442" customFormat="1" ht="14.4" x14ac:dyDescent="0.3">
      <c r="B928" s="126"/>
      <c r="C928" s="193" t="s">
        <v>914</v>
      </c>
      <c r="D928" s="193" t="s">
        <v>102</v>
      </c>
      <c r="E928" s="194"/>
      <c r="F928" s="194"/>
      <c r="G928" s="436"/>
      <c r="H928" s="459"/>
      <c r="K928" s="438"/>
    </row>
    <row r="929" spans="2:12" s="442" customFormat="1" ht="14.4" x14ac:dyDescent="0.3">
      <c r="B929" s="427" t="s">
        <v>915</v>
      </c>
      <c r="C929" s="438">
        <f>C933</f>
        <v>0</v>
      </c>
      <c r="D929" s="438" t="s">
        <v>149</v>
      </c>
      <c r="E929" s="436"/>
      <c r="F929" s="436"/>
      <c r="G929" s="436"/>
      <c r="H929" s="459"/>
      <c r="K929" s="438"/>
    </row>
    <row r="930" spans="2:12" s="442" customFormat="1" ht="14.4" x14ac:dyDescent="0.3">
      <c r="B930" s="427" t="s">
        <v>916</v>
      </c>
      <c r="C930" s="438">
        <v>0</v>
      </c>
      <c r="D930" s="438" t="s">
        <v>149</v>
      </c>
      <c r="E930" s="436"/>
      <c r="F930" s="436"/>
      <c r="G930" s="436"/>
      <c r="H930" s="459"/>
      <c r="K930" s="438"/>
    </row>
    <row r="931" spans="2:12" s="442" customFormat="1" ht="14.4" x14ac:dyDescent="0.3">
      <c r="B931" s="427" t="s">
        <v>917</v>
      </c>
      <c r="C931" s="438">
        <v>0</v>
      </c>
      <c r="D931" s="438" t="s">
        <v>154</v>
      </c>
      <c r="E931" s="436"/>
      <c r="F931" s="436"/>
      <c r="G931" s="436"/>
      <c r="H931" s="459"/>
      <c r="K931" s="438"/>
    </row>
    <row r="932" spans="2:12" s="442" customFormat="1" ht="14.4" x14ac:dyDescent="0.3">
      <c r="B932" s="427" t="s">
        <v>918</v>
      </c>
      <c r="C932" s="438">
        <v>0</v>
      </c>
      <c r="D932" s="438" t="s">
        <v>149</v>
      </c>
      <c r="E932" s="436"/>
      <c r="F932" s="436"/>
      <c r="G932" s="436"/>
      <c r="H932" s="459"/>
      <c r="K932" s="438"/>
    </row>
    <row r="933" spans="2:12" s="442" customFormat="1" ht="14.4" x14ac:dyDescent="0.3">
      <c r="B933" s="427" t="s">
        <v>919</v>
      </c>
      <c r="C933" s="428">
        <f>SUM(D169:D173)+SUM(D361:D371)+D724+D737+D739+SUM(D821:D838)</f>
        <v>0</v>
      </c>
      <c r="D933" s="438" t="s">
        <v>149</v>
      </c>
      <c r="E933" s="436"/>
      <c r="F933" s="436"/>
      <c r="G933" s="436"/>
      <c r="H933" s="459"/>
      <c r="K933" s="438"/>
    </row>
    <row r="934" spans="2:12" s="442" customFormat="1" ht="14.4" x14ac:dyDescent="0.3">
      <c r="B934" s="427" t="s">
        <v>920</v>
      </c>
      <c r="C934" s="460"/>
      <c r="D934" s="438" t="s">
        <v>149</v>
      </c>
      <c r="E934" s="436"/>
      <c r="F934" s="436"/>
      <c r="G934" s="436"/>
      <c r="H934" s="459"/>
      <c r="K934" s="438"/>
    </row>
    <row r="935" spans="2:12" s="442" customFormat="1" ht="14.4" x14ac:dyDescent="0.3">
      <c r="B935" s="427" t="s">
        <v>921</v>
      </c>
      <c r="C935" s="443">
        <v>0.1</v>
      </c>
      <c r="D935" s="438" t="s">
        <v>149</v>
      </c>
      <c r="F935" s="436"/>
      <c r="G935" s="436"/>
      <c r="H935" s="459"/>
      <c r="K935" s="438"/>
    </row>
    <row r="936" spans="2:12" s="442" customFormat="1" ht="14.4" x14ac:dyDescent="0.3">
      <c r="B936" s="427" t="s">
        <v>922</v>
      </c>
      <c r="C936" s="443"/>
      <c r="D936" s="438" t="s">
        <v>149</v>
      </c>
      <c r="E936" s="429" t="e">
        <f>C936/(C933+C934)</f>
        <v>#DIV/0!</v>
      </c>
      <c r="F936" s="436"/>
      <c r="G936" s="436"/>
      <c r="H936" s="459"/>
      <c r="K936" s="438"/>
    </row>
    <row r="937" spans="2:12" s="442" customFormat="1" ht="14.4" x14ac:dyDescent="0.3">
      <c r="B937" s="427" t="s">
        <v>923</v>
      </c>
      <c r="C937" s="443"/>
      <c r="D937" s="438" t="s">
        <v>149</v>
      </c>
      <c r="E937" s="429" t="e">
        <f>C937/(C933+C934)</f>
        <v>#DIV/0!</v>
      </c>
      <c r="F937" s="436"/>
      <c r="G937" s="436"/>
      <c r="H937" s="459"/>
      <c r="K937" s="438"/>
    </row>
    <row r="938" spans="2:12" s="442" customFormat="1" ht="14.4" x14ac:dyDescent="0.3">
      <c r="B938" s="427" t="s">
        <v>924</v>
      </c>
      <c r="C938" s="443"/>
      <c r="D938" s="438" t="s">
        <v>149</v>
      </c>
      <c r="E938" s="429" t="e">
        <f>C938/(C933+C934)</f>
        <v>#DIV/0!</v>
      </c>
      <c r="F938" s="436"/>
      <c r="G938" s="436"/>
      <c r="H938" s="459"/>
      <c r="K938" s="438"/>
    </row>
    <row r="939" spans="2:12" s="442" customFormat="1" ht="14.4" x14ac:dyDescent="0.3">
      <c r="B939" s="427"/>
      <c r="F939" s="436"/>
      <c r="G939" s="436"/>
      <c r="H939" s="459"/>
      <c r="K939" s="438"/>
    </row>
    <row r="940" spans="2:12" s="442" customFormat="1" ht="14.4" x14ac:dyDescent="0.3">
      <c r="B940" s="126"/>
      <c r="E940" s="436"/>
      <c r="F940" s="436"/>
      <c r="G940" s="436"/>
      <c r="H940" s="459"/>
      <c r="K940" s="438"/>
    </row>
    <row r="941" spans="2:12" s="450" customFormat="1" ht="72" x14ac:dyDescent="0.25">
      <c r="B941" s="341"/>
      <c r="C941" s="461" t="s">
        <v>32</v>
      </c>
      <c r="D941" s="461" t="s">
        <v>925</v>
      </c>
      <c r="E941" s="436" t="s">
        <v>926</v>
      </c>
      <c r="F941" s="430" t="s">
        <v>927</v>
      </c>
      <c r="G941" s="431" t="s">
        <v>928</v>
      </c>
      <c r="H941" s="343" t="s">
        <v>929</v>
      </c>
      <c r="I941" s="344" t="s">
        <v>930</v>
      </c>
      <c r="J941" s="344" t="s">
        <v>931</v>
      </c>
      <c r="K941" s="344" t="s">
        <v>932</v>
      </c>
      <c r="L941" s="431" t="s">
        <v>933</v>
      </c>
    </row>
    <row r="942" spans="2:12" s="442" customFormat="1" ht="14.4" x14ac:dyDescent="0.3">
      <c r="B942" s="427" t="str">
        <f>B933</f>
        <v>L/M of Inground Pipe (Average Depth)</v>
      </c>
      <c r="C942" s="462">
        <v>0.95</v>
      </c>
      <c r="D942" s="462">
        <v>0.6</v>
      </c>
      <c r="E942" s="428">
        <f>C933</f>
        <v>0</v>
      </c>
      <c r="F942" s="432">
        <v>1.3</v>
      </c>
      <c r="G942" s="463">
        <f>C935</f>
        <v>0.1</v>
      </c>
      <c r="H942" s="199">
        <f>(C942*D942*E942)*F942-(C942*D942*E942*G942)</f>
        <v>0</v>
      </c>
      <c r="I942" s="464"/>
      <c r="J942" s="464"/>
      <c r="K942" s="465"/>
    </row>
    <row r="943" spans="2:12" s="442" customFormat="1" ht="14.4" x14ac:dyDescent="0.3">
      <c r="B943" s="427" t="str">
        <f>B934</f>
        <v>L/M of Inground Pipe (Deeper Than Average Depth)</v>
      </c>
      <c r="C943" s="462">
        <v>1.1000000000000001</v>
      </c>
      <c r="D943" s="462">
        <v>0.5</v>
      </c>
      <c r="E943" s="428">
        <f>C934</f>
        <v>0</v>
      </c>
      <c r="F943" s="432">
        <v>1.3</v>
      </c>
      <c r="G943" s="462">
        <v>0</v>
      </c>
      <c r="H943" s="199">
        <f>(C943*D943*E943)*F943</f>
        <v>0</v>
      </c>
      <c r="I943" s="464"/>
      <c r="J943" s="464"/>
      <c r="K943" s="465"/>
    </row>
    <row r="944" spans="2:12" s="442" customFormat="1" ht="14.4" x14ac:dyDescent="0.3">
      <c r="B944" s="427" t="s">
        <v>934</v>
      </c>
      <c r="C944" s="462">
        <v>0.35</v>
      </c>
      <c r="D944" s="463">
        <f>D942</f>
        <v>0.6</v>
      </c>
      <c r="E944" s="463">
        <f>E942</f>
        <v>0</v>
      </c>
      <c r="F944" s="432">
        <v>0</v>
      </c>
      <c r="G944" s="463">
        <f>C935</f>
        <v>0.1</v>
      </c>
      <c r="H944" s="199"/>
      <c r="I944" s="199">
        <f>(C944*D944*E944)-(C944*D944*E944*G944)</f>
        <v>0</v>
      </c>
      <c r="J944" s="199"/>
      <c r="K944" s="465"/>
    </row>
    <row r="945" spans="2:16" s="442" customFormat="1" ht="14.4" x14ac:dyDescent="0.3">
      <c r="B945" s="427" t="s">
        <v>935</v>
      </c>
      <c r="C945" s="462">
        <v>0.2</v>
      </c>
      <c r="D945" s="463">
        <f>D943</f>
        <v>0.5</v>
      </c>
      <c r="E945" s="349">
        <f>E943</f>
        <v>0</v>
      </c>
      <c r="F945" s="432">
        <v>0</v>
      </c>
      <c r="G945" s="463">
        <f>G943</f>
        <v>0</v>
      </c>
      <c r="H945" s="199"/>
      <c r="I945" s="199">
        <f>(C945*D945*E945)-(C945*D945*E945*G945)</f>
        <v>0</v>
      </c>
      <c r="J945" s="199"/>
      <c r="K945" s="465"/>
    </row>
    <row r="946" spans="2:16" s="442" customFormat="1" ht="14.4" x14ac:dyDescent="0.3">
      <c r="B946" s="427" t="s">
        <v>936</v>
      </c>
      <c r="C946" s="463">
        <f t="shared" ref="C946:E947" si="28">C942</f>
        <v>0.95</v>
      </c>
      <c r="D946" s="463">
        <f t="shared" si="28"/>
        <v>0.6</v>
      </c>
      <c r="E946" s="349">
        <f t="shared" si="28"/>
        <v>0</v>
      </c>
      <c r="F946" s="432">
        <v>1.3</v>
      </c>
      <c r="G946" s="463">
        <f>C935</f>
        <v>0.1</v>
      </c>
      <c r="H946" s="199"/>
      <c r="I946" s="199"/>
      <c r="J946" s="199">
        <f>(C946*D946*E946*F946)-(C946*D946*E946*G946)-I944</f>
        <v>0</v>
      </c>
      <c r="K946" s="465"/>
    </row>
    <row r="947" spans="2:16" s="442" customFormat="1" ht="14.4" x14ac:dyDescent="0.3">
      <c r="B947" s="427" t="s">
        <v>937</v>
      </c>
      <c r="C947" s="463">
        <f t="shared" si="28"/>
        <v>1.1000000000000001</v>
      </c>
      <c r="D947" s="463">
        <f t="shared" si="28"/>
        <v>0.5</v>
      </c>
      <c r="E947" s="463">
        <f t="shared" si="28"/>
        <v>0</v>
      </c>
      <c r="F947" s="432">
        <v>1.3</v>
      </c>
      <c r="G947" s="463">
        <f>G943</f>
        <v>0</v>
      </c>
      <c r="H947" s="199"/>
      <c r="I947" s="199"/>
      <c r="J947" s="199">
        <f>(C947*D947*E947*F947)-(C947*D947*E947*G947)-I945</f>
        <v>0</v>
      </c>
      <c r="K947" s="465"/>
    </row>
    <row r="948" spans="2:16" s="442" customFormat="1" ht="14.4" x14ac:dyDescent="0.3">
      <c r="B948" s="427"/>
      <c r="C948" s="465"/>
      <c r="D948" s="465"/>
      <c r="E948" s="465"/>
      <c r="F948" s="433"/>
      <c r="G948" s="199"/>
      <c r="H948" s="465"/>
      <c r="I948" s="464"/>
      <c r="J948" s="464"/>
      <c r="K948" s="199" t="s">
        <v>938</v>
      </c>
      <c r="L948" s="350" t="s">
        <v>939</v>
      </c>
      <c r="M948" s="350" t="s">
        <v>940</v>
      </c>
    </row>
    <row r="949" spans="2:16" s="442" customFormat="1" ht="14.4" x14ac:dyDescent="0.3">
      <c r="B949" s="427"/>
      <c r="C949" s="465"/>
      <c r="D949" s="465"/>
      <c r="E949" s="465"/>
      <c r="F949" s="433"/>
      <c r="G949" s="199"/>
      <c r="H949" s="351">
        <f>SUM(H942:H948)</f>
        <v>0</v>
      </c>
      <c r="I949" s="351">
        <f>SUM(I942:I948)</f>
        <v>0</v>
      </c>
      <c r="J949" s="351">
        <f>SUM(J942:J948)</f>
        <v>0</v>
      </c>
      <c r="K949" s="352">
        <f>H949-J949</f>
        <v>0</v>
      </c>
      <c r="L949" s="466">
        <v>15</v>
      </c>
      <c r="M949" s="354">
        <f>K949*L949</f>
        <v>0</v>
      </c>
      <c r="O949" s="192"/>
    </row>
    <row r="950" spans="2:16" s="442" customFormat="1" ht="14.4" x14ac:dyDescent="0.3">
      <c r="B950" s="427"/>
      <c r="C950" s="438"/>
      <c r="D950" s="438"/>
      <c r="E950" s="438"/>
      <c r="F950" s="433"/>
      <c r="G950" s="199"/>
      <c r="H950" s="459"/>
      <c r="K950" s="438"/>
      <c r="O950" s="464"/>
    </row>
    <row r="951" spans="2:16" s="442" customFormat="1" ht="14.4" x14ac:dyDescent="0.3">
      <c r="B951" s="427"/>
      <c r="C951" s="438"/>
      <c r="D951" s="438"/>
      <c r="E951" s="438"/>
      <c r="F951" s="433"/>
      <c r="G951" s="199"/>
      <c r="H951" s="459"/>
      <c r="K951" s="438"/>
      <c r="O951" s="464"/>
    </row>
    <row r="952" spans="2:16" s="442" customFormat="1" ht="14.4" x14ac:dyDescent="0.3">
      <c r="B952" s="427"/>
      <c r="C952" s="438"/>
      <c r="D952" s="438"/>
      <c r="E952" s="438"/>
      <c r="F952" s="433"/>
      <c r="G952" s="199"/>
      <c r="H952" s="459"/>
      <c r="K952" s="438"/>
      <c r="O952" s="464"/>
    </row>
    <row r="953" spans="2:16" s="442" customFormat="1" ht="14.4" x14ac:dyDescent="0.3">
      <c r="B953" s="427"/>
      <c r="C953" s="438"/>
      <c r="D953" s="438"/>
      <c r="E953" s="438"/>
      <c r="F953" s="433"/>
      <c r="G953" s="199"/>
      <c r="H953" s="459"/>
      <c r="K953" s="438"/>
      <c r="O953" s="464"/>
    </row>
    <row r="954" spans="2:16" s="442" customFormat="1" ht="7.2" customHeight="1" x14ac:dyDescent="0.3">
      <c r="B954" s="441"/>
      <c r="C954" s="467"/>
      <c r="D954" s="467"/>
      <c r="E954" s="467"/>
      <c r="F954" s="468"/>
      <c r="G954" s="468"/>
      <c r="H954" s="469"/>
      <c r="I954" s="467"/>
      <c r="K954" s="438"/>
    </row>
    <row r="955" spans="2:16" s="442" customFormat="1" ht="14.4" x14ac:dyDescent="0.3">
      <c r="B955" s="126" t="s">
        <v>941</v>
      </c>
      <c r="C955" s="438" t="s">
        <v>942</v>
      </c>
      <c r="D955" s="438" t="s">
        <v>914</v>
      </c>
      <c r="E955" s="436" t="s">
        <v>943</v>
      </c>
      <c r="F955" s="442" t="s">
        <v>911</v>
      </c>
      <c r="G955" s="194" t="s">
        <v>943</v>
      </c>
      <c r="H955" s="200" t="s">
        <v>944</v>
      </c>
      <c r="K955" s="438"/>
    </row>
    <row r="956" spans="2:16" s="442" customFormat="1" ht="14.4" x14ac:dyDescent="0.3">
      <c r="B956" s="427"/>
      <c r="C956" s="438">
        <v>0.1</v>
      </c>
      <c r="D956" s="443"/>
      <c r="E956" s="438">
        <f>D956*C956</f>
        <v>0</v>
      </c>
      <c r="F956" s="433">
        <v>1.1000000000000001</v>
      </c>
      <c r="G956" s="470">
        <f>E956*F956</f>
        <v>0</v>
      </c>
      <c r="H956" s="459">
        <f>G956*E981</f>
        <v>0</v>
      </c>
      <c r="I956" s="471"/>
      <c r="K956" s="438"/>
    </row>
    <row r="957" spans="2:16" s="420" customFormat="1" ht="14.4" x14ac:dyDescent="0.3">
      <c r="C957" s="419"/>
      <c r="D957" s="419"/>
      <c r="E957" s="452"/>
      <c r="F957" s="452"/>
    </row>
    <row r="958" spans="2:16" s="420" customFormat="1" ht="14.4" x14ac:dyDescent="0.3">
      <c r="C958" s="419"/>
      <c r="D958" s="419"/>
      <c r="E958" s="452"/>
      <c r="F958" s="452"/>
    </row>
    <row r="959" spans="2:16" s="420" customFormat="1" ht="14.4" x14ac:dyDescent="0.3">
      <c r="B959" s="173" t="s">
        <v>945</v>
      </c>
      <c r="C959" s="457"/>
      <c r="D959" s="458"/>
      <c r="E959" s="436"/>
      <c r="F959" s="436"/>
      <c r="G959" s="436"/>
      <c r="H959" s="459"/>
      <c r="I959" s="442"/>
      <c r="J959" s="442"/>
      <c r="K959" s="442"/>
      <c r="L959" s="442"/>
      <c r="M959" s="442"/>
      <c r="N959" s="442"/>
      <c r="O959" s="442"/>
      <c r="P959" s="442"/>
    </row>
    <row r="960" spans="2:16" s="420" customFormat="1" ht="14.4" x14ac:dyDescent="0.3">
      <c r="B960" s="192"/>
      <c r="C960" s="442"/>
      <c r="D960" s="442"/>
      <c r="E960" s="436"/>
      <c r="F960" s="436"/>
      <c r="G960" s="436"/>
      <c r="H960" s="459"/>
      <c r="I960" s="442"/>
      <c r="J960" s="442"/>
      <c r="K960" s="442"/>
      <c r="L960" s="442"/>
      <c r="M960" s="461">
        <v>1.4</v>
      </c>
      <c r="N960" s="442"/>
      <c r="O960" s="442"/>
      <c r="P960" s="442"/>
    </row>
    <row r="961" spans="2:18" s="435" customFormat="1" ht="28.8" x14ac:dyDescent="0.25">
      <c r="B961" s="357" t="s">
        <v>354</v>
      </c>
      <c r="C961" s="350" t="s">
        <v>946</v>
      </c>
      <c r="D961" s="350" t="s">
        <v>102</v>
      </c>
      <c r="E961" s="194" t="s">
        <v>939</v>
      </c>
      <c r="F961" s="194" t="s">
        <v>947</v>
      </c>
      <c r="G961" s="436"/>
      <c r="H961" s="436"/>
      <c r="I961" s="350" t="s">
        <v>938</v>
      </c>
      <c r="J961" s="344" t="s">
        <v>928</v>
      </c>
      <c r="K961" s="350" t="s">
        <v>948</v>
      </c>
      <c r="L961" s="350" t="s">
        <v>940</v>
      </c>
      <c r="M961" s="350" t="s">
        <v>911</v>
      </c>
      <c r="N961" s="358" t="s">
        <v>23</v>
      </c>
      <c r="O961" s="434" t="s">
        <v>949</v>
      </c>
      <c r="P961" s="431" t="s">
        <v>950</v>
      </c>
      <c r="Q961" s="435" t="s">
        <v>951</v>
      </c>
    </row>
    <row r="962" spans="2:18" s="420" customFormat="1" ht="14.4" x14ac:dyDescent="0.3">
      <c r="B962" s="442" t="s">
        <v>952</v>
      </c>
      <c r="C962" s="472">
        <v>0.20300000000000001</v>
      </c>
      <c r="D962" s="473" t="s">
        <v>953</v>
      </c>
      <c r="E962" s="474">
        <f>E974</f>
        <v>62</v>
      </c>
      <c r="F962" s="474">
        <f>E962*C962</f>
        <v>12.586</v>
      </c>
      <c r="G962" s="436"/>
      <c r="H962" s="459"/>
      <c r="I962" s="475">
        <f>C962*(C933+C934)</f>
        <v>0</v>
      </c>
      <c r="J962" s="463">
        <f>C935</f>
        <v>0.1</v>
      </c>
      <c r="K962" s="476">
        <f>I962-(I962*J962)</f>
        <v>0</v>
      </c>
      <c r="L962" s="471">
        <f>K962*E962</f>
        <v>0</v>
      </c>
      <c r="M962" s="452">
        <f>(L962*M960)-L962</f>
        <v>0</v>
      </c>
      <c r="N962" s="364">
        <f>L962*M960</f>
        <v>0</v>
      </c>
      <c r="O962" s="471" t="e">
        <f>N962*E936</f>
        <v>#DIV/0!</v>
      </c>
      <c r="P962" s="442"/>
      <c r="Q962" s="452"/>
      <c r="R962" s="452"/>
    </row>
    <row r="963" spans="2:18" s="420" customFormat="1" ht="14.4" x14ac:dyDescent="0.3">
      <c r="B963" s="442" t="s">
        <v>952</v>
      </c>
      <c r="C963" s="472">
        <v>0.14000000000000001</v>
      </c>
      <c r="D963" s="438" t="s">
        <v>954</v>
      </c>
      <c r="E963" s="436">
        <f>E974</f>
        <v>62</v>
      </c>
      <c r="F963" s="436">
        <f>(E963*C963)*1.95</f>
        <v>16.926000000000002</v>
      </c>
      <c r="G963" s="436"/>
      <c r="H963" s="459"/>
      <c r="I963" s="442"/>
      <c r="J963" s="442"/>
      <c r="L963" s="471"/>
      <c r="N963" s="477"/>
      <c r="O963" s="442"/>
      <c r="P963" s="442"/>
    </row>
    <row r="964" spans="2:18" s="420" customFormat="1" ht="14.4" x14ac:dyDescent="0.3">
      <c r="B964" s="442" t="s">
        <v>955</v>
      </c>
      <c r="C964" s="472">
        <v>0.45</v>
      </c>
      <c r="D964" s="438" t="s">
        <v>953</v>
      </c>
      <c r="E964" s="436">
        <f>E975</f>
        <v>62</v>
      </c>
      <c r="F964" s="436">
        <f>E964*C964</f>
        <v>27.900000000000002</v>
      </c>
      <c r="G964" s="436"/>
      <c r="H964" s="459"/>
      <c r="I964" s="442">
        <v>0</v>
      </c>
      <c r="J964" s="442"/>
      <c r="L964" s="471">
        <f>I964*E964</f>
        <v>0</v>
      </c>
      <c r="N964" s="478">
        <f>L964*$L$297</f>
        <v>0</v>
      </c>
      <c r="O964" s="442"/>
      <c r="P964" s="442"/>
    </row>
    <row r="965" spans="2:18" s="420" customFormat="1" ht="14.4" x14ac:dyDescent="0.3">
      <c r="B965" s="442" t="s">
        <v>956</v>
      </c>
      <c r="C965" s="442">
        <v>0</v>
      </c>
      <c r="D965" s="438" t="s">
        <v>953</v>
      </c>
      <c r="E965" s="436">
        <f>E976</f>
        <v>25</v>
      </c>
      <c r="F965" s="436">
        <f>E965*C965</f>
        <v>0</v>
      </c>
      <c r="G965" s="436"/>
      <c r="H965" s="459"/>
      <c r="I965" s="442">
        <v>0</v>
      </c>
      <c r="J965" s="442"/>
      <c r="L965" s="471">
        <f>I965*E965</f>
        <v>0</v>
      </c>
      <c r="N965" s="478">
        <f>L965*$L$297</f>
        <v>0</v>
      </c>
      <c r="O965" s="442"/>
      <c r="P965" s="442"/>
    </row>
    <row r="966" spans="2:18" s="420" customFormat="1" ht="14.4" x14ac:dyDescent="0.3">
      <c r="B966" s="442" t="s">
        <v>957</v>
      </c>
      <c r="C966" s="472">
        <v>0.22500000000000001</v>
      </c>
      <c r="D966" s="473" t="s">
        <v>953</v>
      </c>
      <c r="E966" s="474">
        <f>E977</f>
        <v>62</v>
      </c>
      <c r="F966" s="474">
        <f>E966*C966</f>
        <v>13.950000000000001</v>
      </c>
      <c r="G966" s="436"/>
      <c r="H966" s="459"/>
      <c r="I966" s="475">
        <f>C966*(C933+C934)</f>
        <v>0</v>
      </c>
      <c r="J966" s="463">
        <f>C935</f>
        <v>0.1</v>
      </c>
      <c r="K966" s="476">
        <f>I966-(I966*J966)</f>
        <v>0</v>
      </c>
      <c r="L966" s="471">
        <f>K966*E966</f>
        <v>0</v>
      </c>
      <c r="M966" s="452">
        <f>(L966*M960)-L966</f>
        <v>0</v>
      </c>
      <c r="N966" s="364">
        <f>L966*M960</f>
        <v>0</v>
      </c>
      <c r="O966" s="442"/>
      <c r="P966" s="471" t="e">
        <f>N966*E937</f>
        <v>#DIV/0!</v>
      </c>
      <c r="Q966" s="452" t="e">
        <f>N966*E938</f>
        <v>#DIV/0!</v>
      </c>
    </row>
    <row r="967" spans="2:18" s="420" customFormat="1" ht="14.4" x14ac:dyDescent="0.3">
      <c r="B967" s="442" t="s">
        <v>957</v>
      </c>
      <c r="C967" s="472">
        <v>0.14000000000000001</v>
      </c>
      <c r="D967" s="438" t="s">
        <v>954</v>
      </c>
      <c r="E967" s="436">
        <f>E977</f>
        <v>62</v>
      </c>
      <c r="F967" s="436">
        <f>(E967*C967)*1.5</f>
        <v>13.020000000000003</v>
      </c>
      <c r="G967" s="436"/>
      <c r="H967" s="459"/>
      <c r="I967" s="442"/>
      <c r="J967" s="442"/>
      <c r="L967" s="471"/>
      <c r="N967" s="477"/>
      <c r="O967" s="442"/>
      <c r="P967" s="442"/>
    </row>
    <row r="968" spans="2:18" s="420" customFormat="1" ht="14.4" x14ac:dyDescent="0.3">
      <c r="B968" s="442" t="s">
        <v>958</v>
      </c>
      <c r="C968" s="472">
        <v>0.36</v>
      </c>
      <c r="D968" s="438" t="s">
        <v>953</v>
      </c>
      <c r="E968" s="436">
        <f>F978</f>
        <v>27</v>
      </c>
      <c r="F968" s="436">
        <f>E968*C968</f>
        <v>9.7199999999999989</v>
      </c>
      <c r="G968" s="436"/>
      <c r="H968" s="459"/>
      <c r="I968" s="442">
        <f>C932*C968</f>
        <v>0</v>
      </c>
      <c r="J968" s="442"/>
      <c r="L968" s="471">
        <f>I968*E968</f>
        <v>0</v>
      </c>
      <c r="N968" s="478">
        <f>L968*$L$297</f>
        <v>0</v>
      </c>
      <c r="O968" s="442"/>
      <c r="P968" s="442"/>
    </row>
    <row r="969" spans="2:18" s="420" customFormat="1" ht="14.4" x14ac:dyDescent="0.3">
      <c r="B969" s="442" t="s">
        <v>959</v>
      </c>
      <c r="C969" s="472">
        <v>0.36</v>
      </c>
      <c r="D969" s="438" t="s">
        <v>953</v>
      </c>
      <c r="E969" s="436">
        <f>F979</f>
        <v>30</v>
      </c>
      <c r="F969" s="436">
        <f>E969*C969</f>
        <v>10.799999999999999</v>
      </c>
      <c r="G969" s="436"/>
      <c r="H969" s="459"/>
      <c r="I969" s="442">
        <f>C969*C932</f>
        <v>0</v>
      </c>
      <c r="J969" s="442"/>
      <c r="L969" s="471">
        <f>I969*E969</f>
        <v>0</v>
      </c>
      <c r="N969" s="478">
        <f>L969*$L$297</f>
        <v>0</v>
      </c>
      <c r="O969" s="442"/>
      <c r="P969" s="442"/>
    </row>
    <row r="970" spans="2:18" s="420" customFormat="1" ht="14.4" x14ac:dyDescent="0.3">
      <c r="B970" s="442" t="s">
        <v>960</v>
      </c>
      <c r="C970" s="472">
        <v>0.3</v>
      </c>
      <c r="D970" s="438" t="s">
        <v>954</v>
      </c>
      <c r="E970" s="436">
        <f>N980</f>
        <v>0</v>
      </c>
      <c r="F970" s="436">
        <f>E970*C970</f>
        <v>0</v>
      </c>
      <c r="G970" s="436"/>
      <c r="H970" s="459"/>
      <c r="I970" s="442">
        <f>C970*C930</f>
        <v>0</v>
      </c>
      <c r="J970" s="442"/>
      <c r="L970" s="471">
        <f>E970*I970</f>
        <v>0</v>
      </c>
      <c r="N970" s="479">
        <f>L970*$L$297</f>
        <v>0</v>
      </c>
      <c r="O970" s="442"/>
      <c r="P970" s="442"/>
    </row>
    <row r="971" spans="2:18" s="420" customFormat="1" ht="14.4" x14ac:dyDescent="0.3">
      <c r="B971" s="442"/>
      <c r="C971" s="442"/>
      <c r="D971" s="438"/>
      <c r="E971" s="480"/>
      <c r="F971" s="480"/>
      <c r="G971" s="436"/>
      <c r="H971" s="459"/>
      <c r="I971" s="442"/>
      <c r="J971" s="442"/>
      <c r="K971" s="442"/>
      <c r="L971" s="442"/>
      <c r="M971" s="442"/>
      <c r="N971" s="442"/>
      <c r="O971" s="442"/>
      <c r="P971" s="442"/>
    </row>
    <row r="972" spans="2:18" s="420" customFormat="1" ht="14.4" x14ac:dyDescent="0.3">
      <c r="B972" s="123"/>
      <c r="C972" s="481"/>
      <c r="D972" s="482"/>
      <c r="E972" s="483" t="s">
        <v>961</v>
      </c>
      <c r="F972" s="484" t="s">
        <v>962</v>
      </c>
      <c r="G972" s="459"/>
      <c r="H972" s="436"/>
      <c r="I972" s="436"/>
      <c r="J972" s="436"/>
      <c r="K972" s="436"/>
      <c r="L972" s="436"/>
      <c r="M972" s="436"/>
      <c r="N972" s="436"/>
      <c r="O972" s="436"/>
    </row>
    <row r="973" spans="2:18" s="420" customFormat="1" ht="14.4" x14ac:dyDescent="0.3">
      <c r="B973" s="373" t="s">
        <v>354</v>
      </c>
      <c r="C973" s="485"/>
      <c r="D973" s="486" t="s">
        <v>102</v>
      </c>
      <c r="E973" s="487" t="s">
        <v>939</v>
      </c>
      <c r="F973" s="487" t="s">
        <v>939</v>
      </c>
      <c r="G973" s="488"/>
      <c r="H973" s="436"/>
      <c r="I973" s="459"/>
      <c r="J973" s="436"/>
      <c r="K973" s="459"/>
      <c r="L973" s="436"/>
      <c r="M973" s="459"/>
      <c r="N973" s="436"/>
      <c r="O973" s="459"/>
    </row>
    <row r="974" spans="2:18" s="420" customFormat="1" ht="14.4" x14ac:dyDescent="0.3">
      <c r="B974" s="442" t="s">
        <v>952</v>
      </c>
      <c r="C974" s="438"/>
      <c r="D974" s="489" t="s">
        <v>963</v>
      </c>
      <c r="E974" s="490">
        <v>62</v>
      </c>
      <c r="F974" s="491">
        <v>31</v>
      </c>
      <c r="G974" s="459"/>
      <c r="H974" s="436"/>
      <c r="I974" s="459"/>
      <c r="J974" s="436"/>
      <c r="K974" s="459"/>
      <c r="L974" s="436"/>
      <c r="M974" s="459"/>
      <c r="N974" s="436"/>
      <c r="O974" s="459"/>
    </row>
    <row r="975" spans="2:18" s="420" customFormat="1" ht="14.4" x14ac:dyDescent="0.3">
      <c r="B975" s="442" t="s">
        <v>955</v>
      </c>
      <c r="C975" s="438"/>
      <c r="D975" s="489" t="s">
        <v>963</v>
      </c>
      <c r="E975" s="490">
        <v>62</v>
      </c>
      <c r="F975" s="492">
        <v>39</v>
      </c>
      <c r="G975" s="459"/>
      <c r="H975" s="436"/>
      <c r="I975" s="459"/>
      <c r="J975" s="436"/>
      <c r="K975" s="459"/>
      <c r="L975" s="436"/>
      <c r="M975" s="459"/>
      <c r="N975" s="436"/>
      <c r="O975" s="459"/>
    </row>
    <row r="976" spans="2:18" s="420" customFormat="1" ht="14.4" x14ac:dyDescent="0.3">
      <c r="B976" s="442" t="s">
        <v>956</v>
      </c>
      <c r="C976" s="438"/>
      <c r="D976" s="489" t="s">
        <v>963</v>
      </c>
      <c r="E976" s="493">
        <v>25</v>
      </c>
      <c r="F976" s="492">
        <v>29</v>
      </c>
      <c r="G976" s="459"/>
      <c r="H976" s="436"/>
      <c r="I976" s="459"/>
      <c r="J976" s="436"/>
      <c r="K976" s="459"/>
      <c r="L976" s="436"/>
      <c r="M976" s="459"/>
      <c r="N976" s="436"/>
      <c r="O976" s="459"/>
    </row>
    <row r="977" spans="2:15" s="420" customFormat="1" ht="14.4" x14ac:dyDescent="0.3">
      <c r="B977" s="442" t="s">
        <v>957</v>
      </c>
      <c r="C977" s="438"/>
      <c r="D977" s="489" t="s">
        <v>963</v>
      </c>
      <c r="E977" s="490">
        <v>62</v>
      </c>
      <c r="F977" s="492">
        <v>26</v>
      </c>
      <c r="G977" s="459"/>
      <c r="H977" s="436"/>
      <c r="I977" s="459"/>
      <c r="J977" s="436"/>
      <c r="K977" s="465"/>
      <c r="L977" s="436"/>
      <c r="M977" s="459"/>
      <c r="N977" s="436"/>
      <c r="O977" s="459"/>
    </row>
    <row r="978" spans="2:15" s="420" customFormat="1" ht="14.4" x14ac:dyDescent="0.3">
      <c r="B978" s="442" t="s">
        <v>958</v>
      </c>
      <c r="C978" s="438"/>
      <c r="D978" s="489" t="s">
        <v>963</v>
      </c>
      <c r="E978" s="493">
        <v>48</v>
      </c>
      <c r="F978" s="492">
        <v>27</v>
      </c>
      <c r="G978" s="459"/>
      <c r="H978" s="436"/>
      <c r="I978" s="459"/>
      <c r="J978" s="436"/>
      <c r="K978" s="465"/>
      <c r="L978" s="436"/>
      <c r="M978" s="459"/>
      <c r="N978" s="436"/>
      <c r="O978" s="459"/>
    </row>
    <row r="979" spans="2:15" s="420" customFormat="1" ht="14.4" x14ac:dyDescent="0.3">
      <c r="B979" s="442" t="s">
        <v>959</v>
      </c>
      <c r="C979" s="438"/>
      <c r="D979" s="489" t="s">
        <v>963</v>
      </c>
      <c r="E979" s="493">
        <v>50</v>
      </c>
      <c r="F979" s="492">
        <v>30</v>
      </c>
      <c r="G979" s="459"/>
      <c r="H979" s="436"/>
      <c r="I979" s="459"/>
      <c r="J979" s="436"/>
      <c r="K979" s="465"/>
      <c r="L979" s="436"/>
      <c r="M979" s="459"/>
      <c r="N979" s="436"/>
      <c r="O979" s="459"/>
    </row>
    <row r="980" spans="2:15" s="420" customFormat="1" ht="14.4" x14ac:dyDescent="0.3">
      <c r="B980" s="442" t="s">
        <v>964</v>
      </c>
      <c r="C980" s="438"/>
      <c r="D980" s="489" t="s">
        <v>965</v>
      </c>
      <c r="E980" s="494">
        <v>168</v>
      </c>
      <c r="F980" s="492">
        <v>0</v>
      </c>
      <c r="G980" s="459"/>
      <c r="H980" s="436"/>
      <c r="I980" s="459"/>
      <c r="J980" s="436"/>
      <c r="K980" s="459"/>
      <c r="L980" s="436"/>
      <c r="M980" s="459"/>
      <c r="N980" s="436"/>
      <c r="O980" s="459"/>
    </row>
    <row r="981" spans="2:15" s="420" customFormat="1" ht="14.4" x14ac:dyDescent="0.3">
      <c r="B981" s="442" t="s">
        <v>966</v>
      </c>
      <c r="C981" s="465"/>
      <c r="D981" s="489" t="s">
        <v>965</v>
      </c>
      <c r="E981" s="495">
        <v>153</v>
      </c>
      <c r="F981" s="495">
        <v>0</v>
      </c>
      <c r="G981" s="459"/>
      <c r="H981" s="436"/>
      <c r="I981" s="459"/>
      <c r="J981" s="436"/>
      <c r="K981" s="465"/>
      <c r="L981" s="436"/>
      <c r="M981" s="459"/>
      <c r="N981" s="436"/>
      <c r="O981" s="459"/>
    </row>
  </sheetData>
  <mergeCells count="6">
    <mergeCell ref="C920:E922"/>
    <mergeCell ref="A6:F6"/>
    <mergeCell ref="B9:G9"/>
    <mergeCell ref="D14:E14"/>
    <mergeCell ref="J14:P14"/>
    <mergeCell ref="C913:E915"/>
  </mergeCells>
  <phoneticPr fontId="9" type="noConversion"/>
  <printOptions gridLines="1"/>
  <pageMargins left="0.46" right="0.42" top="0.37" bottom="0.4" header="0.39" footer="0.38"/>
  <pageSetup paperSize="8" scale="80" orientation="portrait" horizontalDpi="1200" verticalDpi="1200"/>
  <headerFooter alignWithMargins="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525A-F1A4-4924-A095-D2CA15E7850C}">
  <sheetPr>
    <tabColor theme="7"/>
  </sheetPr>
  <dimension ref="A1:R968"/>
  <sheetViews>
    <sheetView topLeftCell="A975" zoomScaleNormal="100" workbookViewId="0">
      <selection activeCell="E779" sqref="E779"/>
    </sheetView>
  </sheetViews>
  <sheetFormatPr defaultColWidth="9.109375" defaultRowHeight="10.199999999999999" x14ac:dyDescent="0.2"/>
  <cols>
    <col min="1" max="1" width="8.109375" style="38" customWidth="1"/>
    <col min="2" max="2" width="69.6640625" style="38" customWidth="1"/>
    <col min="3" max="3" width="23.5546875" style="40" customWidth="1"/>
    <col min="4" max="4" width="14.109375" style="40" customWidth="1"/>
    <col min="5" max="5" width="17.33203125" style="41" customWidth="1"/>
    <col min="6" max="6" width="14.109375" style="41" customWidth="1"/>
    <col min="7" max="9" width="9.109375" style="38"/>
    <col min="10" max="10" width="16" style="38" customWidth="1"/>
    <col min="11" max="11" width="9.109375" style="38"/>
    <col min="12" max="12" width="10" style="38" bestFit="1" customWidth="1"/>
    <col min="13" max="13" width="13.88671875" style="38" customWidth="1"/>
    <col min="14" max="14" width="10.109375" style="38" bestFit="1" customWidth="1"/>
    <col min="15"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23"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v>47</v>
      </c>
      <c r="E18" s="48">
        <f>'LabourProject Rates_Master'!$E$37</f>
        <v>2650.394536340852</v>
      </c>
      <c r="F18" s="48">
        <f t="shared" si="0"/>
        <v>124568.54320802004</v>
      </c>
      <c r="K18" s="149" t="s">
        <v>143</v>
      </c>
      <c r="L18" s="189">
        <v>0.15</v>
      </c>
      <c r="M18" s="40">
        <v>1.1499999999999999</v>
      </c>
    </row>
    <row r="19" spans="1:13" s="40" customFormat="1" x14ac:dyDescent="0.2">
      <c r="A19" s="42"/>
      <c r="B19" s="38" t="str">
        <f>'LabourProject Rates_Master'!$B$43</f>
        <v>Crew #2 - InGround Water/Fire</v>
      </c>
      <c r="C19" s="40" t="s">
        <v>93</v>
      </c>
      <c r="D19" s="333">
        <v>20</v>
      </c>
      <c r="E19" s="48">
        <f>'LabourProject Rates_Master'!$E$44</f>
        <v>2650.394536340852</v>
      </c>
      <c r="F19" s="48">
        <f t="shared" si="0"/>
        <v>53007.890726817044</v>
      </c>
      <c r="K19" s="149" t="s">
        <v>144</v>
      </c>
      <c r="L19" s="189">
        <v>0.2</v>
      </c>
      <c r="M19" s="40">
        <v>1.2</v>
      </c>
    </row>
    <row r="20" spans="1:13" s="40" customFormat="1" x14ac:dyDescent="0.2">
      <c r="A20" s="42"/>
      <c r="B20" s="38" t="str">
        <f>'LabourProject Rates_Master'!B51</f>
        <v>Crew #3 - Above Ground Drainage</v>
      </c>
      <c r="C20" s="40" t="s">
        <v>93</v>
      </c>
      <c r="D20" s="333">
        <v>17</v>
      </c>
      <c r="E20" s="48">
        <f>'LabourProject Rates_Master'!E52</f>
        <v>2650.394536340852</v>
      </c>
      <c r="F20" s="48">
        <f t="shared" si="0"/>
        <v>45056.707117794482</v>
      </c>
      <c r="K20" s="149"/>
      <c r="L20" s="189"/>
    </row>
    <row r="21" spans="1:13" s="40" customFormat="1" x14ac:dyDescent="0.2">
      <c r="A21" s="42"/>
      <c r="B21" s="38" t="str">
        <f>'LabourProject Rates_Master'!B59</f>
        <v>Crew #4 - Above Ground WATER/FIRE</v>
      </c>
      <c r="C21" s="40" t="s">
        <v>93</v>
      </c>
      <c r="D21" s="333">
        <v>49</v>
      </c>
      <c r="E21" s="48">
        <f>'LabourProject Rates_Master'!E60</f>
        <v>2650.394536340852</v>
      </c>
      <c r="F21" s="48">
        <f t="shared" si="0"/>
        <v>129869.33228070175</v>
      </c>
      <c r="K21" s="149"/>
      <c r="L21" s="189"/>
    </row>
    <row r="22" spans="1:13" s="40" customFormat="1" x14ac:dyDescent="0.2">
      <c r="A22" s="42"/>
      <c r="B22" s="38" t="str">
        <f>'LabourProject Rates_Master'!B67</f>
        <v>Crew #5 - Above Ground FitOff / Misc</v>
      </c>
      <c r="C22" s="40" t="s">
        <v>93</v>
      </c>
      <c r="D22" s="333">
        <v>15</v>
      </c>
      <c r="E22" s="48">
        <f>'LabourProject Rates_Master'!E68</f>
        <v>2650.394536340852</v>
      </c>
      <c r="F22" s="48">
        <f t="shared" si="0"/>
        <v>39755.918045112783</v>
      </c>
      <c r="K22" s="149"/>
      <c r="L22" s="189"/>
    </row>
    <row r="23" spans="1:13" s="40" customFormat="1" x14ac:dyDescent="0.2">
      <c r="A23" s="42"/>
      <c r="B23" s="38" t="str">
        <f>'LabourProject Rates_Master'!B75</f>
        <v>Crew #6 - DEMO</v>
      </c>
      <c r="C23" s="40" t="s">
        <v>93</v>
      </c>
      <c r="D23" s="333"/>
      <c r="E23" s="48">
        <f>'LabourProject Rates_Master'!E76</f>
        <v>1709.2298078529657</v>
      </c>
      <c r="F23" s="48">
        <f t="shared" si="0"/>
        <v>0</v>
      </c>
      <c r="K23" s="149"/>
      <c r="L23" s="189"/>
    </row>
    <row r="24" spans="1:13" s="40" customFormat="1" x14ac:dyDescent="0.2">
      <c r="A24" s="42"/>
      <c r="B24" s="38"/>
      <c r="D24" s="333"/>
      <c r="E24" s="48"/>
      <c r="F24" s="48"/>
      <c r="K24" s="149"/>
      <c r="L24" s="189"/>
    </row>
    <row r="25" spans="1:13" s="40" customFormat="1" x14ac:dyDescent="0.2">
      <c r="A25" s="42"/>
      <c r="B25" s="38"/>
      <c r="D25" s="333"/>
      <c r="E25" s="48"/>
      <c r="F25" s="48"/>
      <c r="K25" s="149"/>
      <c r="L25" s="189"/>
    </row>
    <row r="26" spans="1:13" s="40" customFormat="1" ht="6.6" customHeight="1" x14ac:dyDescent="0.2">
      <c r="A26" s="42"/>
      <c r="B26" s="38"/>
      <c r="E26" s="311"/>
      <c r="F26" s="41"/>
    </row>
    <row r="27" spans="1:13" s="40" customFormat="1" x14ac:dyDescent="0.2">
      <c r="A27" s="38"/>
      <c r="B27" s="191" t="s">
        <v>145</v>
      </c>
      <c r="C27" s="42"/>
      <c r="D27" s="42"/>
      <c r="E27" s="45"/>
      <c r="F27" s="48"/>
    </row>
    <row r="28" spans="1:13" s="40" customFormat="1" x14ac:dyDescent="0.2">
      <c r="A28" s="38"/>
      <c r="B28" s="38" t="str">
        <f>'LabourProject Rates_Master'!$B$14</f>
        <v>TRADESMAN_LEADING HAND</v>
      </c>
      <c r="C28" s="40" t="s">
        <v>146</v>
      </c>
      <c r="D28" s="40">
        <v>0</v>
      </c>
      <c r="E28" s="48">
        <f>'LabourProject Rates_Master'!$E$14</f>
        <v>123.11428571428571</v>
      </c>
      <c r="F28" s="48">
        <f t="shared" ref="F28:F32" si="1">E28*D28</f>
        <v>0</v>
      </c>
    </row>
    <row r="29" spans="1:13" s="40" customFormat="1" ht="11.4" customHeight="1" x14ac:dyDescent="0.2">
      <c r="A29" s="38"/>
      <c r="B29" s="38" t="str">
        <f>'LabourProject Rates_Master'!$B$23</f>
        <v>TRADESMAN_PLUMBER_OPERATOR</v>
      </c>
      <c r="C29" s="40" t="s">
        <v>146</v>
      </c>
      <c r="D29" s="40">
        <v>0</v>
      </c>
      <c r="E29" s="48">
        <f>'LabourProject Rates_Master'!$E$21</f>
        <v>94.116472848788632</v>
      </c>
      <c r="F29" s="48">
        <f t="shared" si="1"/>
        <v>0</v>
      </c>
    </row>
    <row r="30" spans="1:13" s="40" customFormat="1" ht="11.4" customHeight="1" x14ac:dyDescent="0.2">
      <c r="A30" s="42"/>
      <c r="B30" s="38" t="str">
        <f>'LabourProject Rates_Master'!$B$30</f>
        <v>T/A &amp; Apprentice</v>
      </c>
      <c r="C30" s="40" t="s">
        <v>146</v>
      </c>
      <c r="D30" s="40">
        <v>0</v>
      </c>
      <c r="E30" s="48">
        <f>'LabourProject Rates_Master'!$E$28</f>
        <v>76.806507936507941</v>
      </c>
      <c r="F30" s="48">
        <f t="shared" si="1"/>
        <v>0</v>
      </c>
    </row>
    <row r="31" spans="1:13" s="40" customFormat="1" ht="11.4" customHeight="1" x14ac:dyDescent="0.2">
      <c r="A31" s="42"/>
      <c r="B31" s="38" t="str">
        <f>'LabourProject Rates_Master'!$B$36</f>
        <v>Crew #1 - InGround Drainage</v>
      </c>
      <c r="C31" s="40" t="s">
        <v>146</v>
      </c>
      <c r="D31" s="40">
        <v>0</v>
      </c>
      <c r="E31" s="48">
        <f>'LabourProject Rates_Master'!$E$36</f>
        <v>265.03945363408519</v>
      </c>
      <c r="F31" s="48">
        <f t="shared" si="1"/>
        <v>0</v>
      </c>
    </row>
    <row r="32" spans="1:13" s="40" customFormat="1" x14ac:dyDescent="0.2">
      <c r="A32" s="42"/>
      <c r="B32" s="38" t="str">
        <f>'LabourProject Rates_Master'!$B$43</f>
        <v>Crew #2 - InGround Water/Fire</v>
      </c>
      <c r="C32" s="40" t="s">
        <v>146</v>
      </c>
      <c r="D32" s="40">
        <v>0</v>
      </c>
      <c r="E32" s="48">
        <f>'LabourProject Rates_Master'!$E$43</f>
        <v>265.03945363408519</v>
      </c>
      <c r="F32" s="48">
        <f t="shared" si="1"/>
        <v>0</v>
      </c>
    </row>
    <row r="33" spans="1:6" ht="7.5" customHeight="1" x14ac:dyDescent="0.2">
      <c r="E33" s="48"/>
    </row>
    <row r="34" spans="1:6" ht="10.8" thickBot="1" x14ac:dyDescent="0.25">
      <c r="A34" s="40"/>
      <c r="E34" s="48"/>
      <c r="F34" s="48"/>
    </row>
    <row r="35" spans="1:6" ht="10.8" thickBot="1" x14ac:dyDescent="0.25">
      <c r="A35" s="42"/>
      <c r="B35" s="386" t="s">
        <v>147</v>
      </c>
      <c r="C35" s="387"/>
      <c r="D35" s="387"/>
      <c r="E35" s="388"/>
      <c r="F35" s="388"/>
    </row>
    <row r="36" spans="1:6" x14ac:dyDescent="0.2">
      <c r="A36" s="40"/>
      <c r="B36" s="389" t="s">
        <v>148</v>
      </c>
      <c r="C36" s="387"/>
      <c r="D36" s="387"/>
      <c r="E36" s="388"/>
      <c r="F36" s="388"/>
    </row>
    <row r="37" spans="1:6" x14ac:dyDescent="0.2">
      <c r="A37" s="40"/>
      <c r="B37" s="390" t="str">
        <f>'Misc Subbie Rates_Master'!A49</f>
        <v>Asphalt Cutting</v>
      </c>
      <c r="C37" s="387" t="s">
        <v>149</v>
      </c>
      <c r="D37" s="391"/>
      <c r="E37" s="388">
        <f>'Misc Subbie Rates_Master'!D49+('Misc Subbie Rates_Master'!D49*$L$18)</f>
        <v>15.525</v>
      </c>
      <c r="F37" s="388">
        <f>E37*D37</f>
        <v>0</v>
      </c>
    </row>
    <row r="38" spans="1:6" x14ac:dyDescent="0.2">
      <c r="A38" s="40"/>
      <c r="B38" s="390" t="str">
        <f>'Misc Subbie Rates_Master'!A50</f>
        <v>Concrete Cutting</v>
      </c>
      <c r="C38" s="387" t="s">
        <v>149</v>
      </c>
      <c r="D38" s="387"/>
      <c r="E38" s="388">
        <f>'Misc Subbie Rates_Master'!D50+('Misc Subbie Rates_Master'!D50*$L$18)</f>
        <v>18.399999999999999</v>
      </c>
      <c r="F38" s="388">
        <f t="shared" ref="F38:F48" si="2">E38*D38</f>
        <v>0</v>
      </c>
    </row>
    <row r="39" spans="1:6" x14ac:dyDescent="0.2">
      <c r="A39" s="40"/>
      <c r="B39" s="390" t="s">
        <v>150</v>
      </c>
      <c r="C39" s="387" t="s">
        <v>115</v>
      </c>
      <c r="D39" s="387"/>
      <c r="E39" s="388">
        <f>'Misc Subbie Rates_Master'!D51+('Misc Subbie Rates_Master'!D51*$L$18)</f>
        <v>92</v>
      </c>
      <c r="F39" s="388">
        <f t="shared" si="2"/>
        <v>0</v>
      </c>
    </row>
    <row r="40" spans="1:6" x14ac:dyDescent="0.2">
      <c r="A40" s="40"/>
      <c r="B40" s="389" t="s">
        <v>151</v>
      </c>
      <c r="C40" s="387"/>
      <c r="D40" s="387"/>
      <c r="E40" s="388"/>
      <c r="F40" s="388"/>
    </row>
    <row r="41" spans="1:6" x14ac:dyDescent="0.2">
      <c r="A41" s="40"/>
      <c r="B41" s="390" t="str">
        <f>'Misc Subbie Rates_Master'!A56</f>
        <v>Road/Drveway Reinstate; 1mW x 150 Thck, N25/20/80, Incl Reinforcement</v>
      </c>
      <c r="C41" s="387" t="s">
        <v>149</v>
      </c>
      <c r="D41" s="387"/>
      <c r="E41" s="388">
        <f>'Misc Subbie Rates_Master'!D56</f>
        <v>145</v>
      </c>
      <c r="F41" s="388">
        <f t="shared" si="2"/>
        <v>0</v>
      </c>
    </row>
    <row r="42" spans="1:6" x14ac:dyDescent="0.2">
      <c r="A42" s="40"/>
      <c r="B42" s="390" t="str">
        <f>'Misc Subbie Rates_Master'!A57</f>
        <v>Kerb &amp; Channel - 1m Wide</v>
      </c>
      <c r="C42" s="387" t="s">
        <v>115</v>
      </c>
      <c r="D42" s="387"/>
      <c r="E42" s="388">
        <f>'Misc Subbie Rates_Master'!D57</f>
        <v>155</v>
      </c>
      <c r="F42" s="388">
        <f t="shared" si="2"/>
        <v>0</v>
      </c>
    </row>
    <row r="43" spans="1:6" x14ac:dyDescent="0.2">
      <c r="A43" s="40"/>
      <c r="B43" s="390" t="str">
        <f>'Misc Subbie Rates_Master'!A58</f>
        <v>Footpath - 1.5mW, N25/20/80, Incl Reinforcement</v>
      </c>
      <c r="C43" s="387" t="s">
        <v>152</v>
      </c>
      <c r="D43" s="387"/>
      <c r="E43" s="388">
        <f>'Misc Subbie Rates_Master'!D58</f>
        <v>180</v>
      </c>
      <c r="F43" s="388">
        <f t="shared" si="2"/>
        <v>0</v>
      </c>
    </row>
    <row r="44" spans="1:6" x14ac:dyDescent="0.2">
      <c r="A44" s="40"/>
      <c r="B44" s="390" t="str">
        <f>'Misc Subbie Rates_Master'!A59</f>
        <v>Footpath - 1.5mW, EXPOSED AGG, N25/20/80, Incl Reinforcement</v>
      </c>
      <c r="C44" s="387" t="s">
        <v>152</v>
      </c>
      <c r="D44" s="387"/>
      <c r="E44" s="388">
        <f>'Misc Subbie Rates_Master'!D59</f>
        <v>185</v>
      </c>
      <c r="F44" s="388">
        <f t="shared" si="2"/>
        <v>0</v>
      </c>
    </row>
    <row r="45" spans="1:6" x14ac:dyDescent="0.2">
      <c r="A45" s="40"/>
      <c r="B45" s="389" t="s">
        <v>153</v>
      </c>
      <c r="C45" s="387"/>
      <c r="D45" s="387"/>
      <c r="E45" s="388"/>
      <c r="F45" s="388"/>
    </row>
    <row r="46" spans="1:6" x14ac:dyDescent="0.2">
      <c r="A46" s="40"/>
      <c r="B46" s="390" t="str">
        <f>'Misc Subbie Rates_Master'!A64</f>
        <v xml:space="preserve">50mm Thck - Trench Reinstatement Through Road/Driveway </v>
      </c>
      <c r="C46" s="387" t="s">
        <v>154</v>
      </c>
      <c r="D46" s="387"/>
      <c r="E46" s="388">
        <f>'Misc Subbie Rates_Master'!D64</f>
        <v>97</v>
      </c>
      <c r="F46" s="388">
        <f t="shared" si="2"/>
        <v>0</v>
      </c>
    </row>
    <row r="47" spans="1:6" x14ac:dyDescent="0.2">
      <c r="A47" s="40"/>
      <c r="B47" s="390" t="str">
        <f>'Misc Subbie Rates_Master'!A65</f>
        <v xml:space="preserve">50mm Thck - 1.5-2m Wide Footpath reinstatements </v>
      </c>
      <c r="C47" s="387" t="s">
        <v>154</v>
      </c>
      <c r="D47" s="387"/>
      <c r="E47" s="388">
        <f>'Misc Subbie Rates_Master'!D65</f>
        <v>97</v>
      </c>
      <c r="F47" s="388">
        <f t="shared" si="2"/>
        <v>0</v>
      </c>
    </row>
    <row r="48" spans="1:6" x14ac:dyDescent="0.2">
      <c r="A48" s="40"/>
      <c r="B48" s="390" t="str">
        <f>'Misc Subbie Rates_Master'!A66</f>
        <v>Establishment Fee (1 per stage)</v>
      </c>
      <c r="C48" s="387" t="s">
        <v>155</v>
      </c>
      <c r="D48" s="387"/>
      <c r="E48" s="388">
        <f>'Misc Subbie Rates_Master'!D66</f>
        <v>5500</v>
      </c>
      <c r="F48" s="388">
        <f t="shared" si="2"/>
        <v>0</v>
      </c>
    </row>
    <row r="49" spans="1:6" ht="10.8" thickBot="1" x14ac:dyDescent="0.25">
      <c r="A49" s="40"/>
      <c r="E49" s="48"/>
      <c r="F49" s="48"/>
    </row>
    <row r="50" spans="1:6" ht="10.8" thickBot="1" x14ac:dyDescent="0.25">
      <c r="A50" s="42"/>
      <c r="B50" s="49" t="s">
        <v>156</v>
      </c>
      <c r="E50" s="48"/>
      <c r="F50" s="48"/>
    </row>
    <row r="51" spans="1:6" x14ac:dyDescent="0.2">
      <c r="A51" s="40"/>
      <c r="E51" s="48"/>
      <c r="F51" s="48"/>
    </row>
    <row r="52" spans="1:6" x14ac:dyDescent="0.2">
      <c r="A52" s="38" t="s">
        <v>498</v>
      </c>
      <c r="B52" s="284" t="s">
        <v>157</v>
      </c>
      <c r="E52" s="48"/>
      <c r="F52" s="48"/>
    </row>
    <row r="53" spans="1:6" hidden="1" x14ac:dyDescent="0.2">
      <c r="B53" s="38" t="s">
        <v>158</v>
      </c>
      <c r="C53" s="40" t="s">
        <v>159</v>
      </c>
      <c r="E53" s="48">
        <f>'Misc Subbie Rates_Master'!D10</f>
        <v>100</v>
      </c>
      <c r="F53" s="48">
        <f>E53*D53</f>
        <v>0</v>
      </c>
    </row>
    <row r="54" spans="1:6" hidden="1" x14ac:dyDescent="0.2">
      <c r="B54" s="38" t="s">
        <v>160</v>
      </c>
      <c r="C54" s="40" t="s">
        <v>159</v>
      </c>
      <c r="E54" s="48">
        <f>'Misc Subbie Rates_Master'!D11</f>
        <v>115</v>
      </c>
      <c r="F54" s="48">
        <f t="shared" ref="F54:F71" si="3">E54*D54</f>
        <v>0</v>
      </c>
    </row>
    <row r="55" spans="1:6" hidden="1" x14ac:dyDescent="0.2">
      <c r="B55" s="38" t="s">
        <v>161</v>
      </c>
      <c r="C55" s="40" t="s">
        <v>159</v>
      </c>
      <c r="E55" s="48">
        <f>'Misc Subbie Rates_Master'!D12</f>
        <v>154</v>
      </c>
      <c r="F55" s="48">
        <f t="shared" si="3"/>
        <v>0</v>
      </c>
    </row>
    <row r="56" spans="1:6" hidden="1" x14ac:dyDescent="0.2">
      <c r="B56" s="38" t="s">
        <v>162</v>
      </c>
      <c r="C56" s="40" t="s">
        <v>159</v>
      </c>
      <c r="E56" s="48">
        <f>'Misc Subbie Rates_Master'!D13</f>
        <v>21</v>
      </c>
      <c r="F56" s="48">
        <f t="shared" si="3"/>
        <v>0</v>
      </c>
    </row>
    <row r="57" spans="1:6" hidden="1" x14ac:dyDescent="0.2">
      <c r="B57" s="38" t="s">
        <v>163</v>
      </c>
      <c r="C57" s="40" t="s">
        <v>159</v>
      </c>
      <c r="E57" s="48">
        <f>'Misc Subbie Rates_Master'!D14</f>
        <v>10</v>
      </c>
      <c r="F57" s="48">
        <f t="shared" si="3"/>
        <v>0</v>
      </c>
    </row>
    <row r="58" spans="1:6" hidden="1" x14ac:dyDescent="0.2">
      <c r="B58" s="38" t="s">
        <v>164</v>
      </c>
      <c r="C58" s="40" t="s">
        <v>159</v>
      </c>
      <c r="E58" s="48">
        <f>'Misc Subbie Rates_Master'!D15</f>
        <v>150</v>
      </c>
      <c r="F58" s="48">
        <f t="shared" si="3"/>
        <v>0</v>
      </c>
    </row>
    <row r="59" spans="1:6" hidden="1" x14ac:dyDescent="0.2">
      <c r="B59" s="38" t="s">
        <v>165</v>
      </c>
      <c r="C59" s="40" t="s">
        <v>159</v>
      </c>
      <c r="E59" s="48">
        <f>'Misc Subbie Rates_Master'!D16</f>
        <v>50</v>
      </c>
      <c r="F59" s="48">
        <f t="shared" si="3"/>
        <v>0</v>
      </c>
    </row>
    <row r="60" spans="1:6" hidden="1" x14ac:dyDescent="0.2">
      <c r="B60" s="38" t="s">
        <v>166</v>
      </c>
      <c r="C60" s="40" t="s">
        <v>159</v>
      </c>
      <c r="E60" s="48">
        <f>'Misc Subbie Rates_Master'!D17</f>
        <v>140</v>
      </c>
      <c r="F60" s="48">
        <f t="shared" si="3"/>
        <v>0</v>
      </c>
    </row>
    <row r="61" spans="1:6" hidden="1" x14ac:dyDescent="0.2">
      <c r="B61" s="38" t="s">
        <v>167</v>
      </c>
      <c r="C61" s="40" t="s">
        <v>159</v>
      </c>
      <c r="E61" s="48">
        <f>'Misc Subbie Rates_Master'!D18</f>
        <v>128</v>
      </c>
      <c r="F61" s="48">
        <f t="shared" si="3"/>
        <v>0</v>
      </c>
    </row>
    <row r="62" spans="1:6" hidden="1" x14ac:dyDescent="0.2">
      <c r="B62" s="38" t="s">
        <v>168</v>
      </c>
      <c r="C62" s="40" t="s">
        <v>159</v>
      </c>
      <c r="E62" s="48">
        <f>'Misc Subbie Rates_Master'!D19</f>
        <v>26</v>
      </c>
      <c r="F62" s="48">
        <f t="shared" si="3"/>
        <v>0</v>
      </c>
    </row>
    <row r="63" spans="1:6" hidden="1" x14ac:dyDescent="0.2">
      <c r="B63" s="38" t="s">
        <v>169</v>
      </c>
      <c r="C63" s="40" t="s">
        <v>159</v>
      </c>
      <c r="E63" s="48">
        <f>'Misc Subbie Rates_Master'!D20</f>
        <v>10</v>
      </c>
      <c r="F63" s="48">
        <f t="shared" si="3"/>
        <v>0</v>
      </c>
    </row>
    <row r="64" spans="1:6" hidden="1" x14ac:dyDescent="0.2">
      <c r="B64" s="38" t="s">
        <v>170</v>
      </c>
      <c r="C64" s="40" t="s">
        <v>159</v>
      </c>
      <c r="E64" s="48">
        <f>'Misc Subbie Rates_Master'!D21</f>
        <v>153</v>
      </c>
      <c r="F64" s="48">
        <f t="shared" si="3"/>
        <v>0</v>
      </c>
    </row>
    <row r="65" spans="1:6" hidden="1" x14ac:dyDescent="0.2">
      <c r="B65" s="38" t="s">
        <v>171</v>
      </c>
      <c r="C65" s="40" t="s">
        <v>159</v>
      </c>
      <c r="E65" s="48">
        <f>'Misc Subbie Rates_Master'!D22</f>
        <v>36</v>
      </c>
      <c r="F65" s="48">
        <f t="shared" si="3"/>
        <v>0</v>
      </c>
    </row>
    <row r="66" spans="1:6" hidden="1" x14ac:dyDescent="0.2">
      <c r="B66" s="38" t="s">
        <v>172</v>
      </c>
      <c r="C66" s="40" t="s">
        <v>159</v>
      </c>
      <c r="E66" s="48">
        <f>'Misc Subbie Rates_Master'!D23</f>
        <v>10</v>
      </c>
      <c r="F66" s="48">
        <f t="shared" si="3"/>
        <v>0</v>
      </c>
    </row>
    <row r="67" spans="1:6" hidden="1" x14ac:dyDescent="0.2">
      <c r="B67" s="38" t="s">
        <v>173</v>
      </c>
      <c r="C67" s="40" t="s">
        <v>159</v>
      </c>
      <c r="E67" s="48">
        <f>'Misc Subbie Rates_Master'!D24</f>
        <v>190</v>
      </c>
      <c r="F67" s="48">
        <f t="shared" si="3"/>
        <v>0</v>
      </c>
    </row>
    <row r="68" spans="1:6" hidden="1" x14ac:dyDescent="0.2">
      <c r="B68" s="38" t="s">
        <v>174</v>
      </c>
      <c r="C68" s="40" t="s">
        <v>159</v>
      </c>
      <c r="E68" s="48">
        <f>'Misc Subbie Rates_Master'!D25</f>
        <v>220</v>
      </c>
      <c r="F68" s="48">
        <f t="shared" si="3"/>
        <v>0</v>
      </c>
    </row>
    <row r="69" spans="1:6" hidden="1" x14ac:dyDescent="0.2">
      <c r="B69" s="38" t="s">
        <v>175</v>
      </c>
      <c r="C69" s="40" t="s">
        <v>159</v>
      </c>
      <c r="E69" s="48">
        <f>'Misc Subbie Rates_Master'!D26</f>
        <v>250</v>
      </c>
      <c r="F69" s="48">
        <f t="shared" si="3"/>
        <v>0</v>
      </c>
    </row>
    <row r="70" spans="1:6" hidden="1" x14ac:dyDescent="0.2">
      <c r="B70" s="38" t="s">
        <v>176</v>
      </c>
      <c r="C70" s="40" t="s">
        <v>159</v>
      </c>
      <c r="E70" s="48">
        <f>'Misc Subbie Rates_Master'!D27</f>
        <v>110</v>
      </c>
      <c r="F70" s="48">
        <f t="shared" si="3"/>
        <v>0</v>
      </c>
    </row>
    <row r="71" spans="1:6" hidden="1" x14ac:dyDescent="0.2">
      <c r="B71" s="38" t="s">
        <v>177</v>
      </c>
      <c r="C71" s="40" t="s">
        <v>159</v>
      </c>
      <c r="E71" s="48">
        <f>'Misc Subbie Rates_Master'!D28</f>
        <v>110</v>
      </c>
      <c r="F71" s="48">
        <f t="shared" si="3"/>
        <v>0</v>
      </c>
    </row>
    <row r="72" spans="1:6" x14ac:dyDescent="0.2">
      <c r="E72" s="48"/>
      <c r="F72" s="48"/>
    </row>
    <row r="73" spans="1:6" x14ac:dyDescent="0.2">
      <c r="B73" s="284" t="s">
        <v>178</v>
      </c>
      <c r="E73" s="48"/>
      <c r="F73" s="48"/>
    </row>
    <row r="74" spans="1:6" x14ac:dyDescent="0.2">
      <c r="A74" s="40"/>
      <c r="B74" s="201" t="s">
        <v>179</v>
      </c>
      <c r="C74" s="40" t="s">
        <v>93</v>
      </c>
      <c r="D74" s="40">
        <v>35</v>
      </c>
      <c r="E74" s="48">
        <f>'Equip&amp;HIRE_Master'!D4</f>
        <v>225.43333333333334</v>
      </c>
      <c r="F74" s="48">
        <f>E74*D74</f>
        <v>7890.166666666667</v>
      </c>
    </row>
    <row r="75" spans="1:6" x14ac:dyDescent="0.2">
      <c r="A75" s="40"/>
      <c r="B75" s="201" t="s">
        <v>180</v>
      </c>
      <c r="C75" s="40" t="s">
        <v>93</v>
      </c>
      <c r="E75" s="48">
        <f>'Equip&amp;HIRE_Master'!D5</f>
        <v>163.96666666666667</v>
      </c>
      <c r="F75" s="48">
        <f t="shared" ref="F75:F137" si="4">E75*D75</f>
        <v>0</v>
      </c>
    </row>
    <row r="76" spans="1:6" x14ac:dyDescent="0.2">
      <c r="A76" s="40"/>
      <c r="B76" s="201" t="s">
        <v>181</v>
      </c>
      <c r="C76" s="40" t="s">
        <v>93</v>
      </c>
      <c r="E76" s="48">
        <f>'Equip&amp;HIRE_Master'!D6</f>
        <v>180</v>
      </c>
      <c r="F76" s="48">
        <f t="shared" si="4"/>
        <v>0</v>
      </c>
    </row>
    <row r="77" spans="1:6" ht="6" customHeight="1" x14ac:dyDescent="0.2">
      <c r="A77" s="40"/>
      <c r="B77" s="201"/>
      <c r="E77" s="48">
        <f>'Equip&amp;HIRE_Master'!D7</f>
        <v>0</v>
      </c>
      <c r="F77" s="48">
        <f t="shared" si="4"/>
        <v>0</v>
      </c>
    </row>
    <row r="78" spans="1:6" x14ac:dyDescent="0.2">
      <c r="A78" s="40"/>
      <c r="B78" s="201" t="s">
        <v>182</v>
      </c>
      <c r="C78" s="40" t="s">
        <v>93</v>
      </c>
      <c r="D78" s="40">
        <v>35</v>
      </c>
      <c r="E78" s="48">
        <f>'Equip&amp;HIRE_Master'!D8</f>
        <v>137.14285714285714</v>
      </c>
      <c r="F78" s="48">
        <f t="shared" si="4"/>
        <v>4800</v>
      </c>
    </row>
    <row r="79" spans="1:6" x14ac:dyDescent="0.2">
      <c r="A79" s="40"/>
      <c r="B79" s="201" t="s">
        <v>183</v>
      </c>
      <c r="C79" s="40" t="s">
        <v>93</v>
      </c>
      <c r="E79" s="48">
        <f>'Equip&amp;HIRE_Master'!D9</f>
        <v>0</v>
      </c>
      <c r="F79" s="48">
        <f t="shared" si="4"/>
        <v>0</v>
      </c>
    </row>
    <row r="80" spans="1:6" x14ac:dyDescent="0.2">
      <c r="A80" s="40"/>
      <c r="B80" s="201" t="s">
        <v>184</v>
      </c>
      <c r="C80" s="40" t="s">
        <v>93</v>
      </c>
      <c r="E80" s="48">
        <f>'Equip&amp;HIRE_Master'!D10</f>
        <v>238.66666666666666</v>
      </c>
      <c r="F80" s="48">
        <f t="shared" si="4"/>
        <v>0</v>
      </c>
    </row>
    <row r="81" spans="1:6" x14ac:dyDescent="0.2">
      <c r="A81" s="40"/>
      <c r="B81" s="201" t="s">
        <v>185</v>
      </c>
      <c r="C81" s="40" t="s">
        <v>93</v>
      </c>
      <c r="D81" s="40">
        <v>35</v>
      </c>
      <c r="E81" s="48">
        <f>'Equip&amp;HIRE_Master'!D11</f>
        <v>261.16666666666669</v>
      </c>
      <c r="F81" s="48">
        <f t="shared" si="4"/>
        <v>9140.8333333333339</v>
      </c>
    </row>
    <row r="82" spans="1:6" x14ac:dyDescent="0.2">
      <c r="A82" s="40"/>
      <c r="B82" s="201" t="s">
        <v>186</v>
      </c>
      <c r="C82" s="40" t="s">
        <v>93</v>
      </c>
      <c r="E82" s="48">
        <f>'Equip&amp;HIRE_Master'!D12</f>
        <v>0</v>
      </c>
      <c r="F82" s="48">
        <f t="shared" si="4"/>
        <v>0</v>
      </c>
    </row>
    <row r="83" spans="1:6" x14ac:dyDescent="0.2">
      <c r="A83" s="40"/>
      <c r="B83" s="201" t="s">
        <v>187</v>
      </c>
      <c r="C83" s="40" t="s">
        <v>93</v>
      </c>
      <c r="E83" s="48">
        <f>'Equip&amp;HIRE_Master'!D13</f>
        <v>317.2</v>
      </c>
      <c r="F83" s="48">
        <f t="shared" si="4"/>
        <v>0</v>
      </c>
    </row>
    <row r="84" spans="1:6" x14ac:dyDescent="0.2">
      <c r="A84" s="40"/>
      <c r="B84" s="201" t="s">
        <v>188</v>
      </c>
      <c r="C84" s="40" t="s">
        <v>93</v>
      </c>
      <c r="E84" s="48">
        <f>'Equip&amp;HIRE_Master'!D14</f>
        <v>314.28571428571428</v>
      </c>
      <c r="F84" s="48">
        <f t="shared" si="4"/>
        <v>0</v>
      </c>
    </row>
    <row r="85" spans="1:6" ht="6.6" customHeight="1" x14ac:dyDescent="0.2">
      <c r="A85" s="40"/>
      <c r="B85" s="201"/>
      <c r="E85" s="48">
        <f>'Equip&amp;HIRE_Master'!D15</f>
        <v>0</v>
      </c>
      <c r="F85" s="48">
        <f t="shared" si="4"/>
        <v>0</v>
      </c>
    </row>
    <row r="86" spans="1:6" x14ac:dyDescent="0.2">
      <c r="A86" s="40"/>
      <c r="B86" s="201" t="s">
        <v>189</v>
      </c>
      <c r="C86" s="40" t="s">
        <v>93</v>
      </c>
      <c r="E86" s="48">
        <f>'Equip&amp;HIRE_Master'!D16</f>
        <v>0</v>
      </c>
      <c r="F86" s="48">
        <f t="shared" si="4"/>
        <v>0</v>
      </c>
    </row>
    <row r="87" spans="1:6" x14ac:dyDescent="0.2">
      <c r="A87" s="40"/>
      <c r="B87" s="201" t="s">
        <v>190</v>
      </c>
      <c r="C87" s="40" t="s">
        <v>93</v>
      </c>
      <c r="E87" s="48">
        <f>'Equip&amp;HIRE_Master'!D17</f>
        <v>32.74</v>
      </c>
      <c r="F87" s="48">
        <f t="shared" si="4"/>
        <v>0</v>
      </c>
    </row>
    <row r="88" spans="1:6" x14ac:dyDescent="0.2">
      <c r="A88" s="40"/>
      <c r="B88" s="201" t="s">
        <v>191</v>
      </c>
      <c r="C88" s="40" t="s">
        <v>93</v>
      </c>
      <c r="E88" s="48">
        <f>'Equip&amp;HIRE_Master'!D18</f>
        <v>0</v>
      </c>
      <c r="F88" s="48">
        <f t="shared" si="4"/>
        <v>0</v>
      </c>
    </row>
    <row r="89" spans="1:6" x14ac:dyDescent="0.2">
      <c r="A89" s="40"/>
      <c r="B89" s="201" t="s">
        <v>192</v>
      </c>
      <c r="C89" s="40" t="s">
        <v>93</v>
      </c>
      <c r="E89" s="48">
        <f>'Equip&amp;HIRE_Master'!D19</f>
        <v>40.380000000000003</v>
      </c>
      <c r="F89" s="48">
        <f t="shared" si="4"/>
        <v>0</v>
      </c>
    </row>
    <row r="90" spans="1:6" x14ac:dyDescent="0.2">
      <c r="A90" s="40"/>
      <c r="B90" s="201" t="s">
        <v>193</v>
      </c>
      <c r="C90" s="40" t="s">
        <v>93</v>
      </c>
      <c r="E90" s="48">
        <f>'Equip&amp;HIRE_Master'!D20</f>
        <v>123.33</v>
      </c>
      <c r="F90" s="48">
        <f t="shared" si="4"/>
        <v>0</v>
      </c>
    </row>
    <row r="91" spans="1:6" x14ac:dyDescent="0.2">
      <c r="A91" s="40"/>
      <c r="B91" s="201" t="s">
        <v>194</v>
      </c>
      <c r="C91" s="40" t="s">
        <v>93</v>
      </c>
      <c r="E91" s="48">
        <f>'Equip&amp;HIRE_Master'!D21</f>
        <v>165.89</v>
      </c>
      <c r="F91" s="48">
        <f t="shared" si="4"/>
        <v>0</v>
      </c>
    </row>
    <row r="92" spans="1:6" x14ac:dyDescent="0.2">
      <c r="A92" s="40"/>
      <c r="B92" s="201" t="s">
        <v>195</v>
      </c>
      <c r="C92" s="40" t="s">
        <v>93</v>
      </c>
      <c r="E92" s="48">
        <f>'Equip&amp;HIRE_Master'!D22</f>
        <v>165.89</v>
      </c>
      <c r="F92" s="48">
        <f t="shared" si="4"/>
        <v>0</v>
      </c>
    </row>
    <row r="93" spans="1:6" x14ac:dyDescent="0.2">
      <c r="A93" s="40"/>
      <c r="B93" s="201" t="s">
        <v>196</v>
      </c>
      <c r="C93" s="40" t="s">
        <v>93</v>
      </c>
      <c r="E93" s="48">
        <f>'Equip&amp;HIRE_Master'!D23</f>
        <v>0</v>
      </c>
      <c r="F93" s="48">
        <f t="shared" si="4"/>
        <v>0</v>
      </c>
    </row>
    <row r="94" spans="1:6" x14ac:dyDescent="0.2">
      <c r="A94" s="40"/>
      <c r="B94" s="201" t="s">
        <v>197</v>
      </c>
      <c r="C94" s="40" t="s">
        <v>93</v>
      </c>
      <c r="E94" s="48">
        <f>'Equip&amp;HIRE_Master'!D24</f>
        <v>203</v>
      </c>
      <c r="F94" s="48">
        <f t="shared" si="4"/>
        <v>0</v>
      </c>
    </row>
    <row r="95" spans="1:6" x14ac:dyDescent="0.2">
      <c r="A95" s="40"/>
      <c r="B95" s="201" t="s">
        <v>198</v>
      </c>
      <c r="E95" s="48">
        <f>'Equip&amp;HIRE_Master'!D25</f>
        <v>0</v>
      </c>
      <c r="F95" s="48">
        <f t="shared" si="4"/>
        <v>0</v>
      </c>
    </row>
    <row r="96" spans="1:6" x14ac:dyDescent="0.2">
      <c r="A96" s="40"/>
      <c r="B96" s="201" t="s">
        <v>199</v>
      </c>
      <c r="E96" s="48">
        <f>'Equip&amp;HIRE_Master'!D26</f>
        <v>0</v>
      </c>
      <c r="F96" s="48">
        <f t="shared" si="4"/>
        <v>0</v>
      </c>
    </row>
    <row r="97" spans="1:6" ht="4.95" customHeight="1" x14ac:dyDescent="0.2">
      <c r="A97" s="40"/>
      <c r="B97" s="201"/>
      <c r="E97" s="48">
        <f>'Equip&amp;HIRE_Master'!D27</f>
        <v>0</v>
      </c>
      <c r="F97" s="48">
        <f t="shared" si="4"/>
        <v>0</v>
      </c>
    </row>
    <row r="98" spans="1:6" x14ac:dyDescent="0.2">
      <c r="A98" s="40"/>
      <c r="B98" s="201" t="s">
        <v>200</v>
      </c>
      <c r="C98" s="40" t="s">
        <v>93</v>
      </c>
      <c r="D98" s="40">
        <v>35</v>
      </c>
      <c r="E98" s="48">
        <f>'Equip&amp;HIRE_Master'!D28</f>
        <v>205</v>
      </c>
      <c r="F98" s="48">
        <f t="shared" si="4"/>
        <v>7175</v>
      </c>
    </row>
    <row r="99" spans="1:6" x14ac:dyDescent="0.2">
      <c r="A99" s="40"/>
      <c r="B99" s="201" t="s">
        <v>201</v>
      </c>
      <c r="C99" s="40" t="s">
        <v>93</v>
      </c>
      <c r="E99" s="48">
        <f>'Equip&amp;HIRE_Master'!D29</f>
        <v>166.98</v>
      </c>
      <c r="F99" s="48">
        <f t="shared" si="4"/>
        <v>0</v>
      </c>
    </row>
    <row r="100" spans="1:6" x14ac:dyDescent="0.2">
      <c r="A100" s="40"/>
      <c r="B100" s="201" t="s">
        <v>202</v>
      </c>
      <c r="C100" s="40" t="s">
        <v>93</v>
      </c>
      <c r="E100" s="48">
        <f>'Equip&amp;HIRE_Master'!D30</f>
        <v>171.42857142857142</v>
      </c>
      <c r="F100" s="48">
        <f t="shared" si="4"/>
        <v>0</v>
      </c>
    </row>
    <row r="101" spans="1:6" ht="4.2" customHeight="1" x14ac:dyDescent="0.2">
      <c r="A101" s="40"/>
      <c r="B101" s="201"/>
      <c r="E101" s="48">
        <f>'Equip&amp;HIRE_Master'!D31</f>
        <v>0</v>
      </c>
      <c r="F101" s="48">
        <f t="shared" si="4"/>
        <v>0</v>
      </c>
    </row>
    <row r="102" spans="1:6" x14ac:dyDescent="0.2">
      <c r="A102" s="40"/>
      <c r="B102" s="201" t="s">
        <v>203</v>
      </c>
      <c r="C102" s="40" t="s">
        <v>93</v>
      </c>
      <c r="E102" s="48">
        <f>'Equip&amp;HIRE_Master'!D32</f>
        <v>0</v>
      </c>
      <c r="F102" s="48">
        <f t="shared" si="4"/>
        <v>0</v>
      </c>
    </row>
    <row r="103" spans="1:6" x14ac:dyDescent="0.2">
      <c r="A103" s="40"/>
      <c r="B103" s="201" t="s">
        <v>204</v>
      </c>
      <c r="C103" s="40" t="s">
        <v>93</v>
      </c>
      <c r="D103" s="40">
        <v>0</v>
      </c>
      <c r="E103" s="48">
        <f>'Equip&amp;HIRE_Master'!D33</f>
        <v>34.285714285714285</v>
      </c>
      <c r="F103" s="48">
        <f t="shared" si="4"/>
        <v>0</v>
      </c>
    </row>
    <row r="104" spans="1:6" x14ac:dyDescent="0.2">
      <c r="A104" s="40"/>
      <c r="B104" s="201" t="s">
        <v>205</v>
      </c>
      <c r="C104" s="40" t="s">
        <v>93</v>
      </c>
      <c r="D104" s="40">
        <v>35</v>
      </c>
      <c r="E104" s="48">
        <f>'Equip&amp;HIRE_Master'!D34</f>
        <v>165</v>
      </c>
      <c r="F104" s="48">
        <f t="shared" si="4"/>
        <v>5775</v>
      </c>
    </row>
    <row r="105" spans="1:6" x14ac:dyDescent="0.2">
      <c r="A105" s="40"/>
      <c r="B105" s="201" t="s">
        <v>206</v>
      </c>
      <c r="C105" s="40" t="s">
        <v>93</v>
      </c>
      <c r="D105" s="40">
        <v>18</v>
      </c>
      <c r="E105" s="48">
        <v>300</v>
      </c>
      <c r="F105" s="48">
        <f t="shared" si="4"/>
        <v>5400</v>
      </c>
    </row>
    <row r="106" spans="1:6" x14ac:dyDescent="0.2">
      <c r="A106" s="40"/>
      <c r="B106" s="201" t="s">
        <v>207</v>
      </c>
      <c r="C106" s="40" t="s">
        <v>93</v>
      </c>
      <c r="E106" s="48">
        <f>'Equip&amp;HIRE_Master'!D36</f>
        <v>0</v>
      </c>
      <c r="F106" s="48">
        <f t="shared" si="4"/>
        <v>0</v>
      </c>
    </row>
    <row r="107" spans="1:6" x14ac:dyDescent="0.2">
      <c r="A107" s="40"/>
      <c r="B107" s="201" t="s">
        <v>208</v>
      </c>
      <c r="C107" s="40" t="s">
        <v>93</v>
      </c>
      <c r="E107" s="48">
        <f>'Equip&amp;HIRE_Master'!D37</f>
        <v>0</v>
      </c>
      <c r="F107" s="48">
        <f t="shared" si="4"/>
        <v>0</v>
      </c>
    </row>
    <row r="108" spans="1:6" x14ac:dyDescent="0.2">
      <c r="A108" s="40"/>
      <c r="B108" s="201" t="s">
        <v>209</v>
      </c>
      <c r="C108" s="40" t="s">
        <v>93</v>
      </c>
      <c r="E108" s="48">
        <f>'Equip&amp;HIRE_Master'!D38</f>
        <v>0</v>
      </c>
      <c r="F108" s="48">
        <f t="shared" si="4"/>
        <v>0</v>
      </c>
    </row>
    <row r="109" spans="1:6" ht="6" customHeight="1" x14ac:dyDescent="0.2">
      <c r="A109" s="40"/>
      <c r="B109" s="201"/>
      <c r="E109" s="48">
        <f>'Equip&amp;HIRE_Master'!D39</f>
        <v>0</v>
      </c>
      <c r="F109" s="48">
        <f t="shared" si="4"/>
        <v>0</v>
      </c>
    </row>
    <row r="110" spans="1:6" x14ac:dyDescent="0.2">
      <c r="A110" s="40"/>
      <c r="B110" s="201" t="s">
        <v>210</v>
      </c>
      <c r="C110" s="40" t="s">
        <v>93</v>
      </c>
      <c r="E110" s="48">
        <f>'Equip&amp;HIRE_Master'!D40</f>
        <v>5.46</v>
      </c>
      <c r="F110" s="48">
        <f t="shared" si="4"/>
        <v>0</v>
      </c>
    </row>
    <row r="111" spans="1:6" x14ac:dyDescent="0.2">
      <c r="A111" s="40"/>
      <c r="B111" s="201" t="s">
        <v>211</v>
      </c>
      <c r="C111" s="40" t="s">
        <v>93</v>
      </c>
      <c r="E111" s="48">
        <f>'Equip&amp;HIRE_Master'!D41</f>
        <v>23</v>
      </c>
      <c r="F111" s="48">
        <f t="shared" si="4"/>
        <v>0</v>
      </c>
    </row>
    <row r="112" spans="1:6" x14ac:dyDescent="0.2">
      <c r="A112" s="40"/>
      <c r="B112" s="201" t="s">
        <v>212</v>
      </c>
      <c r="C112" s="40" t="s">
        <v>93</v>
      </c>
      <c r="E112" s="48">
        <f>'Equip&amp;HIRE_Master'!D42</f>
        <v>23</v>
      </c>
      <c r="F112" s="48">
        <f t="shared" si="4"/>
        <v>0</v>
      </c>
    </row>
    <row r="113" spans="1:6" hidden="1" x14ac:dyDescent="0.2">
      <c r="A113" s="40"/>
      <c r="B113" s="201" t="s">
        <v>213</v>
      </c>
      <c r="C113" s="40" t="s">
        <v>93</v>
      </c>
      <c r="E113" s="48">
        <f>'Equip&amp;HIRE_Master'!D43</f>
        <v>0</v>
      </c>
      <c r="F113" s="48">
        <f t="shared" si="4"/>
        <v>0</v>
      </c>
    </row>
    <row r="114" spans="1:6" hidden="1" x14ac:dyDescent="0.2">
      <c r="A114" s="40"/>
      <c r="B114" s="201" t="s">
        <v>214</v>
      </c>
      <c r="C114" s="40" t="s">
        <v>93</v>
      </c>
      <c r="E114" s="48">
        <f>'Equip&amp;HIRE_Master'!D44</f>
        <v>0</v>
      </c>
      <c r="F114" s="48">
        <f t="shared" si="4"/>
        <v>0</v>
      </c>
    </row>
    <row r="115" spans="1:6" hidden="1" x14ac:dyDescent="0.2">
      <c r="A115" s="40"/>
      <c r="B115" s="201" t="s">
        <v>215</v>
      </c>
      <c r="C115" s="40" t="s">
        <v>93</v>
      </c>
      <c r="E115" s="48">
        <f>'Equip&amp;HIRE_Master'!D45</f>
        <v>0</v>
      </c>
      <c r="F115" s="48">
        <f t="shared" si="4"/>
        <v>0</v>
      </c>
    </row>
    <row r="116" spans="1:6" hidden="1" x14ac:dyDescent="0.2">
      <c r="A116" s="40"/>
      <c r="B116" s="201" t="s">
        <v>216</v>
      </c>
      <c r="C116" s="40" t="s">
        <v>93</v>
      </c>
      <c r="E116" s="48">
        <f>'Equip&amp;HIRE_Master'!D46</f>
        <v>0</v>
      </c>
      <c r="F116" s="48">
        <f t="shared" si="4"/>
        <v>0</v>
      </c>
    </row>
    <row r="117" spans="1:6" hidden="1" x14ac:dyDescent="0.2">
      <c r="A117" s="40"/>
      <c r="B117" s="201" t="s">
        <v>217</v>
      </c>
      <c r="C117" s="40" t="s">
        <v>93</v>
      </c>
      <c r="E117" s="48">
        <f>'Equip&amp;HIRE_Master'!D47</f>
        <v>0</v>
      </c>
      <c r="F117" s="48">
        <f t="shared" si="4"/>
        <v>0</v>
      </c>
    </row>
    <row r="118" spans="1:6" hidden="1" x14ac:dyDescent="0.2">
      <c r="A118" s="40"/>
      <c r="B118" s="201" t="s">
        <v>218</v>
      </c>
      <c r="C118" s="40" t="s">
        <v>93</v>
      </c>
      <c r="E118" s="48">
        <f>'Equip&amp;HIRE_Master'!D48</f>
        <v>0</v>
      </c>
      <c r="F118" s="48">
        <f t="shared" si="4"/>
        <v>0</v>
      </c>
    </row>
    <row r="119" spans="1:6" hidden="1" x14ac:dyDescent="0.2">
      <c r="A119" s="40"/>
      <c r="B119" s="201" t="s">
        <v>219</v>
      </c>
      <c r="C119" s="40" t="s">
        <v>93</v>
      </c>
      <c r="E119" s="48">
        <f>'Equip&amp;HIRE_Master'!D49</f>
        <v>0</v>
      </c>
      <c r="F119" s="48">
        <f t="shared" si="4"/>
        <v>0</v>
      </c>
    </row>
    <row r="120" spans="1:6" hidden="1" x14ac:dyDescent="0.2">
      <c r="A120" s="40"/>
      <c r="B120" s="201" t="s">
        <v>220</v>
      </c>
      <c r="C120" s="40" t="s">
        <v>93</v>
      </c>
      <c r="E120" s="48">
        <f>'Equip&amp;HIRE_Master'!D50</f>
        <v>0</v>
      </c>
      <c r="F120" s="48">
        <f t="shared" si="4"/>
        <v>0</v>
      </c>
    </row>
    <row r="121" spans="1:6" hidden="1" x14ac:dyDescent="0.2">
      <c r="A121" s="40"/>
      <c r="B121" s="201" t="s">
        <v>221</v>
      </c>
      <c r="C121" s="40" t="s">
        <v>93</v>
      </c>
      <c r="E121" s="48">
        <f>'Equip&amp;HIRE_Master'!D51</f>
        <v>0</v>
      </c>
      <c r="F121" s="48">
        <f t="shared" si="4"/>
        <v>0</v>
      </c>
    </row>
    <row r="122" spans="1:6" hidden="1" x14ac:dyDescent="0.2">
      <c r="A122" s="40"/>
      <c r="B122" s="201" t="s">
        <v>222</v>
      </c>
      <c r="C122" s="40" t="s">
        <v>93</v>
      </c>
      <c r="E122" s="48">
        <f>'Equip&amp;HIRE_Master'!D52</f>
        <v>0</v>
      </c>
      <c r="F122" s="48">
        <f t="shared" si="4"/>
        <v>0</v>
      </c>
    </row>
    <row r="123" spans="1:6" ht="6" customHeight="1" x14ac:dyDescent="0.2">
      <c r="A123" s="40"/>
      <c r="B123" s="201"/>
      <c r="E123" s="48">
        <f>'Equip&amp;HIRE_Master'!D53</f>
        <v>0</v>
      </c>
      <c r="F123" s="48">
        <f t="shared" si="4"/>
        <v>0</v>
      </c>
    </row>
    <row r="124" spans="1:6" x14ac:dyDescent="0.2">
      <c r="A124" s="40"/>
      <c r="B124" s="201" t="s">
        <v>223</v>
      </c>
      <c r="C124" s="40" t="s">
        <v>93</v>
      </c>
      <c r="E124" s="48">
        <f>'Equip&amp;HIRE_Master'!D54</f>
        <v>0</v>
      </c>
      <c r="F124" s="48">
        <f t="shared" si="4"/>
        <v>0</v>
      </c>
    </row>
    <row r="125" spans="1:6" x14ac:dyDescent="0.2">
      <c r="A125" s="40"/>
      <c r="B125" s="201" t="s">
        <v>224</v>
      </c>
      <c r="C125" s="40" t="s">
        <v>225</v>
      </c>
      <c r="E125" s="48">
        <f>'Equip&amp;HIRE_Master'!D55</f>
        <v>230</v>
      </c>
      <c r="F125" s="48">
        <f t="shared" si="4"/>
        <v>0</v>
      </c>
    </row>
    <row r="126" spans="1:6" x14ac:dyDescent="0.2">
      <c r="A126" s="40"/>
      <c r="B126" s="201" t="s">
        <v>226</v>
      </c>
      <c r="C126" s="40" t="s">
        <v>227</v>
      </c>
      <c r="E126" s="48">
        <f>'Equip&amp;HIRE_Master'!D56</f>
        <v>309</v>
      </c>
      <c r="F126" s="48">
        <f t="shared" si="4"/>
        <v>0</v>
      </c>
    </row>
    <row r="127" spans="1:6" x14ac:dyDescent="0.2">
      <c r="A127" s="40"/>
      <c r="B127" s="201" t="s">
        <v>228</v>
      </c>
      <c r="C127" s="40" t="s">
        <v>229</v>
      </c>
      <c r="E127" s="48">
        <f>'Equip&amp;HIRE_Master'!D57</f>
        <v>35</v>
      </c>
      <c r="F127" s="48">
        <f t="shared" si="4"/>
        <v>0</v>
      </c>
    </row>
    <row r="128" spans="1:6" x14ac:dyDescent="0.2">
      <c r="A128" s="40"/>
      <c r="B128" s="201" t="s">
        <v>230</v>
      </c>
      <c r="C128" s="40" t="s">
        <v>231</v>
      </c>
      <c r="E128" s="48">
        <f>'Equip&amp;HIRE_Master'!D58</f>
        <v>229.9</v>
      </c>
      <c r="F128" s="48">
        <f t="shared" si="4"/>
        <v>0</v>
      </c>
    </row>
    <row r="129" spans="1:6" x14ac:dyDescent="0.2">
      <c r="A129" s="40"/>
      <c r="B129" s="201" t="s">
        <v>232</v>
      </c>
      <c r="C129" s="40" t="s">
        <v>231</v>
      </c>
      <c r="E129" s="48">
        <f>'Equip&amp;HIRE_Master'!D59</f>
        <v>239.8</v>
      </c>
      <c r="F129" s="48">
        <f t="shared" si="4"/>
        <v>0</v>
      </c>
    </row>
    <row r="130" spans="1:6" x14ac:dyDescent="0.2">
      <c r="A130" s="40"/>
      <c r="B130" s="201" t="s">
        <v>233</v>
      </c>
      <c r="C130" s="40" t="s">
        <v>227</v>
      </c>
      <c r="E130" s="48">
        <f>'Equip&amp;HIRE_Master'!D60</f>
        <v>309</v>
      </c>
      <c r="F130" s="48">
        <f t="shared" si="4"/>
        <v>0</v>
      </c>
    </row>
    <row r="131" spans="1:6" x14ac:dyDescent="0.2">
      <c r="A131" s="40"/>
      <c r="B131" s="201" t="s">
        <v>234</v>
      </c>
      <c r="C131" s="40" t="s">
        <v>229</v>
      </c>
      <c r="E131" s="48">
        <f>'Equip&amp;HIRE_Master'!D61</f>
        <v>35</v>
      </c>
      <c r="F131" s="48">
        <f t="shared" si="4"/>
        <v>0</v>
      </c>
    </row>
    <row r="132" spans="1:6" x14ac:dyDescent="0.2">
      <c r="A132" s="40"/>
      <c r="B132" s="201" t="s">
        <v>235</v>
      </c>
      <c r="C132" s="40" t="s">
        <v>93</v>
      </c>
      <c r="E132" s="48">
        <f>'Equip&amp;HIRE_Master'!D62</f>
        <v>295.77</v>
      </c>
      <c r="F132" s="48">
        <f t="shared" si="4"/>
        <v>0</v>
      </c>
    </row>
    <row r="133" spans="1:6" x14ac:dyDescent="0.2">
      <c r="A133" s="40"/>
      <c r="B133" s="201" t="s">
        <v>236</v>
      </c>
      <c r="C133" s="40" t="s">
        <v>93</v>
      </c>
      <c r="E133" s="48">
        <f>'Equip&amp;HIRE_Master'!D63</f>
        <v>355</v>
      </c>
      <c r="F133" s="48">
        <f t="shared" si="4"/>
        <v>0</v>
      </c>
    </row>
    <row r="134" spans="1:6" ht="6" customHeight="1" x14ac:dyDescent="0.2">
      <c r="A134" s="40"/>
      <c r="B134" s="201"/>
      <c r="E134" s="48">
        <f>'Equip&amp;HIRE_Master'!D64</f>
        <v>0</v>
      </c>
      <c r="F134" s="48">
        <f t="shared" si="4"/>
        <v>0</v>
      </c>
    </row>
    <row r="135" spans="1:6" x14ac:dyDescent="0.2">
      <c r="A135" s="40"/>
      <c r="B135" s="201" t="s">
        <v>237</v>
      </c>
      <c r="C135" s="40" t="s">
        <v>93</v>
      </c>
      <c r="E135" s="48">
        <f>'Equip&amp;HIRE_Master'!D65</f>
        <v>0</v>
      </c>
      <c r="F135" s="48">
        <f t="shared" si="4"/>
        <v>0</v>
      </c>
    </row>
    <row r="136" spans="1:6" x14ac:dyDescent="0.2">
      <c r="A136" s="40"/>
      <c r="B136" s="201" t="s">
        <v>238</v>
      </c>
      <c r="C136" s="40" t="s">
        <v>239</v>
      </c>
      <c r="D136" s="40">
        <v>18</v>
      </c>
      <c r="E136" s="48">
        <f>'Equip&amp;HIRE_Master'!D66</f>
        <v>180</v>
      </c>
      <c r="F136" s="48">
        <f t="shared" si="4"/>
        <v>3240</v>
      </c>
    </row>
    <row r="137" spans="1:6" x14ac:dyDescent="0.2">
      <c r="A137" s="40"/>
      <c r="B137" s="201" t="s">
        <v>240</v>
      </c>
      <c r="C137" s="40" t="s">
        <v>239</v>
      </c>
      <c r="E137" s="48">
        <f>'Equip&amp;HIRE_Master'!D67</f>
        <v>125</v>
      </c>
      <c r="F137" s="48">
        <f t="shared" si="4"/>
        <v>0</v>
      </c>
    </row>
    <row r="138" spans="1:6" x14ac:dyDescent="0.2">
      <c r="A138" s="40"/>
      <c r="B138" s="201" t="s">
        <v>241</v>
      </c>
      <c r="C138" s="40" t="s">
        <v>239</v>
      </c>
      <c r="E138" s="48">
        <f>'Equip&amp;HIRE_Master'!D68</f>
        <v>160</v>
      </c>
      <c r="F138" s="48">
        <f t="shared" ref="F138:F139" si="5">E138*D138</f>
        <v>0</v>
      </c>
    </row>
    <row r="139" spans="1:6" x14ac:dyDescent="0.2">
      <c r="A139" s="40"/>
      <c r="B139" s="201" t="s">
        <v>242</v>
      </c>
      <c r="C139" s="40" t="s">
        <v>239</v>
      </c>
      <c r="E139" s="48">
        <f>'Equip&amp;HIRE_Master'!D69</f>
        <v>200</v>
      </c>
      <c r="F139" s="48">
        <f t="shared" si="5"/>
        <v>0</v>
      </c>
    </row>
    <row r="140" spans="1:6" x14ac:dyDescent="0.2">
      <c r="A140" s="40"/>
      <c r="E140" s="48"/>
      <c r="F140" s="48"/>
    </row>
    <row r="141" spans="1:6" x14ac:dyDescent="0.2">
      <c r="A141" s="40"/>
      <c r="B141" s="201" t="s">
        <v>244</v>
      </c>
      <c r="C141" s="40" t="s">
        <v>229</v>
      </c>
      <c r="D141" s="40">
        <v>5</v>
      </c>
      <c r="E141" s="48">
        <v>1850</v>
      </c>
      <c r="F141" s="48">
        <f t="shared" ref="F141" si="6">E141*D141</f>
        <v>9250</v>
      </c>
    </row>
    <row r="142" spans="1:6" ht="10.8" thickBot="1" x14ac:dyDescent="0.25">
      <c r="A142" s="40"/>
      <c r="E142" s="48"/>
      <c r="F142" s="48"/>
    </row>
    <row r="143" spans="1:6" ht="10.8" thickBot="1" x14ac:dyDescent="0.25">
      <c r="A143" s="42"/>
      <c r="B143" s="49" t="s">
        <v>245</v>
      </c>
      <c r="E143" s="48"/>
      <c r="F143" s="48"/>
    </row>
    <row r="144" spans="1:6" x14ac:dyDescent="0.2">
      <c r="E144" s="48"/>
      <c r="F144" s="48"/>
    </row>
    <row r="145" spans="1:6" x14ac:dyDescent="0.2">
      <c r="B145" s="38" t="s">
        <v>246</v>
      </c>
      <c r="C145" s="40" t="s">
        <v>115</v>
      </c>
      <c r="E145" s="48">
        <f>'Misc Subbie Rates_Master'!D35</f>
        <v>180</v>
      </c>
      <c r="F145" s="48">
        <f>E145*D145</f>
        <v>0</v>
      </c>
    </row>
    <row r="146" spans="1:6" x14ac:dyDescent="0.2">
      <c r="B146" s="38" t="s">
        <v>247</v>
      </c>
      <c r="C146" s="40" t="s">
        <v>115</v>
      </c>
      <c r="E146" s="48">
        <f>'Misc Subbie Rates_Master'!D42</f>
        <v>130</v>
      </c>
      <c r="F146" s="48">
        <f t="shared" ref="F146:F153" si="7">E146*D146</f>
        <v>0</v>
      </c>
    </row>
    <row r="147" spans="1:6" x14ac:dyDescent="0.2">
      <c r="B147" s="38" t="s">
        <v>248</v>
      </c>
      <c r="C147" s="40" t="s">
        <v>115</v>
      </c>
      <c r="D147" s="40">
        <v>40</v>
      </c>
      <c r="E147" s="48">
        <f>'Misc Subbie Rates_Master'!D72</f>
        <v>115</v>
      </c>
      <c r="F147" s="48">
        <f t="shared" si="7"/>
        <v>4600</v>
      </c>
    </row>
    <row r="148" spans="1:6" x14ac:dyDescent="0.2">
      <c r="B148" s="38" t="s">
        <v>249</v>
      </c>
      <c r="C148" s="40" t="s">
        <v>115</v>
      </c>
      <c r="D148" s="40">
        <v>10</v>
      </c>
      <c r="E148" s="48">
        <f>'Misc Subbie Rates_Master'!D73</f>
        <v>90</v>
      </c>
      <c r="F148" s="48">
        <f t="shared" si="7"/>
        <v>900</v>
      </c>
    </row>
    <row r="149" spans="1:6" x14ac:dyDescent="0.2">
      <c r="C149" s="40" t="s">
        <v>115</v>
      </c>
      <c r="E149" s="48"/>
      <c r="F149" s="48">
        <f t="shared" si="7"/>
        <v>0</v>
      </c>
    </row>
    <row r="150" spans="1:6" x14ac:dyDescent="0.2">
      <c r="C150" s="40" t="s">
        <v>115</v>
      </c>
      <c r="E150" s="48"/>
      <c r="F150" s="48">
        <f t="shared" si="7"/>
        <v>0</v>
      </c>
    </row>
    <row r="151" spans="1:6" x14ac:dyDescent="0.2">
      <c r="B151" s="284" t="s">
        <v>250</v>
      </c>
      <c r="C151" s="40" t="s">
        <v>115</v>
      </c>
      <c r="E151" s="48"/>
      <c r="F151" s="48">
        <f t="shared" si="7"/>
        <v>0</v>
      </c>
    </row>
    <row r="152" spans="1:6" x14ac:dyDescent="0.2">
      <c r="B152" s="1" t="s">
        <v>251</v>
      </c>
      <c r="C152" s="40" t="s">
        <v>115</v>
      </c>
      <c r="D152" s="40">
        <v>1</v>
      </c>
      <c r="E152" s="48">
        <f>'Misc Subbie Rates_Master'!D84</f>
        <v>1945</v>
      </c>
      <c r="F152" s="48">
        <f t="shared" si="7"/>
        <v>1945</v>
      </c>
    </row>
    <row r="153" spans="1:6" x14ac:dyDescent="0.2">
      <c r="B153" s="38" t="s">
        <v>252</v>
      </c>
      <c r="C153" s="40" t="s">
        <v>115</v>
      </c>
      <c r="D153" s="40">
        <v>1</v>
      </c>
      <c r="E153" s="48">
        <f>'Misc Subbie Rates_Master'!D86</f>
        <v>350</v>
      </c>
      <c r="F153" s="48">
        <f t="shared" si="7"/>
        <v>350</v>
      </c>
    </row>
    <row r="154" spans="1:6" x14ac:dyDescent="0.2">
      <c r="E154" s="48"/>
      <c r="F154" s="48"/>
    </row>
    <row r="155" spans="1:6" ht="10.8" thickBot="1" x14ac:dyDescent="0.25">
      <c r="E155" s="48"/>
      <c r="F155" s="48"/>
    </row>
    <row r="156" spans="1:6" ht="10.8" thickBot="1" x14ac:dyDescent="0.25">
      <c r="A156" s="42"/>
      <c r="B156" s="49" t="s">
        <v>253</v>
      </c>
      <c r="E156" s="48"/>
      <c r="F156" s="48"/>
    </row>
    <row r="157" spans="1:6" x14ac:dyDescent="0.2">
      <c r="B157" s="38" t="s">
        <v>1233</v>
      </c>
      <c r="E157" s="48"/>
      <c r="F157" s="48"/>
    </row>
    <row r="158" spans="1:6" hidden="1" x14ac:dyDescent="0.2">
      <c r="B158" s="38" t="str">
        <f>'Material Rates_Master'!A185</f>
        <v>Bedding / Fill Sand</v>
      </c>
      <c r="C158" s="40" t="str">
        <f>'Material Rates_Master'!B185</f>
        <v>m3</v>
      </c>
      <c r="E158" s="48">
        <f>'Material Rates_Master'!D185</f>
        <v>39.75</v>
      </c>
      <c r="F158" s="48">
        <f>E158*D158</f>
        <v>0</v>
      </c>
    </row>
    <row r="159" spans="1:6" hidden="1" x14ac:dyDescent="0.2">
      <c r="B159" s="38" t="str">
        <f>'Material Rates_Master'!A186</f>
        <v>CBR 45/2.5 Roadbase</v>
      </c>
      <c r="C159" s="40" t="str">
        <f>'Material Rates_Master'!B186</f>
        <v>m3</v>
      </c>
      <c r="E159" s="48">
        <f>'Material Rates_Master'!D186</f>
        <v>41.9</v>
      </c>
      <c r="F159" s="48">
        <f t="shared" ref="F159:F166" si="8">E159*D159</f>
        <v>0</v>
      </c>
    </row>
    <row r="160" spans="1:6" hidden="1" x14ac:dyDescent="0.2">
      <c r="B160" s="38" t="str">
        <f>'Material Rates_Master'!A187</f>
        <v>Turf Underlay/Topsoil</v>
      </c>
      <c r="C160" s="40" t="str">
        <f>'Material Rates_Master'!B187</f>
        <v>m3</v>
      </c>
      <c r="E160" s="48">
        <f>'Material Rates_Master'!D187</f>
        <v>45.25</v>
      </c>
      <c r="F160" s="48">
        <f t="shared" si="8"/>
        <v>0</v>
      </c>
    </row>
    <row r="161" spans="1:10" hidden="1" x14ac:dyDescent="0.2">
      <c r="B161" s="38" t="str">
        <f>'Material Rates_Master'!A188</f>
        <v>Standard Garden Woodchip</v>
      </c>
      <c r="C161" s="40" t="str">
        <f>'Material Rates_Master'!B188</f>
        <v>m3</v>
      </c>
      <c r="E161" s="48">
        <f>'Material Rates_Master'!D188</f>
        <v>87</v>
      </c>
      <c r="F161" s="48">
        <f t="shared" si="8"/>
        <v>0</v>
      </c>
    </row>
    <row r="162" spans="1:10" hidden="1" x14ac:dyDescent="0.2">
      <c r="B162" s="38" t="str">
        <f>'Material Rates_Master'!A189</f>
        <v>Turf - Standard Couch or Similar</v>
      </c>
      <c r="C162" s="40" t="str">
        <f>'Material Rates_Master'!B189</f>
        <v>Slab (.5m2)</v>
      </c>
      <c r="E162" s="48">
        <f>'Material Rates_Master'!D189</f>
        <v>6.48</v>
      </c>
      <c r="F162" s="48">
        <f t="shared" si="8"/>
        <v>0</v>
      </c>
    </row>
    <row r="163" spans="1:10" ht="4.2" hidden="1" customHeight="1" x14ac:dyDescent="0.2">
      <c r="E163" s="48"/>
      <c r="F163" s="48"/>
    </row>
    <row r="164" spans="1:10" hidden="1" x14ac:dyDescent="0.2">
      <c r="B164" s="38" t="str">
        <f>'Material Rates_Master'!A193</f>
        <v>Cement Stabalized Sand (3-5%)</v>
      </c>
      <c r="C164" s="40" t="str">
        <f>'Material Rates_Master'!B193</f>
        <v>m3</v>
      </c>
      <c r="E164" s="48">
        <f>'Material Rates_Master'!D193</f>
        <v>169</v>
      </c>
      <c r="F164" s="48">
        <f t="shared" si="8"/>
        <v>0</v>
      </c>
    </row>
    <row r="165" spans="1:10" hidden="1" x14ac:dyDescent="0.2">
      <c r="B165" s="38" t="str">
        <f>'Material Rates_Master'!A194</f>
        <v>Exposed Agg Concrete - Standard/Cheapest Exposed Agg Stone</v>
      </c>
      <c r="C165" s="40" t="str">
        <f>'Material Rates_Master'!B194</f>
        <v>m3</v>
      </c>
      <c r="E165" s="48">
        <f>'Material Rates_Master'!D194</f>
        <v>252</v>
      </c>
      <c r="F165" s="48">
        <f t="shared" si="8"/>
        <v>0</v>
      </c>
    </row>
    <row r="166" spans="1:10" hidden="1" x14ac:dyDescent="0.2">
      <c r="B166" s="38" t="str">
        <f>'Material Rates_Master'!A195</f>
        <v>N25 20mm 80 Slump Concrete</v>
      </c>
      <c r="C166" s="40" t="str">
        <f>'Material Rates_Master'!B195</f>
        <v>m3</v>
      </c>
      <c r="E166" s="48">
        <f>'Material Rates_Master'!D195</f>
        <v>263</v>
      </c>
      <c r="F166" s="48">
        <f t="shared" si="8"/>
        <v>0</v>
      </c>
    </row>
    <row r="167" spans="1:10" hidden="1" x14ac:dyDescent="0.2">
      <c r="E167" s="48"/>
      <c r="F167" s="48"/>
    </row>
    <row r="168" spans="1:10" hidden="1" x14ac:dyDescent="0.2">
      <c r="B168" s="38" t="s">
        <v>254</v>
      </c>
      <c r="C168" s="40" t="s">
        <v>115</v>
      </c>
      <c r="E168" s="48">
        <v>380</v>
      </c>
      <c r="F168" s="48">
        <f t="shared" ref="F168" si="9">E168*D168</f>
        <v>0</v>
      </c>
    </row>
    <row r="169" spans="1:10" x14ac:dyDescent="0.2">
      <c r="E169" s="48"/>
      <c r="F169" s="48"/>
    </row>
    <row r="170" spans="1:10" x14ac:dyDescent="0.2">
      <c r="B170" s="201"/>
      <c r="C170" s="38"/>
      <c r="D170" s="38"/>
      <c r="E170" s="38"/>
      <c r="F170" s="38"/>
    </row>
    <row r="171" spans="1:10" x14ac:dyDescent="0.2">
      <c r="A171" s="42"/>
      <c r="B171" s="332" t="s">
        <v>255</v>
      </c>
      <c r="E171" s="48"/>
      <c r="F171" s="48"/>
    </row>
    <row r="172" spans="1:10" x14ac:dyDescent="0.2">
      <c r="E172" s="48"/>
      <c r="F172" s="48"/>
    </row>
    <row r="173" spans="1:10" ht="13.2" x14ac:dyDescent="0.2">
      <c r="A173" s="40"/>
      <c r="B173" s="300" t="s">
        <v>256</v>
      </c>
      <c r="C173" s="40" t="str">
        <f>'Material Rates_Master'!B5</f>
        <v>m</v>
      </c>
      <c r="D173" s="292">
        <v>139</v>
      </c>
      <c r="E173" s="48">
        <f>'Material Rates_Master'!D5*$M$16</f>
        <v>46.810749999999999</v>
      </c>
      <c r="F173" s="48">
        <f t="shared" ref="F173:F242" si="10">E173*D173</f>
        <v>6506.6942499999996</v>
      </c>
      <c r="H173" s="20"/>
      <c r="I173" s="47"/>
      <c r="J173" s="47"/>
    </row>
    <row r="174" spans="1:10" x14ac:dyDescent="0.2">
      <c r="A174" s="40"/>
      <c r="B174" s="300" t="s">
        <v>257</v>
      </c>
      <c r="C174" s="40" t="str">
        <f>'Material Rates_Master'!B6</f>
        <v>m</v>
      </c>
      <c r="D174" s="240">
        <v>57</v>
      </c>
      <c r="E174" s="48">
        <f>'Material Rates_Master'!D6*$M$16</f>
        <v>35.143999999999998</v>
      </c>
      <c r="F174" s="48">
        <f t="shared" si="10"/>
        <v>2003.2079999999999</v>
      </c>
      <c r="H174" s="20"/>
    </row>
    <row r="175" spans="1:10" x14ac:dyDescent="0.2">
      <c r="A175" s="40"/>
      <c r="B175" s="300" t="s">
        <v>258</v>
      </c>
      <c r="C175" s="40" t="str">
        <f>'Material Rates_Master'!B7</f>
        <v>m</v>
      </c>
      <c r="D175" s="37">
        <v>6</v>
      </c>
      <c r="E175" s="48">
        <f>'Material Rates_Master'!D7*$M$16</f>
        <v>16.993549999999999</v>
      </c>
      <c r="F175" s="48">
        <f t="shared" si="10"/>
        <v>101.96129999999999</v>
      </c>
      <c r="H175" s="20"/>
    </row>
    <row r="176" spans="1:10" x14ac:dyDescent="0.2">
      <c r="A176" s="40"/>
      <c r="B176" s="300" t="s">
        <v>259</v>
      </c>
      <c r="C176" s="40" t="s">
        <v>149</v>
      </c>
      <c r="D176" s="37">
        <v>6</v>
      </c>
      <c r="E176" s="48">
        <v>12.31</v>
      </c>
      <c r="F176" s="48">
        <f t="shared" si="10"/>
        <v>73.86</v>
      </c>
      <c r="H176" s="20"/>
    </row>
    <row r="177" spans="1:8" x14ac:dyDescent="0.2">
      <c r="A177" s="40"/>
      <c r="B177" s="300" t="s">
        <v>260</v>
      </c>
      <c r="C177" s="40" t="str">
        <f>'Material Rates_Master'!B8</f>
        <v>m</v>
      </c>
      <c r="D177" s="37">
        <v>6</v>
      </c>
      <c r="E177" s="48">
        <f>'Material Rates_Master'!D8*$M$16</f>
        <v>1.6779419999999998</v>
      </c>
      <c r="F177" s="48">
        <f t="shared" si="10"/>
        <v>10.067651999999999</v>
      </c>
      <c r="H177" s="20"/>
    </row>
    <row r="178" spans="1:8" x14ac:dyDescent="0.2">
      <c r="A178" s="40"/>
      <c r="B178" s="300"/>
      <c r="D178" s="37"/>
      <c r="E178" s="48"/>
      <c r="F178" s="48"/>
      <c r="H178" s="20"/>
    </row>
    <row r="179" spans="1:8" x14ac:dyDescent="0.2">
      <c r="A179" s="40"/>
      <c r="B179" s="300"/>
      <c r="D179" s="37"/>
      <c r="E179" s="48"/>
      <c r="F179" s="48"/>
      <c r="H179" s="20"/>
    </row>
    <row r="180" spans="1:8" ht="4.2" customHeight="1" x14ac:dyDescent="0.2">
      <c r="A180" s="40"/>
      <c r="B180" s="300"/>
      <c r="E180" s="48">
        <f>'Material Rates_Master'!D9*$M$16</f>
        <v>0</v>
      </c>
      <c r="F180" s="48"/>
      <c r="H180" s="20"/>
    </row>
    <row r="181" spans="1:8" x14ac:dyDescent="0.2">
      <c r="A181" s="40"/>
      <c r="B181" s="300" t="s">
        <v>261</v>
      </c>
      <c r="C181" s="40" t="str">
        <f>'Material Rates_Master'!B10</f>
        <v>ea</v>
      </c>
      <c r="D181" s="240"/>
      <c r="E181" s="48">
        <f>'Material Rates_Master'!D10*$M$16</f>
        <v>60.802799999999998</v>
      </c>
      <c r="F181" s="48">
        <f t="shared" si="10"/>
        <v>0</v>
      </c>
      <c r="H181" s="20"/>
    </row>
    <row r="182" spans="1:8" x14ac:dyDescent="0.2">
      <c r="A182" s="40"/>
      <c r="B182" s="300" t="s">
        <v>262</v>
      </c>
      <c r="C182" s="40" t="str">
        <f>'Material Rates_Master'!B11</f>
        <v>ea</v>
      </c>
      <c r="D182" s="37"/>
      <c r="E182" s="48">
        <f>'Material Rates_Master'!D11*$M$16</f>
        <v>35.493599999999994</v>
      </c>
      <c r="F182" s="48">
        <f t="shared" si="10"/>
        <v>0</v>
      </c>
      <c r="H182" s="20"/>
    </row>
    <row r="183" spans="1:8" x14ac:dyDescent="0.2">
      <c r="A183" s="40"/>
      <c r="B183" s="300" t="s">
        <v>263</v>
      </c>
      <c r="C183" s="40" t="str">
        <f>'Material Rates_Master'!B12</f>
        <v>ea</v>
      </c>
      <c r="D183" s="240">
        <v>5</v>
      </c>
      <c r="E183" s="48">
        <f>'Material Rates_Master'!D12*$M$16</f>
        <v>19.471799999999998</v>
      </c>
      <c r="F183" s="48">
        <f t="shared" si="10"/>
        <v>97.358999999999995</v>
      </c>
      <c r="H183" s="20"/>
    </row>
    <row r="184" spans="1:8" x14ac:dyDescent="0.2">
      <c r="A184" s="40"/>
      <c r="B184" s="300" t="s">
        <v>264</v>
      </c>
      <c r="C184" s="40" t="str">
        <f>'Material Rates_Master'!B13</f>
        <v>ea</v>
      </c>
      <c r="D184" s="240"/>
      <c r="E184" s="48">
        <f>'Material Rates_Master'!D13*$M$16</f>
        <v>150.64079999999998</v>
      </c>
      <c r="F184" s="48">
        <f t="shared" si="10"/>
        <v>0</v>
      </c>
      <c r="H184" s="20"/>
    </row>
    <row r="185" spans="1:8" x14ac:dyDescent="0.2">
      <c r="A185" s="40"/>
      <c r="B185" s="300" t="s">
        <v>265</v>
      </c>
      <c r="C185" s="40" t="str">
        <f>'Material Rates_Master'!B14</f>
        <v>ea</v>
      </c>
      <c r="D185" s="240"/>
      <c r="E185" s="48">
        <f>'Material Rates_Master'!D14*$M$16</f>
        <v>135.1986</v>
      </c>
      <c r="F185" s="48">
        <f t="shared" si="10"/>
        <v>0</v>
      </c>
      <c r="H185" s="20"/>
    </row>
    <row r="186" spans="1:8" x14ac:dyDescent="0.2">
      <c r="A186" s="40"/>
      <c r="B186" s="300" t="s">
        <v>266</v>
      </c>
      <c r="C186" s="40" t="str">
        <f>'Material Rates_Master'!B15</f>
        <v>ea</v>
      </c>
      <c r="D186" s="240">
        <v>2</v>
      </c>
      <c r="E186" s="48">
        <f>'Material Rates_Master'!D15*$M$16</f>
        <v>61.672199999999989</v>
      </c>
      <c r="F186" s="48">
        <f t="shared" si="10"/>
        <v>123.34439999999998</v>
      </c>
      <c r="H186" s="20"/>
    </row>
    <row r="187" spans="1:8" x14ac:dyDescent="0.2">
      <c r="A187" s="40"/>
      <c r="B187" s="300" t="s">
        <v>267</v>
      </c>
      <c r="C187" s="40" t="str">
        <f>'Material Rates_Master'!B16</f>
        <v>ea</v>
      </c>
      <c r="D187" s="240">
        <v>5</v>
      </c>
      <c r="E187" s="48">
        <f>'Material Rates_Master'!D16*$M$16</f>
        <v>150.64079999999998</v>
      </c>
      <c r="F187" s="48">
        <f t="shared" si="10"/>
        <v>753.20399999999995</v>
      </c>
      <c r="H187" s="20"/>
    </row>
    <row r="188" spans="1:8" x14ac:dyDescent="0.2">
      <c r="A188" s="40"/>
      <c r="B188" s="300" t="s">
        <v>268</v>
      </c>
      <c r="C188" s="40" t="str">
        <f>'Material Rates_Master'!B17</f>
        <v>ea</v>
      </c>
      <c r="D188" s="240">
        <v>3</v>
      </c>
      <c r="E188" s="48">
        <f>'Material Rates_Master'!D17*$M$16</f>
        <v>134.9778</v>
      </c>
      <c r="F188" s="48">
        <f t="shared" si="10"/>
        <v>404.93340000000001</v>
      </c>
      <c r="H188" s="20"/>
    </row>
    <row r="189" spans="1:8" x14ac:dyDescent="0.2">
      <c r="A189" s="40"/>
      <c r="B189" s="300" t="s">
        <v>269</v>
      </c>
      <c r="C189" s="40" t="str">
        <f>'Material Rates_Master'!B18</f>
        <v>ea</v>
      </c>
      <c r="D189" s="240">
        <v>4</v>
      </c>
      <c r="E189" s="48">
        <f>'Material Rates_Master'!D18*$M$16</f>
        <v>61.61699999999999</v>
      </c>
      <c r="F189" s="48">
        <f t="shared" si="10"/>
        <v>246.46799999999996</v>
      </c>
      <c r="H189" s="20"/>
    </row>
    <row r="190" spans="1:8" x14ac:dyDescent="0.2">
      <c r="A190" s="40"/>
      <c r="B190" s="300" t="s">
        <v>270</v>
      </c>
      <c r="C190" s="40" t="str">
        <f>'Material Rates_Master'!B19</f>
        <v>ea</v>
      </c>
      <c r="D190" s="240">
        <v>1</v>
      </c>
      <c r="E190" s="48">
        <f>'Material Rates_Master'!D19*$M$16</f>
        <v>151.45499999999998</v>
      </c>
      <c r="F190" s="48">
        <f t="shared" si="10"/>
        <v>151.45499999999998</v>
      </c>
      <c r="H190" s="20"/>
    </row>
    <row r="191" spans="1:8" x14ac:dyDescent="0.2">
      <c r="A191" s="40"/>
      <c r="B191" s="300" t="s">
        <v>271</v>
      </c>
      <c r="C191" s="40" t="str">
        <f>'Material Rates_Master'!B20</f>
        <v>ea</v>
      </c>
      <c r="D191" s="240">
        <v>2</v>
      </c>
      <c r="E191" s="48">
        <f>'Material Rates_Master'!D20*$M$16</f>
        <v>157.7064</v>
      </c>
      <c r="F191" s="48">
        <f t="shared" si="10"/>
        <v>315.4128</v>
      </c>
      <c r="H191" s="20"/>
    </row>
    <row r="192" spans="1:8" x14ac:dyDescent="0.2">
      <c r="A192" s="40"/>
      <c r="B192" s="300" t="s">
        <v>272</v>
      </c>
      <c r="C192" s="40" t="str">
        <f>'Material Rates_Master'!B21</f>
        <v>ea</v>
      </c>
      <c r="D192" s="240"/>
      <c r="E192" s="48">
        <f>'Material Rates_Master'!D21*$M$16</f>
        <v>67.964999999999989</v>
      </c>
      <c r="F192" s="48">
        <f t="shared" si="10"/>
        <v>0</v>
      </c>
      <c r="H192" s="20"/>
    </row>
    <row r="193" spans="1:8" x14ac:dyDescent="0.2">
      <c r="A193" s="40"/>
      <c r="B193" s="300" t="s">
        <v>273</v>
      </c>
      <c r="C193" s="40" t="str">
        <f>'Material Rates_Master'!B22</f>
        <v>ea</v>
      </c>
      <c r="D193" s="240">
        <v>4</v>
      </c>
      <c r="E193" s="48">
        <f>'Material Rates_Master'!D22*$M$16</f>
        <v>289.0686</v>
      </c>
      <c r="F193" s="48">
        <f t="shared" si="10"/>
        <v>1156.2744</v>
      </c>
      <c r="H193" s="20"/>
    </row>
    <row r="194" spans="1:8" x14ac:dyDescent="0.2">
      <c r="A194" s="40"/>
      <c r="B194" s="300" t="s">
        <v>274</v>
      </c>
      <c r="C194" s="40" t="str">
        <f>'Material Rates_Master'!B23</f>
        <v>ea</v>
      </c>
      <c r="D194" s="240"/>
      <c r="E194" s="48">
        <f>'Material Rates_Master'!D23*$M$16</f>
        <v>301.4196</v>
      </c>
      <c r="F194" s="48">
        <f t="shared" si="10"/>
        <v>0</v>
      </c>
      <c r="H194" s="20"/>
    </row>
    <row r="195" spans="1:8" x14ac:dyDescent="0.2">
      <c r="A195" s="40"/>
      <c r="B195" s="300" t="s">
        <v>275</v>
      </c>
      <c r="C195" s="40" t="str">
        <f>'Material Rates_Master'!B24</f>
        <v>ea</v>
      </c>
      <c r="D195" s="240"/>
      <c r="E195" s="48">
        <f>'Material Rates_Master'!D24*$M$16</f>
        <v>168.53939999999997</v>
      </c>
      <c r="F195" s="48">
        <f t="shared" si="10"/>
        <v>0</v>
      </c>
      <c r="H195" s="20"/>
    </row>
    <row r="196" spans="1:8" x14ac:dyDescent="0.2">
      <c r="A196" s="40"/>
      <c r="B196" s="300" t="s">
        <v>276</v>
      </c>
      <c r="C196" s="40" t="str">
        <f>'Material Rates_Master'!B25</f>
        <v>ea</v>
      </c>
      <c r="D196" s="240"/>
      <c r="E196" s="48">
        <f>'Material Rates_Master'!D25*$M$16</f>
        <v>173.35559999999998</v>
      </c>
      <c r="F196" s="48">
        <f t="shared" si="10"/>
        <v>0</v>
      </c>
      <c r="H196" s="20"/>
    </row>
    <row r="197" spans="1:8" x14ac:dyDescent="0.2">
      <c r="A197" s="40"/>
      <c r="B197" s="300" t="s">
        <v>277</v>
      </c>
      <c r="C197" s="40" t="str">
        <f>'Material Rates_Master'!B26</f>
        <v>ea</v>
      </c>
      <c r="D197" s="240">
        <v>5</v>
      </c>
      <c r="E197" s="48">
        <f>'Material Rates_Master'!D26*$M$16</f>
        <v>82.938000000000002</v>
      </c>
      <c r="F197" s="48">
        <f t="shared" si="10"/>
        <v>414.69</v>
      </c>
      <c r="H197" s="20"/>
    </row>
    <row r="198" spans="1:8" x14ac:dyDescent="0.2">
      <c r="A198" s="40"/>
      <c r="B198" s="300" t="s">
        <v>278</v>
      </c>
      <c r="C198" s="40" t="str">
        <f>'Material Rates_Master'!B27</f>
        <v>ea</v>
      </c>
      <c r="D198" s="240">
        <v>1</v>
      </c>
      <c r="E198" s="48">
        <v>65</v>
      </c>
      <c r="F198" s="48">
        <f t="shared" si="10"/>
        <v>65</v>
      </c>
      <c r="H198" s="20"/>
    </row>
    <row r="199" spans="1:8" x14ac:dyDescent="0.2">
      <c r="A199" s="40"/>
      <c r="B199" s="300" t="s">
        <v>279</v>
      </c>
      <c r="C199" s="40" t="str">
        <f>'Material Rates_Master'!B27</f>
        <v>ea</v>
      </c>
      <c r="D199" s="240"/>
      <c r="E199" s="48">
        <f>'Material Rates_Master'!D27*$M$16</f>
        <v>472.44299999999998</v>
      </c>
      <c r="F199" s="48">
        <f t="shared" si="10"/>
        <v>0</v>
      </c>
      <c r="H199" s="20"/>
    </row>
    <row r="200" spans="1:8" x14ac:dyDescent="0.2">
      <c r="A200" s="40"/>
      <c r="B200" s="300" t="s">
        <v>280</v>
      </c>
      <c r="C200" s="40" t="str">
        <f>'Material Rates_Master'!B28</f>
        <v>ea</v>
      </c>
      <c r="D200" s="240"/>
      <c r="E200" s="48">
        <f>'Material Rates_Master'!D28*$M$16</f>
        <v>179.08260000000001</v>
      </c>
      <c r="F200" s="48">
        <f t="shared" si="10"/>
        <v>0</v>
      </c>
      <c r="H200" s="20"/>
    </row>
    <row r="201" spans="1:8" x14ac:dyDescent="0.2">
      <c r="A201" s="40"/>
      <c r="B201" s="300" t="s">
        <v>281</v>
      </c>
      <c r="C201" s="40" t="str">
        <f>'Material Rates_Master'!B29</f>
        <v>ea</v>
      </c>
      <c r="D201" s="240"/>
      <c r="E201" s="48">
        <f>'Material Rates_Master'!D29*$M$16</f>
        <v>127.88459999999999</v>
      </c>
      <c r="F201" s="48">
        <f t="shared" si="10"/>
        <v>0</v>
      </c>
      <c r="H201" s="20"/>
    </row>
    <row r="202" spans="1:8" x14ac:dyDescent="0.2">
      <c r="A202" s="40"/>
      <c r="B202" s="300" t="s">
        <v>282</v>
      </c>
      <c r="C202" s="40" t="str">
        <f>'Material Rates_Master'!B30</f>
        <v>ea</v>
      </c>
      <c r="D202" s="240"/>
      <c r="E202" s="48">
        <f>'Material Rates_Master'!D30*$M$16</f>
        <v>432.20219999999995</v>
      </c>
      <c r="F202" s="48">
        <f t="shared" si="10"/>
        <v>0</v>
      </c>
      <c r="H202" s="20"/>
    </row>
    <row r="203" spans="1:8" x14ac:dyDescent="0.2">
      <c r="A203" s="40"/>
      <c r="B203" s="300" t="s">
        <v>283</v>
      </c>
      <c r="C203" s="40" t="str">
        <f>'Material Rates_Master'!B31</f>
        <v>ea</v>
      </c>
      <c r="D203" s="240">
        <v>5</v>
      </c>
      <c r="E203" s="48">
        <f>'Material Rates_Master'!D31*$M$16</f>
        <v>281.67180000000002</v>
      </c>
      <c r="F203" s="48">
        <f t="shared" si="10"/>
        <v>1408.3590000000002</v>
      </c>
      <c r="H203" s="20"/>
    </row>
    <row r="204" spans="1:8" ht="6" customHeight="1" x14ac:dyDescent="0.2">
      <c r="A204" s="40"/>
      <c r="B204" s="300"/>
      <c r="C204" s="40">
        <f>'Material Rates_Master'!B32</f>
        <v>0</v>
      </c>
      <c r="E204" s="48">
        <f>'Material Rates_Master'!D32*$M$16</f>
        <v>0</v>
      </c>
      <c r="F204" s="48">
        <f t="shared" si="10"/>
        <v>0</v>
      </c>
      <c r="H204" s="20"/>
    </row>
    <row r="205" spans="1:8" x14ac:dyDescent="0.2">
      <c r="A205" s="40"/>
      <c r="B205" s="1" t="s">
        <v>284</v>
      </c>
      <c r="C205" s="40" t="str">
        <f>'Material Rates_Master'!B33</f>
        <v>ea</v>
      </c>
      <c r="E205" s="48">
        <f>'Material Rates_Master'!D33*$M$16</f>
        <v>435.67979999999994</v>
      </c>
      <c r="F205" s="48">
        <f t="shared" si="10"/>
        <v>0</v>
      </c>
      <c r="H205" s="20"/>
    </row>
    <row r="206" spans="1:8" x14ac:dyDescent="0.2">
      <c r="A206" s="40"/>
      <c r="B206" s="1" t="s">
        <v>285</v>
      </c>
      <c r="C206" s="40" t="str">
        <f>'Material Rates_Master'!B34</f>
        <v>ea</v>
      </c>
      <c r="E206" s="48">
        <f>'Material Rates_Master'!D34*$M$16</f>
        <v>277.97339999999997</v>
      </c>
      <c r="F206" s="48">
        <f t="shared" si="10"/>
        <v>0</v>
      </c>
      <c r="H206" s="20"/>
    </row>
    <row r="207" spans="1:8" x14ac:dyDescent="0.2">
      <c r="A207" s="40"/>
      <c r="B207" s="300" t="s">
        <v>286</v>
      </c>
      <c r="C207" s="40" t="str">
        <f>'Material Rates_Master'!B35</f>
        <v>ea</v>
      </c>
      <c r="D207" s="240"/>
      <c r="E207" s="48">
        <f>'Material Rates_Master'!D35*$M$16</f>
        <v>94.5852</v>
      </c>
      <c r="F207" s="48">
        <f t="shared" si="10"/>
        <v>0</v>
      </c>
      <c r="H207" s="20"/>
    </row>
    <row r="208" spans="1:8" x14ac:dyDescent="0.2">
      <c r="A208" s="40"/>
      <c r="B208" s="300" t="s">
        <v>287</v>
      </c>
      <c r="C208" s="40" t="str">
        <f>'Material Rates_Master'!B36</f>
        <v>ea</v>
      </c>
      <c r="D208" s="240"/>
      <c r="E208" s="48">
        <f>'Material Rates_Master'!D36*$M$16</f>
        <v>88.954799999999977</v>
      </c>
      <c r="F208" s="48">
        <f t="shared" si="10"/>
        <v>0</v>
      </c>
      <c r="H208" s="20"/>
    </row>
    <row r="209" spans="1:8" x14ac:dyDescent="0.2">
      <c r="A209" s="40"/>
      <c r="B209" s="300" t="s">
        <v>288</v>
      </c>
      <c r="C209" s="40" t="str">
        <f>'Material Rates_Master'!B37</f>
        <v>ea</v>
      </c>
      <c r="D209" s="240"/>
      <c r="E209" s="48">
        <f>'Material Rates_Master'!D37*$M$16</f>
        <v>53.488799999999991</v>
      </c>
      <c r="F209" s="48">
        <f t="shared" si="10"/>
        <v>0</v>
      </c>
      <c r="H209" s="20"/>
    </row>
    <row r="210" spans="1:8" x14ac:dyDescent="0.2">
      <c r="A210" s="40"/>
      <c r="B210" s="300" t="s">
        <v>289</v>
      </c>
      <c r="C210" s="40" t="str">
        <f>'Material Rates_Master'!B38</f>
        <v>ea</v>
      </c>
      <c r="D210" s="240"/>
      <c r="E210" s="48">
        <f>'Material Rates_Master'!D38*$M$16</f>
        <v>118.91459999999999</v>
      </c>
      <c r="F210" s="48">
        <f t="shared" si="10"/>
        <v>0</v>
      </c>
      <c r="H210" s="20"/>
    </row>
    <row r="211" spans="1:8" x14ac:dyDescent="0.2">
      <c r="A211" s="40"/>
      <c r="B211" s="300" t="s">
        <v>290</v>
      </c>
      <c r="C211" s="40" t="str">
        <f>'Material Rates_Master'!B39</f>
        <v>ea</v>
      </c>
      <c r="D211" s="240"/>
      <c r="E211" s="48">
        <f>'Material Rates_Master'!D39*$M$16</f>
        <v>93.991799999999998</v>
      </c>
      <c r="F211" s="48">
        <f t="shared" si="10"/>
        <v>0</v>
      </c>
      <c r="H211" s="20"/>
    </row>
    <row r="212" spans="1:8" x14ac:dyDescent="0.2">
      <c r="A212" s="40"/>
      <c r="B212" s="300" t="s">
        <v>291</v>
      </c>
      <c r="C212" s="40" t="str">
        <f>'Material Rates_Master'!B40</f>
        <v>ea</v>
      </c>
      <c r="D212" s="240"/>
      <c r="E212" s="48">
        <f>'Material Rates_Master'!D40*$M$16</f>
        <v>43.676999999999992</v>
      </c>
      <c r="F212" s="48">
        <f t="shared" si="10"/>
        <v>0</v>
      </c>
      <c r="H212" s="20"/>
    </row>
    <row r="213" spans="1:8" x14ac:dyDescent="0.2">
      <c r="A213" s="40"/>
      <c r="B213" s="300" t="s">
        <v>292</v>
      </c>
      <c r="C213" s="40" t="str">
        <f>'Material Rates_Master'!B41</f>
        <v>ea</v>
      </c>
      <c r="D213" s="240"/>
      <c r="E213" s="48">
        <f>'Material Rates_Master'!D41*$M$16</f>
        <v>176.14319999999998</v>
      </c>
      <c r="F213" s="48">
        <f t="shared" si="10"/>
        <v>0</v>
      </c>
      <c r="H213" s="20"/>
    </row>
    <row r="214" spans="1:8" x14ac:dyDescent="0.2">
      <c r="A214" s="40"/>
      <c r="B214" s="300" t="s">
        <v>293</v>
      </c>
      <c r="C214" s="40" t="str">
        <f>'Material Rates_Master'!B42</f>
        <v>ea</v>
      </c>
      <c r="D214" s="240"/>
      <c r="E214" s="48">
        <f>'Material Rates_Master'!D42*$M$16</f>
        <v>157.62359999999998</v>
      </c>
      <c r="F214" s="48">
        <f t="shared" si="10"/>
        <v>0</v>
      </c>
      <c r="H214" s="20"/>
    </row>
    <row r="215" spans="1:8" x14ac:dyDescent="0.2">
      <c r="A215" s="40"/>
      <c r="B215" s="300" t="s">
        <v>294</v>
      </c>
      <c r="C215" s="40" t="str">
        <f>'Material Rates_Master'!B43</f>
        <v>ea</v>
      </c>
      <c r="D215" s="240"/>
      <c r="E215" s="48">
        <f>'Material Rates_Master'!D43*$M$16</f>
        <v>52.798799999999993</v>
      </c>
      <c r="F215" s="48">
        <f t="shared" si="10"/>
        <v>0</v>
      </c>
      <c r="H215" s="20"/>
    </row>
    <row r="216" spans="1:8" x14ac:dyDescent="0.2">
      <c r="A216" s="40"/>
      <c r="B216" s="300" t="s">
        <v>295</v>
      </c>
      <c r="C216" s="40" t="str">
        <f>'Material Rates_Master'!B44</f>
        <v>ea</v>
      </c>
      <c r="D216" s="240"/>
      <c r="E216" s="48">
        <f>'Material Rates_Master'!D44*$M$16</f>
        <v>253.20239999999995</v>
      </c>
      <c r="F216" s="48">
        <f t="shared" si="10"/>
        <v>0</v>
      </c>
      <c r="H216" s="20"/>
    </row>
    <row r="217" spans="1:8" x14ac:dyDescent="0.2">
      <c r="A217" s="40"/>
      <c r="B217" s="300" t="s">
        <v>296</v>
      </c>
      <c r="C217" s="40" t="str">
        <f>'Material Rates_Master'!B45</f>
        <v>ea</v>
      </c>
      <c r="D217" s="240"/>
      <c r="E217" s="48">
        <f>'Material Rates_Master'!D45*$M$16</f>
        <v>265.55340000000001</v>
      </c>
      <c r="F217" s="48">
        <f t="shared" si="10"/>
        <v>0</v>
      </c>
      <c r="H217" s="20"/>
    </row>
    <row r="218" spans="1:8" x14ac:dyDescent="0.2">
      <c r="A218" s="40"/>
      <c r="B218" s="300" t="s">
        <v>297</v>
      </c>
      <c r="C218" s="40" t="str">
        <f>'Material Rates_Master'!B46</f>
        <v>ea</v>
      </c>
      <c r="D218" s="240"/>
      <c r="E218" s="48">
        <f>'Material Rates_Master'!D46*$M$16</f>
        <v>256.27979999999997</v>
      </c>
      <c r="F218" s="48">
        <f t="shared" si="10"/>
        <v>0</v>
      </c>
      <c r="H218" s="20"/>
    </row>
    <row r="219" spans="1:8" x14ac:dyDescent="0.2">
      <c r="A219" s="40"/>
      <c r="B219" s="300" t="s">
        <v>298</v>
      </c>
      <c r="C219" s="40" t="str">
        <f>'Material Rates_Master'!B47</f>
        <v>ea</v>
      </c>
      <c r="D219" s="240"/>
      <c r="E219" s="48">
        <f>'Material Rates_Master'!D47*$M$16</f>
        <v>77.059200000000004</v>
      </c>
      <c r="F219" s="48">
        <f t="shared" si="10"/>
        <v>0</v>
      </c>
      <c r="H219" s="20"/>
    </row>
    <row r="220" spans="1:8" x14ac:dyDescent="0.2">
      <c r="A220" s="40"/>
      <c r="B220" s="300" t="s">
        <v>299</v>
      </c>
      <c r="C220" s="40" t="str">
        <f>'Material Rates_Master'!B48</f>
        <v>ea</v>
      </c>
      <c r="D220" s="240"/>
      <c r="E220" s="48">
        <f>'Material Rates_Master'!D48*$M$16</f>
        <v>54.965399999999995</v>
      </c>
      <c r="F220" s="48">
        <f t="shared" si="10"/>
        <v>0</v>
      </c>
      <c r="H220" s="20"/>
    </row>
    <row r="221" spans="1:8" x14ac:dyDescent="0.2">
      <c r="A221" s="40"/>
      <c r="B221" s="300" t="s">
        <v>300</v>
      </c>
      <c r="C221" s="40" t="s">
        <v>115</v>
      </c>
      <c r="D221" s="240">
        <v>1</v>
      </c>
      <c r="E221" s="48">
        <v>45</v>
      </c>
      <c r="F221" s="48">
        <f t="shared" si="10"/>
        <v>45</v>
      </c>
      <c r="H221" s="20"/>
    </row>
    <row r="222" spans="1:8" x14ac:dyDescent="0.2">
      <c r="A222" s="40"/>
      <c r="B222" s="300" t="s">
        <v>301</v>
      </c>
      <c r="C222" s="40" t="s">
        <v>115</v>
      </c>
      <c r="D222" s="240">
        <v>1</v>
      </c>
      <c r="E222" s="48">
        <v>35</v>
      </c>
      <c r="F222" s="48">
        <f t="shared" si="10"/>
        <v>35</v>
      </c>
      <c r="H222" s="20"/>
    </row>
    <row r="223" spans="1:8" ht="6.6" customHeight="1" x14ac:dyDescent="0.2">
      <c r="A223" s="40"/>
      <c r="B223" s="300"/>
      <c r="C223" s="40">
        <f>'Material Rates_Master'!B49</f>
        <v>0</v>
      </c>
      <c r="E223" s="48">
        <f>'Material Rates_Master'!D49</f>
        <v>0</v>
      </c>
      <c r="F223" s="48">
        <f t="shared" si="10"/>
        <v>0</v>
      </c>
    </row>
    <row r="224" spans="1:8" x14ac:dyDescent="0.2">
      <c r="A224" s="40"/>
      <c r="B224" s="300" t="s">
        <v>302</v>
      </c>
      <c r="C224" s="40" t="str">
        <f>'Material Rates_Master'!B50</f>
        <v>ea</v>
      </c>
      <c r="D224" s="240"/>
      <c r="E224" s="48">
        <f>'Material Rates_Master'!D50</f>
        <v>679.41</v>
      </c>
      <c r="F224" s="48">
        <f t="shared" si="10"/>
        <v>0</v>
      </c>
    </row>
    <row r="225" spans="1:6" x14ac:dyDescent="0.2">
      <c r="A225" s="40"/>
      <c r="B225" s="300" t="s">
        <v>303</v>
      </c>
      <c r="C225" s="40" t="str">
        <f>'Material Rates_Master'!B51</f>
        <v>ea</v>
      </c>
      <c r="D225" s="240"/>
      <c r="E225" s="48">
        <f>'Material Rates_Master'!D51</f>
        <v>323.52999999999997</v>
      </c>
      <c r="F225" s="48">
        <f t="shared" si="10"/>
        <v>0</v>
      </c>
    </row>
    <row r="226" spans="1:6" x14ac:dyDescent="0.2">
      <c r="A226" s="40"/>
      <c r="B226" s="300" t="s">
        <v>304</v>
      </c>
      <c r="C226" s="40" t="str">
        <f>'Material Rates_Master'!B52</f>
        <v>ea</v>
      </c>
      <c r="D226" s="240"/>
      <c r="E226" s="48">
        <f>'Material Rates_Master'!D52</f>
        <v>202.94</v>
      </c>
      <c r="F226" s="48">
        <f t="shared" si="10"/>
        <v>0</v>
      </c>
    </row>
    <row r="227" spans="1:6" x14ac:dyDescent="0.2">
      <c r="A227" s="40"/>
      <c r="B227" s="300" t="s">
        <v>305</v>
      </c>
      <c r="C227" s="40" t="str">
        <f>'Material Rates_Master'!B53</f>
        <v>ea</v>
      </c>
      <c r="D227" s="240"/>
      <c r="E227" s="48">
        <f>'Material Rates_Master'!D53</f>
        <v>136.94</v>
      </c>
      <c r="F227" s="48">
        <f t="shared" si="10"/>
        <v>0</v>
      </c>
    </row>
    <row r="228" spans="1:6" x14ac:dyDescent="0.2">
      <c r="A228" s="40"/>
      <c r="B228" s="300" t="s">
        <v>306</v>
      </c>
      <c r="C228" s="40" t="str">
        <f>'Material Rates_Master'!B54</f>
        <v>ea</v>
      </c>
      <c r="D228" s="240"/>
      <c r="E228" s="48">
        <f>'Material Rates_Master'!D54</f>
        <v>123.53</v>
      </c>
      <c r="F228" s="48">
        <f t="shared" si="10"/>
        <v>0</v>
      </c>
    </row>
    <row r="229" spans="1:6" x14ac:dyDescent="0.2">
      <c r="A229" s="40"/>
      <c r="B229" s="300" t="s">
        <v>307</v>
      </c>
      <c r="C229" s="40" t="str">
        <f>'Material Rates_Master'!B55</f>
        <v>ea</v>
      </c>
      <c r="D229" s="240"/>
      <c r="E229" s="48">
        <f>'Material Rates_Master'!D55</f>
        <v>98.82</v>
      </c>
      <c r="F229" s="48">
        <f t="shared" si="10"/>
        <v>0</v>
      </c>
    </row>
    <row r="230" spans="1:6" ht="4.95" customHeight="1" x14ac:dyDescent="0.2">
      <c r="A230" s="40"/>
      <c r="B230" s="300"/>
      <c r="C230" s="40">
        <f>'Material Rates_Master'!B56</f>
        <v>0</v>
      </c>
      <c r="E230" s="48">
        <f>'Material Rates_Master'!D56</f>
        <v>0</v>
      </c>
      <c r="F230" s="48">
        <f t="shared" si="10"/>
        <v>0</v>
      </c>
    </row>
    <row r="231" spans="1:6" x14ac:dyDescent="0.2">
      <c r="A231" s="40"/>
      <c r="B231" s="300" t="s">
        <v>308</v>
      </c>
      <c r="C231" s="40" t="str">
        <f>'Material Rates_Master'!B57</f>
        <v>ea</v>
      </c>
      <c r="D231" s="240"/>
      <c r="E231" s="48">
        <f>'Material Rates_Master'!D57</f>
        <v>291.18</v>
      </c>
      <c r="F231" s="48">
        <f t="shared" si="10"/>
        <v>0</v>
      </c>
    </row>
    <row r="232" spans="1:6" x14ac:dyDescent="0.2">
      <c r="A232" s="40"/>
      <c r="B232" s="300" t="s">
        <v>309</v>
      </c>
      <c r="C232" s="40" t="str">
        <f>'Material Rates_Master'!B58</f>
        <v>ea</v>
      </c>
      <c r="D232" s="240"/>
      <c r="E232" s="48">
        <f>'Material Rates_Master'!D58</f>
        <v>330</v>
      </c>
      <c r="F232" s="48">
        <f t="shared" si="10"/>
        <v>0</v>
      </c>
    </row>
    <row r="233" spans="1:6" x14ac:dyDescent="0.2">
      <c r="A233" s="40"/>
      <c r="B233" s="300" t="s">
        <v>310</v>
      </c>
      <c r="C233" s="40" t="str">
        <f>'Material Rates_Master'!B59</f>
        <v>ea</v>
      </c>
      <c r="D233" s="240"/>
      <c r="E233" s="48">
        <f>'Material Rates_Master'!D59</f>
        <v>156</v>
      </c>
      <c r="F233" s="48">
        <f t="shared" si="10"/>
        <v>0</v>
      </c>
    </row>
    <row r="234" spans="1:6" x14ac:dyDescent="0.2">
      <c r="A234" s="40"/>
      <c r="B234" s="300" t="s">
        <v>311</v>
      </c>
      <c r="C234" s="40" t="str">
        <f>'Material Rates_Master'!B60</f>
        <v>ea</v>
      </c>
      <c r="D234" s="240"/>
      <c r="E234" s="48">
        <f>'Material Rates_Master'!D60</f>
        <v>106.24</v>
      </c>
      <c r="F234" s="48">
        <f t="shared" si="10"/>
        <v>0</v>
      </c>
    </row>
    <row r="235" spans="1:6" x14ac:dyDescent="0.2">
      <c r="A235" s="40"/>
      <c r="B235" s="300" t="s">
        <v>312</v>
      </c>
      <c r="C235" s="40" t="str">
        <f>'Material Rates_Master'!B61</f>
        <v>ea</v>
      </c>
      <c r="D235" s="240"/>
      <c r="E235" s="48">
        <f>'Material Rates_Master'!D61</f>
        <v>70.59</v>
      </c>
      <c r="F235" s="48">
        <f t="shared" si="10"/>
        <v>0</v>
      </c>
    </row>
    <row r="236" spans="1:6" x14ac:dyDescent="0.2">
      <c r="A236" s="40"/>
      <c r="B236" s="300" t="s">
        <v>313</v>
      </c>
      <c r="C236" s="40" t="str">
        <f>'Material Rates_Master'!B62</f>
        <v>ea</v>
      </c>
      <c r="D236" s="240"/>
      <c r="E236" s="48">
        <f>'Material Rates_Master'!D62</f>
        <v>516.35</v>
      </c>
      <c r="F236" s="48">
        <f t="shared" si="10"/>
        <v>0</v>
      </c>
    </row>
    <row r="237" spans="1:6" x14ac:dyDescent="0.2">
      <c r="A237" s="40"/>
      <c r="B237" s="300" t="s">
        <v>314</v>
      </c>
      <c r="C237" s="40" t="str">
        <f>'Material Rates_Master'!B63</f>
        <v>ea</v>
      </c>
      <c r="D237" s="240"/>
      <c r="E237" s="48">
        <f>'Material Rates_Master'!D63</f>
        <v>198.88</v>
      </c>
      <c r="F237" s="48">
        <f t="shared" si="10"/>
        <v>0</v>
      </c>
    </row>
    <row r="238" spans="1:6" x14ac:dyDescent="0.2">
      <c r="A238" s="40"/>
      <c r="B238" s="300" t="s">
        <v>315</v>
      </c>
      <c r="C238" s="40" t="str">
        <f>'Material Rates_Master'!B64</f>
        <v>ea</v>
      </c>
      <c r="D238" s="240"/>
      <c r="E238" s="48">
        <f>'Material Rates_Master'!D64</f>
        <v>108.71</v>
      </c>
      <c r="F238" s="48">
        <f t="shared" si="10"/>
        <v>0</v>
      </c>
    </row>
    <row r="239" spans="1:6" x14ac:dyDescent="0.2">
      <c r="A239" s="40"/>
      <c r="B239" s="300" t="s">
        <v>316</v>
      </c>
      <c r="C239" s="40" t="str">
        <f>'Material Rates_Master'!B65</f>
        <v>ea</v>
      </c>
      <c r="D239" s="240"/>
      <c r="E239" s="48">
        <f>'Material Rates_Master'!D65</f>
        <v>672.65</v>
      </c>
      <c r="F239" s="48">
        <f t="shared" si="10"/>
        <v>0</v>
      </c>
    </row>
    <row r="240" spans="1:6" x14ac:dyDescent="0.2">
      <c r="A240" s="40"/>
      <c r="B240" s="300" t="s">
        <v>317</v>
      </c>
      <c r="C240" s="40" t="str">
        <f>'Material Rates_Master'!B66</f>
        <v>ea</v>
      </c>
      <c r="D240" s="240"/>
      <c r="E240" s="48">
        <f>'Material Rates_Master'!D66</f>
        <v>228.24</v>
      </c>
      <c r="F240" s="48">
        <f t="shared" si="10"/>
        <v>0</v>
      </c>
    </row>
    <row r="241" spans="1:6" x14ac:dyDescent="0.2">
      <c r="A241" s="40"/>
      <c r="B241" s="300" t="s">
        <v>318</v>
      </c>
      <c r="C241" s="40" t="str">
        <f>'Material Rates_Master'!B67</f>
        <v>ea</v>
      </c>
      <c r="D241" s="240"/>
      <c r="E241" s="48">
        <f>'Material Rates_Master'!D67</f>
        <v>128.24</v>
      </c>
      <c r="F241" s="48">
        <f t="shared" si="10"/>
        <v>0</v>
      </c>
    </row>
    <row r="242" spans="1:6" x14ac:dyDescent="0.2">
      <c r="A242" s="40"/>
      <c r="B242" s="300" t="s">
        <v>319</v>
      </c>
      <c r="C242" s="40" t="str">
        <f>'Material Rates_Master'!B68</f>
        <v>ea</v>
      </c>
      <c r="D242" s="240"/>
      <c r="E242" s="48">
        <f>'Material Rates_Master'!D68</f>
        <v>536.76</v>
      </c>
      <c r="F242" s="48">
        <f t="shared" si="10"/>
        <v>0</v>
      </c>
    </row>
    <row r="243" spans="1:6" x14ac:dyDescent="0.2">
      <c r="A243" s="40"/>
      <c r="B243" s="300" t="s">
        <v>320</v>
      </c>
      <c r="C243" s="40" t="str">
        <f>'Material Rates_Master'!B69</f>
        <v>ea</v>
      </c>
      <c r="D243" s="240"/>
      <c r="E243" s="48">
        <f>'Material Rates_Master'!D69</f>
        <v>576.47</v>
      </c>
      <c r="F243" s="48">
        <f t="shared" ref="F243:F306" si="11">E243*D243</f>
        <v>0</v>
      </c>
    </row>
    <row r="244" spans="1:6" x14ac:dyDescent="0.2">
      <c r="A244" s="40"/>
      <c r="B244" s="300" t="s">
        <v>321</v>
      </c>
      <c r="C244" s="40" t="str">
        <f>'Material Rates_Master'!B70</f>
        <v>ea</v>
      </c>
      <c r="D244" s="240"/>
      <c r="E244" s="48">
        <f>'Material Rates_Master'!D70</f>
        <v>198.82</v>
      </c>
      <c r="F244" s="48">
        <f t="shared" si="11"/>
        <v>0</v>
      </c>
    </row>
    <row r="245" spans="1:6" x14ac:dyDescent="0.2">
      <c r="A245" s="40"/>
      <c r="B245" s="300" t="s">
        <v>322</v>
      </c>
      <c r="C245" s="40" t="str">
        <f>'Material Rates_Master'!B71</f>
        <v>ea</v>
      </c>
      <c r="D245" s="240"/>
      <c r="E245" s="48">
        <f>'Material Rates_Master'!D71</f>
        <v>898.82</v>
      </c>
      <c r="F245" s="48">
        <f t="shared" si="11"/>
        <v>0</v>
      </c>
    </row>
    <row r="246" spans="1:6" x14ac:dyDescent="0.2">
      <c r="A246" s="40"/>
      <c r="B246" s="300" t="s">
        <v>323</v>
      </c>
      <c r="C246" s="40" t="str">
        <f>'Material Rates_Master'!B72</f>
        <v>ea</v>
      </c>
      <c r="D246" s="240"/>
      <c r="E246" s="48">
        <f>'Material Rates_Master'!D72</f>
        <v>640</v>
      </c>
      <c r="F246" s="48">
        <f t="shared" si="11"/>
        <v>0</v>
      </c>
    </row>
    <row r="247" spans="1:6" x14ac:dyDescent="0.2">
      <c r="A247" s="40"/>
      <c r="B247" s="300" t="s">
        <v>324</v>
      </c>
      <c r="C247" s="40" t="str">
        <f>'Material Rates_Master'!B73</f>
        <v>ea</v>
      </c>
      <c r="D247" s="240"/>
      <c r="E247" s="48">
        <f>'Material Rates_Master'!D73</f>
        <v>355.29</v>
      </c>
      <c r="F247" s="48">
        <f t="shared" si="11"/>
        <v>0</v>
      </c>
    </row>
    <row r="248" spans="1:6" x14ac:dyDescent="0.2">
      <c r="A248" s="40"/>
      <c r="B248" s="300" t="s">
        <v>325</v>
      </c>
      <c r="C248" s="40" t="str">
        <f>'Material Rates_Master'!B74</f>
        <v>ea</v>
      </c>
      <c r="D248" s="240"/>
      <c r="E248" s="48">
        <f>'Material Rates_Master'!D74</f>
        <v>534.41</v>
      </c>
      <c r="F248" s="48">
        <f t="shared" si="11"/>
        <v>0</v>
      </c>
    </row>
    <row r="249" spans="1:6" x14ac:dyDescent="0.2">
      <c r="A249" s="40"/>
      <c r="B249" s="300" t="s">
        <v>326</v>
      </c>
      <c r="C249" s="40" t="str">
        <f>'Material Rates_Master'!B75</f>
        <v>ea</v>
      </c>
      <c r="D249" s="240"/>
      <c r="E249" s="48">
        <f>'Material Rates_Master'!D75</f>
        <v>280</v>
      </c>
      <c r="F249" s="48">
        <f t="shared" si="11"/>
        <v>0</v>
      </c>
    </row>
    <row r="250" spans="1:6" x14ac:dyDescent="0.2">
      <c r="A250" s="40"/>
      <c r="B250" s="300" t="s">
        <v>327</v>
      </c>
      <c r="C250" s="40" t="str">
        <f>'Material Rates_Master'!B76</f>
        <v>ea</v>
      </c>
      <c r="D250" s="240"/>
      <c r="E250" s="48">
        <f>'Material Rates_Master'!D76</f>
        <v>236.47</v>
      </c>
      <c r="F250" s="48">
        <f t="shared" si="11"/>
        <v>0</v>
      </c>
    </row>
    <row r="251" spans="1:6" x14ac:dyDescent="0.2">
      <c r="A251" s="40"/>
      <c r="B251" s="300" t="s">
        <v>328</v>
      </c>
      <c r="C251" s="40" t="str">
        <f>'Material Rates_Master'!B77</f>
        <v>ea</v>
      </c>
      <c r="D251" s="240"/>
      <c r="E251" s="48">
        <f>'Material Rates_Master'!D77</f>
        <v>178.8</v>
      </c>
      <c r="F251" s="48">
        <f t="shared" si="11"/>
        <v>0</v>
      </c>
    </row>
    <row r="252" spans="1:6" x14ac:dyDescent="0.2">
      <c r="A252" s="40"/>
      <c r="B252" s="300" t="s">
        <v>329</v>
      </c>
      <c r="C252" s="40" t="str">
        <f>'Material Rates_Master'!B78</f>
        <v>ea</v>
      </c>
      <c r="D252" s="240"/>
      <c r="E252" s="48">
        <f>'Material Rates_Master'!D78</f>
        <v>362.35</v>
      </c>
      <c r="F252" s="48">
        <f t="shared" si="11"/>
        <v>0</v>
      </c>
    </row>
    <row r="253" spans="1:6" x14ac:dyDescent="0.2">
      <c r="A253" s="40"/>
      <c r="B253" s="300" t="s">
        <v>330</v>
      </c>
      <c r="C253" s="40" t="str">
        <f>'Material Rates_Master'!B79</f>
        <v>ea</v>
      </c>
      <c r="D253" s="240"/>
      <c r="E253" s="48">
        <f>'Material Rates_Master'!D79</f>
        <v>144.71</v>
      </c>
      <c r="F253" s="48">
        <f t="shared" si="11"/>
        <v>0</v>
      </c>
    </row>
    <row r="254" spans="1:6" x14ac:dyDescent="0.2">
      <c r="A254" s="40"/>
      <c r="B254" s="300" t="s">
        <v>331</v>
      </c>
      <c r="C254" s="40" t="str">
        <f>'Material Rates_Master'!B80</f>
        <v>ea</v>
      </c>
      <c r="D254" s="240"/>
      <c r="E254" s="48">
        <f>'Material Rates_Master'!D80</f>
        <v>135.88</v>
      </c>
      <c r="F254" s="48">
        <f t="shared" si="11"/>
        <v>0</v>
      </c>
    </row>
    <row r="255" spans="1:6" x14ac:dyDescent="0.2">
      <c r="A255" s="40"/>
      <c r="B255" s="300" t="s">
        <v>332</v>
      </c>
      <c r="C255" s="40" t="str">
        <f>'Material Rates_Master'!B81</f>
        <v>ea</v>
      </c>
      <c r="D255" s="240"/>
      <c r="E255" s="48">
        <f>'Material Rates_Master'!D81</f>
        <v>76.47</v>
      </c>
      <c r="F255" s="48">
        <f t="shared" si="11"/>
        <v>0</v>
      </c>
    </row>
    <row r="256" spans="1:6" x14ac:dyDescent="0.2">
      <c r="A256" s="40"/>
      <c r="B256" s="300" t="s">
        <v>333</v>
      </c>
      <c r="C256" s="40" t="str">
        <f>'Material Rates_Master'!B82</f>
        <v>ea</v>
      </c>
      <c r="D256" s="240"/>
      <c r="E256" s="48">
        <f>'Material Rates_Master'!D82</f>
        <v>67.650000000000006</v>
      </c>
      <c r="F256" s="48">
        <f t="shared" si="11"/>
        <v>0</v>
      </c>
    </row>
    <row r="257" spans="1:6" x14ac:dyDescent="0.2">
      <c r="A257" s="40"/>
      <c r="B257" s="300" t="s">
        <v>334</v>
      </c>
      <c r="C257" s="40" t="str">
        <f>'Material Rates_Master'!B83</f>
        <v>ea</v>
      </c>
      <c r="D257" s="240"/>
      <c r="E257" s="48">
        <f>'Material Rates_Master'!D83</f>
        <v>43.53</v>
      </c>
      <c r="F257" s="48">
        <f t="shared" si="11"/>
        <v>0</v>
      </c>
    </row>
    <row r="258" spans="1:6" ht="6.6" customHeight="1" x14ac:dyDescent="0.2">
      <c r="A258" s="40"/>
      <c r="B258" s="300"/>
      <c r="C258" s="40">
        <f>'Material Rates_Master'!B84</f>
        <v>0</v>
      </c>
      <c r="E258" s="48">
        <f>'Material Rates_Master'!D84</f>
        <v>0</v>
      </c>
      <c r="F258" s="48">
        <f t="shared" si="11"/>
        <v>0</v>
      </c>
    </row>
    <row r="259" spans="1:6" x14ac:dyDescent="0.2">
      <c r="A259" s="40"/>
      <c r="B259" s="300" t="s">
        <v>335</v>
      </c>
      <c r="C259" s="40" t="str">
        <f>'Material Rates_Master'!B85</f>
        <v>ea</v>
      </c>
      <c r="D259" s="240"/>
      <c r="E259" s="48">
        <f>'Material Rates_Master'!D85</f>
        <v>67.06</v>
      </c>
      <c r="F259" s="48">
        <f t="shared" si="11"/>
        <v>0</v>
      </c>
    </row>
    <row r="260" spans="1:6" x14ac:dyDescent="0.2">
      <c r="A260" s="40"/>
      <c r="B260" s="300" t="s">
        <v>336</v>
      </c>
      <c r="C260" s="40" t="str">
        <f>'Material Rates_Master'!B86</f>
        <v>ea</v>
      </c>
      <c r="D260" s="240"/>
      <c r="E260" s="48">
        <f>'Material Rates_Master'!D86</f>
        <v>46.71</v>
      </c>
      <c r="F260" s="48">
        <f t="shared" si="11"/>
        <v>0</v>
      </c>
    </row>
    <row r="261" spans="1:6" x14ac:dyDescent="0.2">
      <c r="A261" s="40"/>
      <c r="B261" s="300" t="s">
        <v>337</v>
      </c>
      <c r="C261" s="40" t="str">
        <f>'Material Rates_Master'!B87</f>
        <v>ea</v>
      </c>
      <c r="D261" s="240"/>
      <c r="E261" s="48">
        <f>'Material Rates_Master'!D87</f>
        <v>60</v>
      </c>
      <c r="F261" s="48">
        <f t="shared" si="11"/>
        <v>0</v>
      </c>
    </row>
    <row r="262" spans="1:6" x14ac:dyDescent="0.2">
      <c r="A262" s="40"/>
      <c r="B262" s="300" t="s">
        <v>338</v>
      </c>
      <c r="C262" s="40" t="str">
        <f>'Material Rates_Master'!B88</f>
        <v>ea</v>
      </c>
      <c r="D262" s="240"/>
      <c r="E262" s="48">
        <f>'Material Rates_Master'!D88</f>
        <v>42.35</v>
      </c>
      <c r="F262" s="48">
        <f t="shared" si="11"/>
        <v>0</v>
      </c>
    </row>
    <row r="263" spans="1:6" x14ac:dyDescent="0.2">
      <c r="A263" s="40"/>
      <c r="B263" s="300" t="s">
        <v>339</v>
      </c>
      <c r="C263" s="40" t="str">
        <f>'Material Rates_Master'!B89</f>
        <v>ea</v>
      </c>
      <c r="D263" s="240"/>
      <c r="E263" s="48">
        <f>'Material Rates_Master'!D89</f>
        <v>24.71</v>
      </c>
      <c r="F263" s="48">
        <f t="shared" si="11"/>
        <v>0</v>
      </c>
    </row>
    <row r="264" spans="1:6" x14ac:dyDescent="0.2">
      <c r="A264" s="40"/>
      <c r="B264" s="300" t="s">
        <v>340</v>
      </c>
      <c r="C264" s="40" t="str">
        <f>'Material Rates_Master'!B90</f>
        <v>ea</v>
      </c>
      <c r="D264" s="240"/>
      <c r="E264" s="48">
        <f>'Material Rates_Master'!D90</f>
        <v>20</v>
      </c>
      <c r="F264" s="48">
        <f t="shared" si="11"/>
        <v>0</v>
      </c>
    </row>
    <row r="265" spans="1:6" ht="6.6" customHeight="1" x14ac:dyDescent="0.2">
      <c r="A265" s="40"/>
      <c r="B265" s="300"/>
      <c r="C265" s="40">
        <f>'Material Rates_Master'!B91</f>
        <v>0</v>
      </c>
      <c r="E265" s="48">
        <f>'Material Rates_Master'!D91</f>
        <v>0</v>
      </c>
      <c r="F265" s="48">
        <f t="shared" si="11"/>
        <v>0</v>
      </c>
    </row>
    <row r="266" spans="1:6" x14ac:dyDescent="0.2">
      <c r="A266" s="40"/>
      <c r="B266" s="300" t="s">
        <v>341</v>
      </c>
      <c r="C266" s="40" t="str">
        <f>'Material Rates_Master'!B92</f>
        <v>ea</v>
      </c>
      <c r="D266" s="240"/>
      <c r="E266" s="48">
        <f>'Material Rates_Master'!D92</f>
        <v>108.71</v>
      </c>
      <c r="F266" s="48">
        <f t="shared" si="11"/>
        <v>0</v>
      </c>
    </row>
    <row r="267" spans="1:6" x14ac:dyDescent="0.2">
      <c r="A267" s="40"/>
      <c r="B267" s="300" t="s">
        <v>342</v>
      </c>
      <c r="C267" s="40" t="str">
        <f>'Material Rates_Master'!B93</f>
        <v>ea</v>
      </c>
      <c r="D267" s="240"/>
      <c r="E267" s="48">
        <f>'Material Rates_Master'!D93</f>
        <v>87.06</v>
      </c>
      <c r="F267" s="48">
        <f t="shared" si="11"/>
        <v>0</v>
      </c>
    </row>
    <row r="268" spans="1:6" x14ac:dyDescent="0.2">
      <c r="A268" s="40"/>
      <c r="B268" s="300" t="s">
        <v>343</v>
      </c>
      <c r="C268" s="40" t="str">
        <f>'Material Rates_Master'!B94</f>
        <v>ea</v>
      </c>
      <c r="D268" s="240"/>
      <c r="E268" s="48">
        <f>'Material Rates_Master'!D94</f>
        <v>305.88</v>
      </c>
      <c r="F268" s="48">
        <f t="shared" si="11"/>
        <v>0</v>
      </c>
    </row>
    <row r="269" spans="1:6" x14ac:dyDescent="0.2">
      <c r="A269" s="40"/>
      <c r="B269" s="300" t="s">
        <v>344</v>
      </c>
      <c r="C269" s="40" t="str">
        <f>'Material Rates_Master'!B95</f>
        <v>ea</v>
      </c>
      <c r="D269" s="240"/>
      <c r="E269" s="48">
        <f>'Material Rates_Master'!D95</f>
        <v>182.35</v>
      </c>
      <c r="F269" s="48">
        <f t="shared" si="11"/>
        <v>0</v>
      </c>
    </row>
    <row r="270" spans="1:6" x14ac:dyDescent="0.2">
      <c r="A270" s="40"/>
      <c r="B270" s="300" t="s">
        <v>345</v>
      </c>
      <c r="C270" s="40" t="str">
        <f>'Material Rates_Master'!B96</f>
        <v>ea</v>
      </c>
      <c r="D270" s="240"/>
      <c r="E270" s="48">
        <f>'Material Rates_Master'!D96</f>
        <v>229.41</v>
      </c>
      <c r="F270" s="48">
        <f t="shared" si="11"/>
        <v>0</v>
      </c>
    </row>
    <row r="271" spans="1:6" x14ac:dyDescent="0.2">
      <c r="A271" s="40"/>
      <c r="B271" s="300" t="s">
        <v>346</v>
      </c>
      <c r="C271" s="40" t="str">
        <f>'Material Rates_Master'!B97</f>
        <v>ea</v>
      </c>
      <c r="D271" s="240"/>
      <c r="E271" s="48">
        <f>'Material Rates_Master'!D97</f>
        <v>152.94</v>
      </c>
      <c r="F271" s="48">
        <f t="shared" si="11"/>
        <v>0</v>
      </c>
    </row>
    <row r="272" spans="1:6" x14ac:dyDescent="0.2">
      <c r="A272" s="40"/>
      <c r="B272" s="300" t="s">
        <v>347</v>
      </c>
      <c r="C272" s="40" t="str">
        <f>'Material Rates_Master'!B98</f>
        <v>ea</v>
      </c>
      <c r="D272" s="240"/>
      <c r="E272" s="48">
        <f>'Material Rates_Master'!D98</f>
        <v>690</v>
      </c>
      <c r="F272" s="48">
        <f t="shared" si="11"/>
        <v>0</v>
      </c>
    </row>
    <row r="273" spans="1:6" x14ac:dyDescent="0.2">
      <c r="A273" s="40"/>
      <c r="B273" s="300" t="s">
        <v>348</v>
      </c>
      <c r="C273" s="40" t="str">
        <f>'Material Rates_Master'!B99</f>
        <v>ea</v>
      </c>
      <c r="D273" s="240"/>
      <c r="E273" s="48">
        <f>'Material Rates_Master'!D99</f>
        <v>408.47</v>
      </c>
      <c r="F273" s="48">
        <f t="shared" si="11"/>
        <v>0</v>
      </c>
    </row>
    <row r="274" spans="1:6" ht="6.6" customHeight="1" x14ac:dyDescent="0.2">
      <c r="A274" s="40"/>
      <c r="B274" s="300"/>
      <c r="C274" s="40">
        <f>'Material Rates_Master'!B100</f>
        <v>0</v>
      </c>
      <c r="E274" s="48">
        <f>'Material Rates_Master'!D100</f>
        <v>0</v>
      </c>
      <c r="F274" s="48">
        <f t="shared" si="11"/>
        <v>0</v>
      </c>
    </row>
    <row r="275" spans="1:6" x14ac:dyDescent="0.2">
      <c r="A275" s="40"/>
      <c r="B275" s="300" t="s">
        <v>349</v>
      </c>
      <c r="C275" s="40" t="str">
        <f>'Material Rates_Master'!B101</f>
        <v>ea</v>
      </c>
      <c r="D275" s="240"/>
      <c r="E275" s="48">
        <f>'Material Rates_Master'!D101</f>
        <v>90</v>
      </c>
      <c r="F275" s="48">
        <f t="shared" si="11"/>
        <v>0</v>
      </c>
    </row>
    <row r="276" spans="1:6" x14ac:dyDescent="0.2">
      <c r="A276" s="40"/>
      <c r="B276" s="300" t="s">
        <v>350</v>
      </c>
      <c r="C276" s="40" t="str">
        <f>'Material Rates_Master'!B102</f>
        <v>ea</v>
      </c>
      <c r="D276" s="240"/>
      <c r="E276" s="48">
        <f>'Material Rates_Master'!D102</f>
        <v>13.5</v>
      </c>
      <c r="F276" s="48">
        <f t="shared" si="11"/>
        <v>0</v>
      </c>
    </row>
    <row r="277" spans="1:6" x14ac:dyDescent="0.2">
      <c r="A277" s="40"/>
      <c r="B277" s="300" t="s">
        <v>351</v>
      </c>
      <c r="C277" s="40" t="str">
        <f>'Material Rates_Master'!B103</f>
        <v>ea</v>
      </c>
      <c r="D277" s="240"/>
      <c r="E277" s="48">
        <f>'Material Rates_Master'!D103</f>
        <v>27.14</v>
      </c>
      <c r="F277" s="48">
        <f t="shared" si="11"/>
        <v>0</v>
      </c>
    </row>
    <row r="278" spans="1:6" x14ac:dyDescent="0.2">
      <c r="A278" s="40"/>
      <c r="B278" s="300" t="s">
        <v>352</v>
      </c>
      <c r="C278" s="40" t="str">
        <f>'Material Rates_Master'!B104</f>
        <v>ea</v>
      </c>
      <c r="D278" s="240"/>
      <c r="E278" s="48">
        <f>'Material Rates_Master'!D104</f>
        <v>27.14</v>
      </c>
      <c r="F278" s="48">
        <f t="shared" si="11"/>
        <v>0</v>
      </c>
    </row>
    <row r="279" spans="1:6" x14ac:dyDescent="0.2">
      <c r="A279" s="40"/>
      <c r="B279" s="300"/>
      <c r="E279" s="48"/>
      <c r="F279" s="48">
        <f t="shared" si="11"/>
        <v>0</v>
      </c>
    </row>
    <row r="280" spans="1:6" x14ac:dyDescent="0.2">
      <c r="A280" s="40"/>
      <c r="B280" s="332" t="s">
        <v>353</v>
      </c>
      <c r="E280" s="48"/>
      <c r="F280" s="48">
        <f t="shared" si="11"/>
        <v>0</v>
      </c>
    </row>
    <row r="281" spans="1:6" x14ac:dyDescent="0.2">
      <c r="A281" s="40"/>
      <c r="B281" s="301" t="s">
        <v>354</v>
      </c>
      <c r="C281" s="40" t="str">
        <f>'Material Rates_Master'!B107</f>
        <v>Unit</v>
      </c>
      <c r="E281" s="48"/>
      <c r="F281" s="48"/>
    </row>
    <row r="282" spans="1:6" x14ac:dyDescent="0.2">
      <c r="A282" s="40"/>
      <c r="B282" s="300" t="s">
        <v>355</v>
      </c>
      <c r="C282" s="40" t="str">
        <f>'Material Rates_Master'!B108</f>
        <v>m</v>
      </c>
      <c r="D282" s="37"/>
      <c r="E282" s="48">
        <f>'Material Rates_Master'!D108</f>
        <v>43.846153846153847</v>
      </c>
      <c r="F282" s="48">
        <f t="shared" si="11"/>
        <v>0</v>
      </c>
    </row>
    <row r="283" spans="1:6" x14ac:dyDescent="0.2">
      <c r="A283" s="40"/>
      <c r="B283" s="300" t="s">
        <v>356</v>
      </c>
      <c r="C283" s="40" t="str">
        <f>'Material Rates_Master'!B109</f>
        <v>m</v>
      </c>
      <c r="D283" s="37"/>
      <c r="E283" s="48">
        <f>'Material Rates_Master'!D109</f>
        <v>28.46153846153846</v>
      </c>
      <c r="F283" s="48">
        <f t="shared" si="11"/>
        <v>0</v>
      </c>
    </row>
    <row r="284" spans="1:6" x14ac:dyDescent="0.2">
      <c r="A284" s="40"/>
      <c r="B284" s="300" t="s">
        <v>357</v>
      </c>
      <c r="C284" s="40" t="str">
        <f>'Material Rates_Master'!B110</f>
        <v>m</v>
      </c>
      <c r="D284" s="37"/>
      <c r="E284" s="48">
        <f>'Material Rates_Master'!D110</f>
        <v>106.24166666666667</v>
      </c>
      <c r="F284" s="48">
        <f t="shared" si="11"/>
        <v>0</v>
      </c>
    </row>
    <row r="285" spans="1:6" x14ac:dyDescent="0.2">
      <c r="A285" s="40"/>
      <c r="B285" s="300" t="s">
        <v>358</v>
      </c>
      <c r="C285" s="40" t="str">
        <f>'Material Rates_Master'!B111</f>
        <v>m</v>
      </c>
      <c r="D285" s="37"/>
      <c r="E285" s="48">
        <f>'Material Rates_Master'!D111</f>
        <v>59.82</v>
      </c>
      <c r="F285" s="48">
        <f t="shared" si="11"/>
        <v>0</v>
      </c>
    </row>
    <row r="286" spans="1:6" ht="8.25" customHeight="1" x14ac:dyDescent="0.2">
      <c r="A286" s="40"/>
      <c r="B286" s="300"/>
      <c r="C286" s="40">
        <f>'Material Rates_Master'!B112</f>
        <v>0</v>
      </c>
      <c r="D286" s="37"/>
      <c r="E286" s="48">
        <f>'Material Rates_Master'!D112</f>
        <v>0</v>
      </c>
      <c r="F286" s="48">
        <f t="shared" si="11"/>
        <v>0</v>
      </c>
    </row>
    <row r="287" spans="1:6" x14ac:dyDescent="0.2">
      <c r="A287" s="40"/>
      <c r="B287" s="300" t="s">
        <v>359</v>
      </c>
      <c r="C287" s="40" t="str">
        <f>'Material Rates_Master'!B113</f>
        <v>ea</v>
      </c>
      <c r="D287" s="37"/>
      <c r="E287" s="48">
        <f>'Material Rates_Master'!D113</f>
        <v>12.83</v>
      </c>
      <c r="F287" s="48">
        <f t="shared" si="11"/>
        <v>0</v>
      </c>
    </row>
    <row r="288" spans="1:6" x14ac:dyDescent="0.2">
      <c r="A288" s="40"/>
      <c r="B288" s="300" t="s">
        <v>360</v>
      </c>
      <c r="C288" s="40" t="str">
        <f>'Material Rates_Master'!B114</f>
        <v>ea</v>
      </c>
      <c r="D288" s="37"/>
      <c r="E288" s="48">
        <f>'Material Rates_Master'!D114</f>
        <v>7.55</v>
      </c>
      <c r="F288" s="48">
        <f t="shared" si="11"/>
        <v>0</v>
      </c>
    </row>
    <row r="289" spans="1:6" x14ac:dyDescent="0.2">
      <c r="A289" s="40"/>
      <c r="B289" s="300" t="s">
        <v>361</v>
      </c>
      <c r="C289" s="40" t="str">
        <f>'Material Rates_Master'!B115</f>
        <v>ea</v>
      </c>
      <c r="D289" s="37"/>
      <c r="E289" s="48">
        <f>'Material Rates_Master'!D115</f>
        <v>35.5</v>
      </c>
      <c r="F289" s="48">
        <f t="shared" si="11"/>
        <v>0</v>
      </c>
    </row>
    <row r="290" spans="1:6" x14ac:dyDescent="0.2">
      <c r="A290" s="40"/>
      <c r="B290" s="300" t="s">
        <v>362</v>
      </c>
      <c r="C290" s="40" t="str">
        <f>'Material Rates_Master'!B116</f>
        <v>ea</v>
      </c>
      <c r="D290" s="37"/>
      <c r="E290" s="48">
        <f>'Material Rates_Master'!D116</f>
        <v>16.93</v>
      </c>
      <c r="F290" s="48">
        <f t="shared" si="11"/>
        <v>0</v>
      </c>
    </row>
    <row r="291" spans="1:6" x14ac:dyDescent="0.2">
      <c r="A291" s="40"/>
      <c r="B291" s="300" t="s">
        <v>363</v>
      </c>
      <c r="C291" s="40" t="str">
        <f>'Material Rates_Master'!B117</f>
        <v>ea</v>
      </c>
      <c r="D291" s="37"/>
      <c r="E291" s="48">
        <f>'Material Rates_Master'!D117</f>
        <v>22.85</v>
      </c>
      <c r="F291" s="48">
        <f t="shared" si="11"/>
        <v>0</v>
      </c>
    </row>
    <row r="292" spans="1:6" x14ac:dyDescent="0.2">
      <c r="A292" s="40"/>
      <c r="B292" s="300" t="s">
        <v>364</v>
      </c>
      <c r="C292" s="40" t="str">
        <f>'Material Rates_Master'!B118</f>
        <v>ea</v>
      </c>
      <c r="D292" s="37"/>
      <c r="E292" s="48">
        <f>'Material Rates_Master'!D118</f>
        <v>10.62</v>
      </c>
      <c r="F292" s="48">
        <f t="shared" si="11"/>
        <v>0</v>
      </c>
    </row>
    <row r="293" spans="1:6" x14ac:dyDescent="0.2">
      <c r="A293" s="40"/>
      <c r="B293" s="300" t="s">
        <v>365</v>
      </c>
      <c r="C293" s="40" t="str">
        <f>'Material Rates_Master'!B119</f>
        <v>ea</v>
      </c>
      <c r="D293" s="37"/>
      <c r="E293" s="48">
        <f>'Material Rates_Master'!D119</f>
        <v>23.5</v>
      </c>
      <c r="F293" s="48">
        <f t="shared" si="11"/>
        <v>0</v>
      </c>
    </row>
    <row r="294" spans="1:6" x14ac:dyDescent="0.2">
      <c r="A294" s="40"/>
      <c r="B294" s="300" t="s">
        <v>366</v>
      </c>
      <c r="C294" s="40" t="str">
        <f>'Material Rates_Master'!B120</f>
        <v>ea</v>
      </c>
      <c r="D294" s="37"/>
      <c r="E294" s="48">
        <f>'Material Rates_Master'!D120</f>
        <v>11.4</v>
      </c>
      <c r="F294" s="48">
        <f t="shared" si="11"/>
        <v>0</v>
      </c>
    </row>
    <row r="295" spans="1:6" x14ac:dyDescent="0.2">
      <c r="A295" s="40"/>
      <c r="B295" s="300" t="s">
        <v>367</v>
      </c>
      <c r="C295" s="40" t="str">
        <f>'Material Rates_Master'!B121</f>
        <v>ea</v>
      </c>
      <c r="D295" s="37"/>
      <c r="E295" s="48">
        <f>'Material Rates_Master'!D121</f>
        <v>30.75</v>
      </c>
      <c r="F295" s="48">
        <f t="shared" si="11"/>
        <v>0</v>
      </c>
    </row>
    <row r="296" spans="1:6" x14ac:dyDescent="0.2">
      <c r="A296" s="40"/>
      <c r="B296" s="300" t="s">
        <v>368</v>
      </c>
      <c r="C296" s="40" t="str">
        <f>'Material Rates_Master'!B122</f>
        <v>ea</v>
      </c>
      <c r="D296" s="37"/>
      <c r="E296" s="48">
        <f>'Material Rates_Master'!D122</f>
        <v>23.21</v>
      </c>
      <c r="F296" s="48">
        <f t="shared" si="11"/>
        <v>0</v>
      </c>
    </row>
    <row r="297" spans="1:6" x14ac:dyDescent="0.2">
      <c r="A297" s="40"/>
      <c r="B297" s="300" t="s">
        <v>369</v>
      </c>
      <c r="C297" s="40" t="str">
        <f>'Material Rates_Master'!B123</f>
        <v>ea</v>
      </c>
      <c r="D297" s="37"/>
      <c r="E297" s="48">
        <f>'Material Rates_Master'!D123</f>
        <v>217.8</v>
      </c>
      <c r="F297" s="48">
        <f t="shared" si="11"/>
        <v>0</v>
      </c>
    </row>
    <row r="298" spans="1:6" x14ac:dyDescent="0.2">
      <c r="A298" s="40"/>
      <c r="B298" s="300" t="s">
        <v>370</v>
      </c>
      <c r="C298" s="40" t="str">
        <f>'Material Rates_Master'!B124</f>
        <v>ea</v>
      </c>
      <c r="D298" s="37"/>
      <c r="E298" s="48">
        <f>'Material Rates_Master'!D124</f>
        <v>169.4</v>
      </c>
      <c r="F298" s="48">
        <f t="shared" si="11"/>
        <v>0</v>
      </c>
    </row>
    <row r="299" spans="1:6" ht="5.4" customHeight="1" x14ac:dyDescent="0.2">
      <c r="A299" s="40"/>
      <c r="B299" s="300"/>
      <c r="C299" s="40">
        <f>'Material Rates_Master'!B125</f>
        <v>0</v>
      </c>
      <c r="D299" s="37"/>
      <c r="E299" s="48">
        <f>'Material Rates_Master'!D125</f>
        <v>0</v>
      </c>
      <c r="F299" s="48">
        <f t="shared" si="11"/>
        <v>0</v>
      </c>
    </row>
    <row r="300" spans="1:6" x14ac:dyDescent="0.2">
      <c r="A300" s="40"/>
      <c r="B300" s="300" t="s">
        <v>371</v>
      </c>
      <c r="C300" s="40" t="str">
        <f>'Material Rates_Master'!B126</f>
        <v>ea</v>
      </c>
      <c r="D300" s="37"/>
      <c r="E300" s="48">
        <f>'Material Rates_Master'!D126</f>
        <v>2350</v>
      </c>
      <c r="F300" s="48">
        <f t="shared" si="11"/>
        <v>0</v>
      </c>
    </row>
    <row r="301" spans="1:6" x14ac:dyDescent="0.2">
      <c r="A301" s="40"/>
      <c r="B301" s="300" t="s">
        <v>372</v>
      </c>
      <c r="C301" s="40" t="str">
        <f>'Material Rates_Master'!B127</f>
        <v>ea</v>
      </c>
      <c r="D301" s="37"/>
      <c r="E301" s="48">
        <f>'Material Rates_Master'!D127</f>
        <v>1155</v>
      </c>
      <c r="F301" s="48">
        <f t="shared" si="11"/>
        <v>0</v>
      </c>
    </row>
    <row r="302" spans="1:6" ht="6.6" customHeight="1" x14ac:dyDescent="0.2">
      <c r="A302" s="40"/>
      <c r="B302" s="300"/>
      <c r="C302" s="40">
        <f>'Material Rates_Master'!B128</f>
        <v>0</v>
      </c>
      <c r="D302" s="37"/>
      <c r="E302" s="48">
        <f>'Material Rates_Master'!D128</f>
        <v>0</v>
      </c>
      <c r="F302" s="48">
        <f t="shared" si="11"/>
        <v>0</v>
      </c>
    </row>
    <row r="303" spans="1:6" x14ac:dyDescent="0.2">
      <c r="A303" s="40"/>
      <c r="B303" s="300" t="s">
        <v>373</v>
      </c>
      <c r="C303" s="40" t="str">
        <f>'Material Rates_Master'!B129</f>
        <v>ea</v>
      </c>
      <c r="D303" s="240">
        <v>4</v>
      </c>
      <c r="E303" s="48">
        <f>'Material Rates_Master'!D129</f>
        <v>365</v>
      </c>
      <c r="F303" s="48">
        <f t="shared" si="11"/>
        <v>1460</v>
      </c>
    </row>
    <row r="304" spans="1:6" x14ac:dyDescent="0.2">
      <c r="A304" s="40"/>
      <c r="B304" s="300" t="s">
        <v>374</v>
      </c>
      <c r="C304" s="40" t="str">
        <f>'Material Rates_Master'!B130</f>
        <v>ea</v>
      </c>
      <c r="D304" s="240"/>
      <c r="E304" s="48">
        <f>'Material Rates_Master'!D130</f>
        <v>365</v>
      </c>
      <c r="F304" s="48">
        <f t="shared" si="11"/>
        <v>0</v>
      </c>
    </row>
    <row r="305" spans="1:6" x14ac:dyDescent="0.2">
      <c r="A305" s="40"/>
      <c r="B305" s="300" t="s">
        <v>375</v>
      </c>
      <c r="C305" s="40" t="str">
        <f>'Material Rates_Master'!B131</f>
        <v>ea</v>
      </c>
      <c r="D305" s="240"/>
      <c r="E305" s="48">
        <f>'Material Rates_Master'!D131</f>
        <v>90</v>
      </c>
      <c r="F305" s="48">
        <f t="shared" si="11"/>
        <v>0</v>
      </c>
    </row>
    <row r="306" spans="1:6" x14ac:dyDescent="0.2">
      <c r="A306" s="40"/>
      <c r="B306" s="300" t="s">
        <v>376</v>
      </c>
      <c r="C306" s="40" t="str">
        <f>'Material Rates_Master'!B132</f>
        <v>ea</v>
      </c>
      <c r="D306" s="240"/>
      <c r="E306" s="48">
        <f>'Material Rates_Master'!D132</f>
        <v>5</v>
      </c>
      <c r="F306" s="48">
        <f t="shared" si="11"/>
        <v>0</v>
      </c>
    </row>
    <row r="307" spans="1:6" x14ac:dyDescent="0.2">
      <c r="A307" s="40"/>
      <c r="B307" s="300" t="s">
        <v>377</v>
      </c>
      <c r="C307" s="40" t="str">
        <f>'Material Rates_Master'!B133</f>
        <v>ea</v>
      </c>
      <c r="D307" s="240">
        <v>11</v>
      </c>
      <c r="E307" s="48">
        <f>'Material Rates_Master'!D133</f>
        <v>125</v>
      </c>
      <c r="F307" s="48">
        <f t="shared" ref="F307:F354" si="12">E307*D307</f>
        <v>1375</v>
      </c>
    </row>
    <row r="308" spans="1:6" x14ac:dyDescent="0.2">
      <c r="A308" s="40"/>
      <c r="B308" s="300" t="s">
        <v>378</v>
      </c>
      <c r="C308" s="40" t="str">
        <f>'Material Rates_Master'!B134</f>
        <v>ea</v>
      </c>
      <c r="D308" s="240"/>
      <c r="E308" s="48">
        <f>'Material Rates_Master'!D134</f>
        <v>39</v>
      </c>
      <c r="F308" s="48">
        <f t="shared" si="12"/>
        <v>0</v>
      </c>
    </row>
    <row r="309" spans="1:6" ht="6.6" customHeight="1" x14ac:dyDescent="0.2">
      <c r="A309" s="40"/>
      <c r="B309" s="300"/>
      <c r="C309" s="40">
        <f>'Material Rates_Master'!B135</f>
        <v>0</v>
      </c>
      <c r="D309" s="37"/>
      <c r="E309" s="48">
        <f>'Material Rates_Master'!D135</f>
        <v>0</v>
      </c>
      <c r="F309" s="48">
        <f t="shared" si="12"/>
        <v>0</v>
      </c>
    </row>
    <row r="310" spans="1:6" x14ac:dyDescent="0.2">
      <c r="A310" s="40"/>
      <c r="B310" s="300" t="s">
        <v>379</v>
      </c>
      <c r="C310" s="40" t="str">
        <f>'Material Rates_Master'!B136</f>
        <v>ea</v>
      </c>
      <c r="D310" s="37"/>
      <c r="E310" s="48">
        <f>'Material Rates_Master'!D136</f>
        <v>3100.7</v>
      </c>
      <c r="F310" s="48">
        <f t="shared" si="12"/>
        <v>0</v>
      </c>
    </row>
    <row r="311" spans="1:6" x14ac:dyDescent="0.2">
      <c r="A311" s="40"/>
      <c r="B311" s="300" t="s">
        <v>380</v>
      </c>
      <c r="C311" s="40" t="str">
        <f>'Material Rates_Master'!B137</f>
        <v>ea</v>
      </c>
      <c r="D311" s="37"/>
      <c r="E311" s="48">
        <f>'Material Rates_Master'!D137</f>
        <v>4237.09</v>
      </c>
      <c r="F311" s="48">
        <f t="shared" si="12"/>
        <v>0</v>
      </c>
    </row>
    <row r="312" spans="1:6" ht="7.2" customHeight="1" x14ac:dyDescent="0.2">
      <c r="A312" s="40"/>
      <c r="B312" s="300"/>
      <c r="C312" s="40">
        <f>'Material Rates_Master'!B138</f>
        <v>0</v>
      </c>
      <c r="D312" s="37"/>
      <c r="E312" s="48">
        <f>'Material Rates_Master'!D138</f>
        <v>0</v>
      </c>
      <c r="F312" s="48">
        <f t="shared" si="12"/>
        <v>0</v>
      </c>
    </row>
    <row r="313" spans="1:6" x14ac:dyDescent="0.2">
      <c r="A313" s="40"/>
      <c r="B313" s="300" t="s">
        <v>381</v>
      </c>
      <c r="C313" s="40" t="str">
        <f>'Material Rates_Master'!B139</f>
        <v>ea</v>
      </c>
      <c r="D313" s="37"/>
      <c r="E313" s="48">
        <f>'Material Rates_Master'!D139</f>
        <v>114.44</v>
      </c>
      <c r="F313" s="48">
        <f t="shared" si="12"/>
        <v>0</v>
      </c>
    </row>
    <row r="314" spans="1:6" x14ac:dyDescent="0.2">
      <c r="A314" s="40"/>
      <c r="B314" s="300" t="s">
        <v>382</v>
      </c>
      <c r="C314" s="40" t="str">
        <f>'Material Rates_Master'!B140</f>
        <v>ea</v>
      </c>
      <c r="D314" s="37"/>
      <c r="E314" s="48">
        <f>'Material Rates_Master'!D140</f>
        <v>219.36</v>
      </c>
      <c r="F314" s="48">
        <f t="shared" si="12"/>
        <v>0</v>
      </c>
    </row>
    <row r="315" spans="1:6" x14ac:dyDescent="0.2">
      <c r="A315" s="40"/>
      <c r="B315" s="300" t="s">
        <v>383</v>
      </c>
      <c r="C315" s="40" t="str">
        <f>'Material Rates_Master'!B141</f>
        <v>ea</v>
      </c>
      <c r="D315" s="37"/>
      <c r="E315" s="48">
        <f>'Material Rates_Master'!D141</f>
        <v>135.09</v>
      </c>
      <c r="F315" s="48">
        <f t="shared" si="12"/>
        <v>0</v>
      </c>
    </row>
    <row r="316" spans="1:6" x14ac:dyDescent="0.2">
      <c r="A316" s="40"/>
      <c r="B316" s="300" t="s">
        <v>384</v>
      </c>
      <c r="C316" s="40" t="str">
        <f>'Material Rates_Master'!B142</f>
        <v>ea</v>
      </c>
      <c r="D316" s="37"/>
      <c r="E316" s="48">
        <f>'Material Rates_Master'!D142</f>
        <v>125.77</v>
      </c>
      <c r="F316" s="48">
        <f t="shared" si="12"/>
        <v>0</v>
      </c>
    </row>
    <row r="317" spans="1:6" x14ac:dyDescent="0.2">
      <c r="A317" s="40"/>
      <c r="B317" s="300" t="s">
        <v>385</v>
      </c>
      <c r="C317" s="40" t="str">
        <f>'Material Rates_Master'!B143</f>
        <v>ea</v>
      </c>
      <c r="D317" s="37"/>
      <c r="E317" s="48">
        <f>'Material Rates_Master'!D143</f>
        <v>83.25</v>
      </c>
      <c r="F317" s="48">
        <f t="shared" si="12"/>
        <v>0</v>
      </c>
    </row>
    <row r="318" spans="1:6" x14ac:dyDescent="0.2">
      <c r="A318" s="40"/>
      <c r="B318" s="300" t="s">
        <v>386</v>
      </c>
      <c r="C318" s="40" t="str">
        <f>'Material Rates_Master'!B144</f>
        <v>ea</v>
      </c>
      <c r="D318" s="37"/>
      <c r="E318" s="48">
        <f>'Material Rates_Master'!D144</f>
        <v>52.25</v>
      </c>
      <c r="F318" s="48">
        <f t="shared" si="12"/>
        <v>0</v>
      </c>
    </row>
    <row r="319" spans="1:6" x14ac:dyDescent="0.2">
      <c r="A319" s="40"/>
      <c r="B319" s="300" t="s">
        <v>387</v>
      </c>
      <c r="C319" s="40" t="str">
        <f>'Material Rates_Master'!B145</f>
        <v>ea</v>
      </c>
      <c r="D319" s="37"/>
      <c r="E319" s="48">
        <f>'Material Rates_Master'!D145</f>
        <v>175.66</v>
      </c>
      <c r="F319" s="48">
        <f t="shared" si="12"/>
        <v>0</v>
      </c>
    </row>
    <row r="320" spans="1:6" x14ac:dyDescent="0.2">
      <c r="A320" s="40"/>
      <c r="B320" s="300" t="s">
        <v>388</v>
      </c>
      <c r="C320" s="40" t="str">
        <f>'Material Rates_Master'!B146</f>
        <v>ea</v>
      </c>
      <c r="D320" s="37"/>
      <c r="E320" s="48">
        <f>'Material Rates_Master'!D146</f>
        <v>164.08</v>
      </c>
      <c r="F320" s="48">
        <f t="shared" si="12"/>
        <v>0</v>
      </c>
    </row>
    <row r="321" spans="1:6" ht="7.2" customHeight="1" x14ac:dyDescent="0.2">
      <c r="A321" s="40"/>
      <c r="B321" s="300"/>
      <c r="C321" s="40">
        <f>'Material Rates_Master'!B147</f>
        <v>0</v>
      </c>
      <c r="D321" s="240"/>
      <c r="E321" s="48">
        <f>'Material Rates_Master'!D147</f>
        <v>0</v>
      </c>
      <c r="F321" s="48">
        <f t="shared" si="12"/>
        <v>0</v>
      </c>
    </row>
    <row r="322" spans="1:6" ht="12.75" customHeight="1" x14ac:dyDescent="0.2">
      <c r="A322" s="40"/>
      <c r="B322" s="300" t="s">
        <v>389</v>
      </c>
      <c r="C322" s="40" t="s">
        <v>149</v>
      </c>
      <c r="D322" s="240">
        <v>137</v>
      </c>
      <c r="E322" s="48">
        <f>278.5/6</f>
        <v>46.416666666666664</v>
      </c>
      <c r="F322" s="48">
        <f t="shared" si="12"/>
        <v>6359.083333333333</v>
      </c>
    </row>
    <row r="323" spans="1:6" ht="12.75" customHeight="1" x14ac:dyDescent="0.2">
      <c r="A323" s="40"/>
      <c r="B323" s="300" t="s">
        <v>390</v>
      </c>
      <c r="C323" s="40" t="s">
        <v>115</v>
      </c>
      <c r="D323" s="240">
        <v>12</v>
      </c>
      <c r="E323" s="48">
        <v>45.02</v>
      </c>
      <c r="F323" s="48">
        <f t="shared" si="12"/>
        <v>540.24</v>
      </c>
    </row>
    <row r="324" spans="1:6" ht="12.75" customHeight="1" x14ac:dyDescent="0.2">
      <c r="A324" s="40"/>
      <c r="B324" s="300" t="s">
        <v>391</v>
      </c>
      <c r="C324" s="40" t="s">
        <v>115</v>
      </c>
      <c r="D324" s="240">
        <v>9</v>
      </c>
      <c r="E324" s="48">
        <v>56.35</v>
      </c>
      <c r="F324" s="48">
        <f t="shared" si="12"/>
        <v>507.15000000000003</v>
      </c>
    </row>
    <row r="325" spans="1:6" ht="12.75" customHeight="1" x14ac:dyDescent="0.2">
      <c r="A325" s="40"/>
      <c r="B325" s="300" t="s">
        <v>392</v>
      </c>
      <c r="C325" s="40" t="s">
        <v>115</v>
      </c>
      <c r="D325" s="240">
        <v>10</v>
      </c>
      <c r="E325" s="48">
        <v>34.92</v>
      </c>
      <c r="F325" s="48">
        <f t="shared" si="12"/>
        <v>349.20000000000005</v>
      </c>
    </row>
    <row r="326" spans="1:6" x14ac:dyDescent="0.2">
      <c r="A326" s="40"/>
      <c r="B326" s="300" t="s">
        <v>393</v>
      </c>
      <c r="C326" s="40" t="str">
        <f>'Material Rates_Master'!B148</f>
        <v>ea</v>
      </c>
      <c r="D326" s="240"/>
      <c r="E326" s="48">
        <f>'Material Rates_Master'!D148</f>
        <v>77.95</v>
      </c>
      <c r="F326" s="48">
        <f t="shared" si="12"/>
        <v>0</v>
      </c>
    </row>
    <row r="327" spans="1:6" x14ac:dyDescent="0.2">
      <c r="A327" s="40"/>
      <c r="B327" s="300" t="s">
        <v>394</v>
      </c>
      <c r="C327" s="40" t="str">
        <f>'Material Rates_Master'!B149</f>
        <v>ea</v>
      </c>
      <c r="D327" s="240"/>
      <c r="E327" s="48">
        <f>'Material Rates_Master'!D149</f>
        <v>17.16</v>
      </c>
      <c r="F327" s="48">
        <f t="shared" si="12"/>
        <v>0</v>
      </c>
    </row>
    <row r="328" spans="1:6" x14ac:dyDescent="0.2">
      <c r="A328" s="40"/>
      <c r="B328" s="300" t="s">
        <v>395</v>
      </c>
      <c r="C328" s="40" t="str">
        <f>'Material Rates_Master'!B150</f>
        <v>ea</v>
      </c>
      <c r="D328" s="240"/>
      <c r="E328" s="48">
        <f>'Material Rates_Master'!D150</f>
        <v>7.23</v>
      </c>
      <c r="F328" s="48">
        <f t="shared" si="12"/>
        <v>0</v>
      </c>
    </row>
    <row r="329" spans="1:6" x14ac:dyDescent="0.2">
      <c r="A329" s="40"/>
      <c r="B329" s="300" t="s">
        <v>396</v>
      </c>
      <c r="C329" s="40" t="str">
        <f>'Material Rates_Master'!B151</f>
        <v>ea</v>
      </c>
      <c r="D329" s="240"/>
      <c r="E329" s="48">
        <f>'Material Rates_Master'!D151</f>
        <v>14.31</v>
      </c>
      <c r="F329" s="48">
        <f t="shared" si="12"/>
        <v>0</v>
      </c>
    </row>
    <row r="330" spans="1:6" x14ac:dyDescent="0.2">
      <c r="A330" s="40"/>
      <c r="B330" s="300" t="s">
        <v>397</v>
      </c>
      <c r="C330" s="40" t="str">
        <f>'Material Rates_Master'!B152</f>
        <v>ea</v>
      </c>
      <c r="D330" s="240"/>
      <c r="E330" s="48">
        <f>'Material Rates_Master'!D152</f>
        <v>16.239999999999998</v>
      </c>
      <c r="F330" s="48">
        <f t="shared" si="12"/>
        <v>0</v>
      </c>
    </row>
    <row r="331" spans="1:6" x14ac:dyDescent="0.2">
      <c r="A331" s="40"/>
      <c r="B331" s="300" t="s">
        <v>398</v>
      </c>
      <c r="C331" s="40" t="s">
        <v>115</v>
      </c>
      <c r="D331" s="240">
        <v>155</v>
      </c>
      <c r="E331" s="48">
        <f>128.5/6</f>
        <v>21.416666666666668</v>
      </c>
      <c r="F331" s="48">
        <f t="shared" si="12"/>
        <v>3319.5833333333335</v>
      </c>
    </row>
    <row r="332" spans="1:6" x14ac:dyDescent="0.2">
      <c r="A332" s="40"/>
      <c r="B332" s="300" t="s">
        <v>399</v>
      </c>
      <c r="C332" s="40" t="str">
        <f>'Material Rates_Master'!B153</f>
        <v>ea</v>
      </c>
      <c r="D332" s="240"/>
      <c r="E332" s="48">
        <f>'Material Rates_Master'!D153</f>
        <v>14.36</v>
      </c>
      <c r="F332" s="48">
        <f t="shared" si="12"/>
        <v>0</v>
      </c>
    </row>
    <row r="333" spans="1:6" x14ac:dyDescent="0.2">
      <c r="A333" s="40"/>
      <c r="B333" s="300" t="s">
        <v>400</v>
      </c>
      <c r="C333" s="40" t="str">
        <f>'Material Rates_Master'!B154</f>
        <v>ea</v>
      </c>
      <c r="D333" s="240"/>
      <c r="E333" s="48">
        <f>'Material Rates_Master'!D154</f>
        <v>46.94</v>
      </c>
      <c r="F333" s="48">
        <f t="shared" si="12"/>
        <v>0</v>
      </c>
    </row>
    <row r="334" spans="1:6" x14ac:dyDescent="0.2">
      <c r="A334" s="40"/>
      <c r="B334" s="300" t="s">
        <v>401</v>
      </c>
      <c r="C334" s="40" t="str">
        <f>'Material Rates_Master'!B155</f>
        <v>ea</v>
      </c>
      <c r="D334" s="240"/>
      <c r="E334" s="48">
        <f>'Material Rates_Master'!D155</f>
        <v>8.4600000000000009</v>
      </c>
      <c r="F334" s="48">
        <f t="shared" si="12"/>
        <v>0</v>
      </c>
    </row>
    <row r="335" spans="1:6" x14ac:dyDescent="0.2">
      <c r="A335" s="40"/>
      <c r="B335" s="300" t="s">
        <v>402</v>
      </c>
      <c r="C335" s="40" t="str">
        <f>'Material Rates_Master'!B156</f>
        <v>ea</v>
      </c>
      <c r="D335" s="240"/>
      <c r="E335" s="48">
        <f>'Material Rates_Master'!D156</f>
        <v>5.74</v>
      </c>
      <c r="F335" s="48">
        <f t="shared" si="12"/>
        <v>0</v>
      </c>
    </row>
    <row r="336" spans="1:6" x14ac:dyDescent="0.2">
      <c r="A336" s="40"/>
      <c r="B336" s="300" t="s">
        <v>403</v>
      </c>
      <c r="C336" s="40" t="str">
        <f>'Material Rates_Master'!B157</f>
        <v>ea</v>
      </c>
      <c r="D336" s="240">
        <v>31</v>
      </c>
      <c r="E336" s="48">
        <f>'Material Rates_Master'!D157</f>
        <v>7.7</v>
      </c>
      <c r="F336" s="48">
        <f t="shared" si="12"/>
        <v>238.70000000000002</v>
      </c>
    </row>
    <row r="337" spans="1:6" x14ac:dyDescent="0.2">
      <c r="A337" s="40"/>
      <c r="B337" s="300" t="s">
        <v>404</v>
      </c>
      <c r="C337" s="40" t="str">
        <f>'Material Rates_Master'!B158</f>
        <v>ea</v>
      </c>
      <c r="D337" s="240"/>
      <c r="E337" s="48">
        <f>'Material Rates_Master'!D158</f>
        <v>10.19</v>
      </c>
      <c r="F337" s="48">
        <f t="shared" si="12"/>
        <v>0</v>
      </c>
    </row>
    <row r="338" spans="1:6" ht="9" customHeight="1" x14ac:dyDescent="0.2">
      <c r="A338" s="40"/>
      <c r="B338" s="300"/>
      <c r="C338" s="40">
        <f>'Material Rates_Master'!B159</f>
        <v>0</v>
      </c>
      <c r="D338" s="240"/>
      <c r="E338" s="48">
        <f>'Material Rates_Master'!D159</f>
        <v>0</v>
      </c>
      <c r="F338" s="48">
        <f t="shared" si="12"/>
        <v>0</v>
      </c>
    </row>
    <row r="339" spans="1:6" x14ac:dyDescent="0.2">
      <c r="A339" s="40"/>
      <c r="B339" s="300" t="s">
        <v>405</v>
      </c>
      <c r="C339" s="40" t="str">
        <f>'Material Rates_Master'!B160</f>
        <v>ea</v>
      </c>
      <c r="D339" s="37"/>
      <c r="E339" s="48">
        <f>'Material Rates_Master'!D160</f>
        <v>5.86</v>
      </c>
      <c r="F339" s="48">
        <f t="shared" si="12"/>
        <v>0</v>
      </c>
    </row>
    <row r="340" spans="1:6" x14ac:dyDescent="0.2">
      <c r="A340" s="40"/>
      <c r="B340" s="300" t="s">
        <v>406</v>
      </c>
      <c r="C340" s="40" t="str">
        <f>'Material Rates_Master'!B161</f>
        <v>ea</v>
      </c>
      <c r="D340" s="37"/>
      <c r="E340" s="48">
        <f>'Material Rates_Master'!D161</f>
        <v>4.41</v>
      </c>
      <c r="F340" s="48">
        <f t="shared" si="12"/>
        <v>0</v>
      </c>
    </row>
    <row r="341" spans="1:6" x14ac:dyDescent="0.2">
      <c r="A341" s="40"/>
      <c r="B341" s="300" t="s">
        <v>407</v>
      </c>
      <c r="C341" s="40" t="str">
        <f>'Material Rates_Master'!B162</f>
        <v>ea</v>
      </c>
      <c r="D341" s="37"/>
      <c r="E341" s="48">
        <f>'Material Rates_Master'!D162</f>
        <v>5.36</v>
      </c>
      <c r="F341" s="48">
        <f t="shared" si="12"/>
        <v>0</v>
      </c>
    </row>
    <row r="342" spans="1:6" x14ac:dyDescent="0.2">
      <c r="A342" s="40"/>
      <c r="B342" s="300" t="s">
        <v>408</v>
      </c>
      <c r="C342" s="40" t="str">
        <f>'Material Rates_Master'!B163</f>
        <v>ea</v>
      </c>
      <c r="D342" s="37"/>
      <c r="E342" s="48">
        <f>'Material Rates_Master'!D163</f>
        <v>4.4000000000000004</v>
      </c>
      <c r="F342" s="48">
        <f t="shared" si="12"/>
        <v>0</v>
      </c>
    </row>
    <row r="343" spans="1:6" x14ac:dyDescent="0.2">
      <c r="A343" s="40"/>
      <c r="B343" s="300" t="s">
        <v>409</v>
      </c>
      <c r="C343" s="40" t="str">
        <f>'Material Rates_Master'!B164</f>
        <v>ea</v>
      </c>
      <c r="D343" s="37"/>
      <c r="E343" s="48">
        <f>'Material Rates_Master'!D164</f>
        <v>10.64</v>
      </c>
      <c r="F343" s="48">
        <f t="shared" si="12"/>
        <v>0</v>
      </c>
    </row>
    <row r="344" spans="1:6" x14ac:dyDescent="0.2">
      <c r="A344" s="40"/>
      <c r="B344" s="300" t="s">
        <v>410</v>
      </c>
      <c r="C344" s="40" t="str">
        <f>'Material Rates_Master'!B165</f>
        <v>ea</v>
      </c>
      <c r="D344" s="37"/>
      <c r="E344" s="48">
        <f>'Material Rates_Master'!D165</f>
        <v>20</v>
      </c>
      <c r="F344" s="48">
        <f t="shared" si="12"/>
        <v>0</v>
      </c>
    </row>
    <row r="345" spans="1:6" x14ac:dyDescent="0.2">
      <c r="A345" s="40"/>
      <c r="B345" s="300" t="s">
        <v>411</v>
      </c>
      <c r="C345" s="40" t="str">
        <f>'Material Rates_Master'!B166</f>
        <v>ea</v>
      </c>
      <c r="D345" s="37"/>
      <c r="E345" s="48">
        <f>'Material Rates_Master'!D166</f>
        <v>19.5</v>
      </c>
      <c r="F345" s="48">
        <f t="shared" si="12"/>
        <v>0</v>
      </c>
    </row>
    <row r="346" spans="1:6" x14ac:dyDescent="0.2">
      <c r="A346" s="40"/>
      <c r="B346" s="300" t="s">
        <v>340</v>
      </c>
      <c r="C346" s="40" t="str">
        <f>'Material Rates_Master'!B167</f>
        <v>ea</v>
      </c>
      <c r="D346" s="37"/>
      <c r="E346" s="48">
        <f>'Material Rates_Master'!D167</f>
        <v>20</v>
      </c>
      <c r="F346" s="48">
        <f t="shared" si="12"/>
        <v>0</v>
      </c>
    </row>
    <row r="347" spans="1:6" ht="10.95" customHeight="1" x14ac:dyDescent="0.2">
      <c r="A347" s="40"/>
      <c r="B347" s="300"/>
      <c r="D347" s="37"/>
      <c r="E347" s="48"/>
      <c r="F347" s="48"/>
    </row>
    <row r="348" spans="1:6" x14ac:dyDescent="0.2">
      <c r="A348" s="40"/>
      <c r="B348" s="332" t="s">
        <v>412</v>
      </c>
      <c r="D348" s="37"/>
      <c r="E348" s="48"/>
      <c r="F348" s="48"/>
    </row>
    <row r="349" spans="1:6" ht="14.4" customHeight="1" x14ac:dyDescent="0.2">
      <c r="A349" s="40"/>
      <c r="B349" s="301" t="s">
        <v>354</v>
      </c>
      <c r="D349" s="37"/>
      <c r="E349" s="48"/>
      <c r="F349" s="48"/>
    </row>
    <row r="350" spans="1:6" x14ac:dyDescent="0.2">
      <c r="A350" s="40"/>
      <c r="B350" s="300" t="s">
        <v>413</v>
      </c>
      <c r="C350" s="40" t="str">
        <f>'Material Rates_Master'!B171</f>
        <v>ea</v>
      </c>
      <c r="D350" s="37"/>
      <c r="E350" s="48">
        <v>1388</v>
      </c>
      <c r="F350" s="48">
        <f t="shared" si="12"/>
        <v>0</v>
      </c>
    </row>
    <row r="351" spans="1:6" x14ac:dyDescent="0.2">
      <c r="A351" s="40"/>
      <c r="B351" s="300" t="s">
        <v>414</v>
      </c>
      <c r="C351" s="40" t="str">
        <f>'Material Rates_Master'!B172</f>
        <v>ea</v>
      </c>
      <c r="D351" s="37"/>
      <c r="E351" s="48">
        <f>'Material Rates_Master'!D172</f>
        <v>0</v>
      </c>
      <c r="F351" s="48">
        <f t="shared" si="12"/>
        <v>0</v>
      </c>
    </row>
    <row r="352" spans="1:6" x14ac:dyDescent="0.2">
      <c r="A352" s="40"/>
      <c r="B352" s="300" t="s">
        <v>415</v>
      </c>
      <c r="C352" s="40" t="s">
        <v>416</v>
      </c>
      <c r="D352" s="37"/>
      <c r="E352" s="48">
        <v>450</v>
      </c>
      <c r="F352" s="48">
        <f t="shared" si="12"/>
        <v>0</v>
      </c>
    </row>
    <row r="353" spans="1:6" x14ac:dyDescent="0.2">
      <c r="A353" s="40"/>
      <c r="B353" s="300" t="s">
        <v>417</v>
      </c>
      <c r="C353" s="40" t="str">
        <f>'Material Rates_Master'!B174</f>
        <v>ea</v>
      </c>
      <c r="D353" s="37"/>
      <c r="E353" s="48">
        <f>'Material Rates_Master'!D174</f>
        <v>0</v>
      </c>
      <c r="F353" s="48">
        <f t="shared" si="12"/>
        <v>0</v>
      </c>
    </row>
    <row r="354" spans="1:6" x14ac:dyDescent="0.2">
      <c r="A354" s="40"/>
      <c r="B354" s="300" t="s">
        <v>418</v>
      </c>
      <c r="C354" s="40" t="str">
        <f>'Material Rates_Master'!B175</f>
        <v>ea</v>
      </c>
      <c r="D354" s="37"/>
      <c r="E354" s="48">
        <f>'Material Rates_Master'!D175</f>
        <v>2178.48</v>
      </c>
      <c r="F354" s="48">
        <f t="shared" si="12"/>
        <v>0</v>
      </c>
    </row>
    <row r="355" spans="1:6" x14ac:dyDescent="0.2">
      <c r="A355" s="40"/>
      <c r="B355" s="300" t="s">
        <v>419</v>
      </c>
      <c r="C355" s="40" t="str">
        <f>'Material Rates_Master'!B176</f>
        <v>ea</v>
      </c>
      <c r="D355" s="37"/>
      <c r="E355" s="48">
        <f>'Material Rates_Master'!D176</f>
        <v>2178.48</v>
      </c>
      <c r="F355" s="48">
        <f>E355*D355</f>
        <v>0</v>
      </c>
    </row>
    <row r="356" spans="1:6" x14ac:dyDescent="0.2">
      <c r="E356" s="48"/>
      <c r="F356" s="48"/>
    </row>
    <row r="357" spans="1:6" s="40" customFormat="1" ht="14.4" x14ac:dyDescent="0.3">
      <c r="A357" s="324"/>
      <c r="B357" s="325" t="s">
        <v>420</v>
      </c>
      <c r="C357" s="42"/>
      <c r="D357" s="42"/>
      <c r="E357" s="45"/>
      <c r="F357" s="48"/>
    </row>
    <row r="358" spans="1:6" s="40" customFormat="1" ht="14.4" x14ac:dyDescent="0.3">
      <c r="A358" s="324"/>
      <c r="B358" s="327" t="s">
        <v>354</v>
      </c>
      <c r="C358" s="42"/>
      <c r="D358" s="42"/>
      <c r="E358" s="45"/>
      <c r="F358" s="48"/>
    </row>
    <row r="359" spans="1:6" s="40" customFormat="1" ht="14.4" x14ac:dyDescent="0.3">
      <c r="A359" s="324"/>
      <c r="B359" s="324"/>
      <c r="C359" s="42"/>
      <c r="D359" s="42"/>
      <c r="E359" s="45"/>
      <c r="F359" s="48"/>
    </row>
    <row r="360" spans="1:6" s="40" customFormat="1" ht="14.4" x14ac:dyDescent="0.3">
      <c r="A360" s="324"/>
      <c r="B360" s="324" t="s">
        <v>421</v>
      </c>
      <c r="C360" s="328" t="s">
        <v>149</v>
      </c>
      <c r="E360" s="326">
        <v>34.5</v>
      </c>
      <c r="F360" s="48">
        <f>E360*D360</f>
        <v>0</v>
      </c>
    </row>
    <row r="361" spans="1:6" s="40" customFormat="1" ht="14.4" x14ac:dyDescent="0.3">
      <c r="A361" s="324"/>
      <c r="B361" s="420" t="s">
        <v>422</v>
      </c>
      <c r="C361" s="328" t="s">
        <v>149</v>
      </c>
      <c r="D361" s="40">
        <v>6</v>
      </c>
      <c r="E361" s="326">
        <v>20</v>
      </c>
      <c r="F361" s="48">
        <f>E361*D361</f>
        <v>120</v>
      </c>
    </row>
    <row r="362" spans="1:6" s="40" customFormat="1" ht="14.4" x14ac:dyDescent="0.3">
      <c r="A362" s="324"/>
      <c r="B362" s="324" t="s">
        <v>423</v>
      </c>
      <c r="C362" s="328" t="s">
        <v>149</v>
      </c>
      <c r="E362" s="326">
        <v>12.31</v>
      </c>
      <c r="F362" s="48">
        <f t="shared" ref="F362:F426" si="13">E362*D362</f>
        <v>0</v>
      </c>
    </row>
    <row r="363" spans="1:6" s="40" customFormat="1" ht="14.4" x14ac:dyDescent="0.3">
      <c r="A363" s="324"/>
      <c r="B363" s="324" t="s">
        <v>424</v>
      </c>
      <c r="C363" s="328" t="s">
        <v>149</v>
      </c>
      <c r="E363" s="326">
        <v>9.66</v>
      </c>
      <c r="F363" s="48">
        <f t="shared" si="13"/>
        <v>0</v>
      </c>
    </row>
    <row r="364" spans="1:6" s="40" customFormat="1" ht="14.4" x14ac:dyDescent="0.3">
      <c r="A364" s="324"/>
      <c r="B364" s="324" t="s">
        <v>425</v>
      </c>
      <c r="C364" s="328" t="s">
        <v>149</v>
      </c>
      <c r="E364" s="326">
        <v>4.63</v>
      </c>
      <c r="F364" s="48">
        <f t="shared" si="13"/>
        <v>0</v>
      </c>
    </row>
    <row r="365" spans="1:6" s="40" customFormat="1" ht="14.4" x14ac:dyDescent="0.3">
      <c r="A365" s="324"/>
      <c r="B365" s="420" t="s">
        <v>426</v>
      </c>
      <c r="C365" s="328" t="s">
        <v>149</v>
      </c>
      <c r="E365" s="326">
        <v>5.4</v>
      </c>
      <c r="F365" s="48">
        <f t="shared" si="13"/>
        <v>0</v>
      </c>
    </row>
    <row r="366" spans="1:6" s="40" customFormat="1" ht="14.4" x14ac:dyDescent="0.3">
      <c r="A366" s="324"/>
      <c r="B366" s="420" t="s">
        <v>427</v>
      </c>
      <c r="C366" s="328" t="s">
        <v>149</v>
      </c>
      <c r="E366" s="326">
        <v>4.4000000000000004</v>
      </c>
      <c r="F366" s="48">
        <f t="shared" si="13"/>
        <v>0</v>
      </c>
    </row>
    <row r="367" spans="1:6" s="40" customFormat="1" ht="14.4" x14ac:dyDescent="0.3">
      <c r="A367" s="324"/>
      <c r="B367" s="324" t="s">
        <v>428</v>
      </c>
      <c r="C367" s="328" t="s">
        <v>149</v>
      </c>
      <c r="E367" s="326">
        <f>354.31/150</f>
        <v>2.3620666666666668</v>
      </c>
      <c r="F367" s="48">
        <f t="shared" si="13"/>
        <v>0</v>
      </c>
    </row>
    <row r="368" spans="1:6" ht="14.4" x14ac:dyDescent="0.3">
      <c r="A368" s="324"/>
      <c r="B368" s="420" t="s">
        <v>429</v>
      </c>
      <c r="C368" s="328" t="s">
        <v>149</v>
      </c>
      <c r="E368" s="326">
        <v>2.1</v>
      </c>
      <c r="F368" s="48">
        <f t="shared" si="13"/>
        <v>0</v>
      </c>
    </row>
    <row r="369" spans="1:7" ht="14.4" x14ac:dyDescent="0.3">
      <c r="A369" s="324"/>
      <c r="B369" s="324" t="s">
        <v>430</v>
      </c>
      <c r="C369" s="328" t="s">
        <v>149</v>
      </c>
      <c r="E369" s="326">
        <v>1.22</v>
      </c>
      <c r="F369" s="48">
        <f t="shared" si="13"/>
        <v>0</v>
      </c>
    </row>
    <row r="370" spans="1:7" ht="14.4" x14ac:dyDescent="0.3">
      <c r="A370" s="324"/>
      <c r="B370" s="324" t="s">
        <v>431</v>
      </c>
      <c r="C370" s="328" t="s">
        <v>149</v>
      </c>
      <c r="E370" s="326">
        <v>2.4300000000000002</v>
      </c>
      <c r="F370" s="48">
        <f t="shared" si="13"/>
        <v>0</v>
      </c>
    </row>
    <row r="371" spans="1:7" ht="14.4" x14ac:dyDescent="0.3">
      <c r="A371" s="324"/>
      <c r="B371" s="324" t="s">
        <v>432</v>
      </c>
      <c r="C371" s="328" t="s">
        <v>149</v>
      </c>
      <c r="E371" s="326">
        <v>22</v>
      </c>
      <c r="F371" s="48">
        <f t="shared" si="13"/>
        <v>0</v>
      </c>
      <c r="G371" s="326"/>
    </row>
    <row r="372" spans="1:7" ht="14.4" x14ac:dyDescent="0.3">
      <c r="A372" s="324"/>
      <c r="B372" s="324" t="s">
        <v>433</v>
      </c>
      <c r="C372" s="328" t="s">
        <v>115</v>
      </c>
      <c r="E372" s="326">
        <v>57.75</v>
      </c>
      <c r="F372" s="48">
        <f t="shared" si="13"/>
        <v>0</v>
      </c>
      <c r="G372" s="326"/>
    </row>
    <row r="373" spans="1:7" ht="14.4" x14ac:dyDescent="0.3">
      <c r="A373" s="324"/>
      <c r="B373" s="324" t="s">
        <v>434</v>
      </c>
      <c r="C373" s="328" t="s">
        <v>115</v>
      </c>
      <c r="E373" s="326">
        <v>139</v>
      </c>
      <c r="F373" s="48">
        <f t="shared" si="13"/>
        <v>0</v>
      </c>
      <c r="G373" s="326"/>
    </row>
    <row r="374" spans="1:7" ht="14.4" x14ac:dyDescent="0.3">
      <c r="A374" s="324"/>
      <c r="B374" s="324" t="s">
        <v>435</v>
      </c>
      <c r="C374" s="328" t="s">
        <v>115</v>
      </c>
      <c r="E374" s="326">
        <v>104.15</v>
      </c>
      <c r="F374" s="48">
        <f t="shared" si="13"/>
        <v>0</v>
      </c>
      <c r="G374" s="326"/>
    </row>
    <row r="375" spans="1:7" ht="14.4" x14ac:dyDescent="0.3">
      <c r="A375" s="324"/>
      <c r="B375" s="324" t="s">
        <v>436</v>
      </c>
      <c r="C375" s="328" t="s">
        <v>115</v>
      </c>
      <c r="E375" s="326">
        <v>26.1</v>
      </c>
      <c r="F375" s="48">
        <f t="shared" si="13"/>
        <v>0</v>
      </c>
      <c r="G375" s="326"/>
    </row>
    <row r="376" spans="1:7" ht="14.4" x14ac:dyDescent="0.3">
      <c r="A376" s="324"/>
      <c r="B376" s="324" t="s">
        <v>437</v>
      </c>
      <c r="C376" s="328" t="s">
        <v>115</v>
      </c>
      <c r="E376" s="326">
        <v>37.5</v>
      </c>
      <c r="F376" s="48">
        <f t="shared" si="13"/>
        <v>0</v>
      </c>
      <c r="G376" s="326"/>
    </row>
    <row r="377" spans="1:7" ht="14.4" x14ac:dyDescent="0.3">
      <c r="A377" s="324"/>
      <c r="B377" s="324" t="s">
        <v>438</v>
      </c>
      <c r="C377" s="328" t="s">
        <v>115</v>
      </c>
      <c r="E377" s="326">
        <v>35.93</v>
      </c>
      <c r="F377" s="48">
        <f t="shared" si="13"/>
        <v>0</v>
      </c>
      <c r="G377" s="326"/>
    </row>
    <row r="378" spans="1:7" ht="14.4" x14ac:dyDescent="0.3">
      <c r="A378" s="324"/>
      <c r="B378" s="324" t="s">
        <v>439</v>
      </c>
      <c r="C378" s="328" t="s">
        <v>115</v>
      </c>
      <c r="E378" s="326">
        <v>35</v>
      </c>
      <c r="F378" s="48">
        <f t="shared" si="13"/>
        <v>0</v>
      </c>
      <c r="G378" s="326"/>
    </row>
    <row r="379" spans="1:7" ht="14.4" x14ac:dyDescent="0.3">
      <c r="A379" s="324"/>
      <c r="B379" s="420" t="s">
        <v>440</v>
      </c>
      <c r="C379" s="328" t="s">
        <v>115</v>
      </c>
      <c r="E379" s="326">
        <v>35</v>
      </c>
      <c r="F379" s="48">
        <f t="shared" si="13"/>
        <v>0</v>
      </c>
      <c r="G379" s="326"/>
    </row>
    <row r="380" spans="1:7" ht="14.4" x14ac:dyDescent="0.3">
      <c r="A380" s="324"/>
      <c r="B380" s="420" t="s">
        <v>441</v>
      </c>
      <c r="C380" s="328" t="s">
        <v>115</v>
      </c>
      <c r="E380" s="326">
        <v>35</v>
      </c>
      <c r="F380" s="48">
        <f t="shared" si="13"/>
        <v>0</v>
      </c>
      <c r="G380" s="326"/>
    </row>
    <row r="381" spans="1:7" ht="14.4" x14ac:dyDescent="0.3">
      <c r="A381" s="324"/>
      <c r="B381" s="420" t="s">
        <v>442</v>
      </c>
      <c r="C381" s="328" t="s">
        <v>115</v>
      </c>
      <c r="E381" s="326">
        <v>20</v>
      </c>
      <c r="F381" s="48">
        <f t="shared" si="13"/>
        <v>0</v>
      </c>
      <c r="G381" s="326"/>
    </row>
    <row r="382" spans="1:7" ht="14.4" x14ac:dyDescent="0.3">
      <c r="A382" s="324"/>
      <c r="B382" s="324" t="s">
        <v>443</v>
      </c>
      <c r="C382" s="328" t="s">
        <v>115</v>
      </c>
      <c r="E382" s="326">
        <v>50</v>
      </c>
      <c r="F382" s="48">
        <f t="shared" si="13"/>
        <v>0</v>
      </c>
      <c r="G382" s="326"/>
    </row>
    <row r="383" spans="1:7" ht="14.4" x14ac:dyDescent="0.3">
      <c r="A383" s="324"/>
      <c r="B383" s="324" t="s">
        <v>444</v>
      </c>
      <c r="C383" s="328" t="s">
        <v>115</v>
      </c>
      <c r="E383" s="326">
        <v>54</v>
      </c>
      <c r="F383" s="48">
        <f t="shared" si="13"/>
        <v>0</v>
      </c>
      <c r="G383" s="326"/>
    </row>
    <row r="384" spans="1:7" ht="14.4" x14ac:dyDescent="0.3">
      <c r="A384" s="324"/>
      <c r="B384" s="324" t="s">
        <v>445</v>
      </c>
      <c r="C384" s="328" t="s">
        <v>115</v>
      </c>
      <c r="E384" s="326">
        <v>15.55</v>
      </c>
      <c r="F384" s="48">
        <f t="shared" si="13"/>
        <v>0</v>
      </c>
      <c r="G384" s="326"/>
    </row>
    <row r="385" spans="1:7" ht="14.4" x14ac:dyDescent="0.3">
      <c r="A385" s="324"/>
      <c r="B385" s="420" t="s">
        <v>446</v>
      </c>
      <c r="C385" s="328" t="s">
        <v>115</v>
      </c>
      <c r="E385" s="326">
        <v>15</v>
      </c>
      <c r="F385" s="48">
        <f t="shared" si="13"/>
        <v>0</v>
      </c>
      <c r="G385" s="326"/>
    </row>
    <row r="386" spans="1:7" ht="14.4" x14ac:dyDescent="0.3">
      <c r="A386" s="324"/>
      <c r="B386" s="420" t="s">
        <v>447</v>
      </c>
      <c r="C386" s="328" t="s">
        <v>115</v>
      </c>
      <c r="E386" s="326">
        <v>10.87</v>
      </c>
      <c r="F386" s="48">
        <f t="shared" si="13"/>
        <v>0</v>
      </c>
      <c r="G386" s="326"/>
    </row>
    <row r="387" spans="1:7" ht="14.4" x14ac:dyDescent="0.3">
      <c r="A387" s="324"/>
      <c r="B387" s="420" t="s">
        <v>448</v>
      </c>
      <c r="C387" s="419" t="s">
        <v>115</v>
      </c>
      <c r="E387" s="326">
        <v>55</v>
      </c>
      <c r="F387" s="48">
        <f t="shared" si="13"/>
        <v>0</v>
      </c>
      <c r="G387" s="326"/>
    </row>
    <row r="388" spans="1:7" ht="14.4" x14ac:dyDescent="0.3">
      <c r="A388" s="324"/>
      <c r="B388" s="420" t="s">
        <v>449</v>
      </c>
      <c r="C388" s="328" t="s">
        <v>115</v>
      </c>
      <c r="E388" s="326">
        <v>55</v>
      </c>
      <c r="F388" s="48">
        <f t="shared" si="13"/>
        <v>0</v>
      </c>
      <c r="G388" s="326"/>
    </row>
    <row r="389" spans="1:7" ht="14.4" x14ac:dyDescent="0.3">
      <c r="A389" s="324"/>
      <c r="B389" s="420" t="s">
        <v>450</v>
      </c>
      <c r="C389" s="328" t="s">
        <v>115</v>
      </c>
      <c r="E389" s="326">
        <v>35</v>
      </c>
      <c r="F389" s="48">
        <f t="shared" si="13"/>
        <v>0</v>
      </c>
      <c r="G389" s="326"/>
    </row>
    <row r="390" spans="1:7" ht="14.4" x14ac:dyDescent="0.3">
      <c r="A390" s="324"/>
      <c r="B390" s="420" t="s">
        <v>451</v>
      </c>
      <c r="C390" s="328" t="s">
        <v>115</v>
      </c>
      <c r="E390" s="326">
        <v>35</v>
      </c>
      <c r="F390" s="48">
        <f t="shared" si="13"/>
        <v>0</v>
      </c>
      <c r="G390" s="326"/>
    </row>
    <row r="391" spans="1:7" ht="14.4" x14ac:dyDescent="0.3">
      <c r="A391" s="324"/>
      <c r="B391" s="324" t="s">
        <v>452</v>
      </c>
      <c r="C391" s="328" t="s">
        <v>115</v>
      </c>
      <c r="E391" s="326">
        <v>35</v>
      </c>
      <c r="F391" s="48">
        <f t="shared" si="13"/>
        <v>0</v>
      </c>
      <c r="G391" s="326"/>
    </row>
    <row r="392" spans="1:7" ht="14.4" x14ac:dyDescent="0.3">
      <c r="A392" s="324"/>
      <c r="B392" s="324" t="s">
        <v>453</v>
      </c>
      <c r="C392" s="328" t="s">
        <v>115</v>
      </c>
      <c r="E392" s="326">
        <v>35</v>
      </c>
      <c r="F392" s="48">
        <f t="shared" si="13"/>
        <v>0</v>
      </c>
      <c r="G392" s="326"/>
    </row>
    <row r="393" spans="1:7" ht="14.4" x14ac:dyDescent="0.3">
      <c r="A393" s="324"/>
      <c r="B393" s="324" t="s">
        <v>454</v>
      </c>
      <c r="C393" s="328" t="s">
        <v>115</v>
      </c>
      <c r="E393" s="326">
        <v>35</v>
      </c>
      <c r="F393" s="48">
        <f t="shared" si="13"/>
        <v>0</v>
      </c>
      <c r="G393" s="326"/>
    </row>
    <row r="394" spans="1:7" ht="14.4" x14ac:dyDescent="0.3">
      <c r="A394" s="324"/>
      <c r="B394" s="420" t="s">
        <v>455</v>
      </c>
      <c r="C394" s="328" t="s">
        <v>115</v>
      </c>
      <c r="E394" s="326">
        <v>35</v>
      </c>
      <c r="F394" s="48">
        <f t="shared" si="13"/>
        <v>0</v>
      </c>
      <c r="G394" s="326"/>
    </row>
    <row r="395" spans="1:7" ht="14.4" x14ac:dyDescent="0.3">
      <c r="A395" s="324"/>
      <c r="B395" s="420" t="s">
        <v>456</v>
      </c>
      <c r="C395" s="328" t="s">
        <v>115</v>
      </c>
      <c r="E395" s="326">
        <v>35</v>
      </c>
      <c r="F395" s="48">
        <f t="shared" si="13"/>
        <v>0</v>
      </c>
      <c r="G395" s="326"/>
    </row>
    <row r="396" spans="1:7" ht="14.4" x14ac:dyDescent="0.3">
      <c r="A396" s="324"/>
      <c r="B396" s="324" t="s">
        <v>457</v>
      </c>
      <c r="C396" s="328" t="s">
        <v>115</v>
      </c>
      <c r="E396" s="326">
        <v>26</v>
      </c>
      <c r="F396" s="48">
        <f t="shared" si="13"/>
        <v>0</v>
      </c>
      <c r="G396" s="326"/>
    </row>
    <row r="397" spans="1:7" ht="14.4" x14ac:dyDescent="0.3">
      <c r="A397" s="324"/>
      <c r="B397" s="324" t="s">
        <v>458</v>
      </c>
      <c r="C397" s="328" t="s">
        <v>115</v>
      </c>
      <c r="E397" s="326">
        <v>35</v>
      </c>
      <c r="F397" s="48">
        <f t="shared" si="13"/>
        <v>0</v>
      </c>
      <c r="G397" s="326"/>
    </row>
    <row r="398" spans="1:7" ht="14.4" x14ac:dyDescent="0.3">
      <c r="A398" s="324"/>
      <c r="B398" s="420" t="s">
        <v>459</v>
      </c>
      <c r="C398" s="328" t="s">
        <v>115</v>
      </c>
      <c r="E398" s="326">
        <v>10.87</v>
      </c>
      <c r="F398" s="48">
        <f t="shared" si="13"/>
        <v>0</v>
      </c>
      <c r="G398" s="326"/>
    </row>
    <row r="399" spans="1:7" ht="14.4" x14ac:dyDescent="0.3">
      <c r="A399" s="324"/>
      <c r="B399" s="420" t="s">
        <v>460</v>
      </c>
      <c r="C399" s="328" t="s">
        <v>115</v>
      </c>
      <c r="E399" s="326">
        <v>35</v>
      </c>
      <c r="F399" s="48">
        <f t="shared" si="13"/>
        <v>0</v>
      </c>
      <c r="G399" s="326"/>
    </row>
    <row r="400" spans="1:7" ht="14.4" x14ac:dyDescent="0.3">
      <c r="A400" s="324"/>
      <c r="B400" s="324" t="s">
        <v>461</v>
      </c>
      <c r="C400" s="328" t="s">
        <v>115</v>
      </c>
      <c r="E400" s="326">
        <v>20</v>
      </c>
      <c r="F400" s="48">
        <f t="shared" si="13"/>
        <v>0</v>
      </c>
      <c r="G400" s="326"/>
    </row>
    <row r="401" spans="1:7" ht="14.4" x14ac:dyDescent="0.3">
      <c r="A401" s="324"/>
      <c r="B401" s="324" t="s">
        <v>462</v>
      </c>
      <c r="C401" s="328" t="s">
        <v>115</v>
      </c>
      <c r="E401" s="326">
        <v>20</v>
      </c>
      <c r="F401" s="48">
        <f t="shared" si="13"/>
        <v>0</v>
      </c>
      <c r="G401" s="326"/>
    </row>
    <row r="402" spans="1:7" ht="14.4" x14ac:dyDescent="0.3">
      <c r="A402" s="324"/>
      <c r="B402" s="420" t="s">
        <v>463</v>
      </c>
      <c r="C402" s="328" t="s">
        <v>115</v>
      </c>
      <c r="E402" s="326"/>
      <c r="F402" s="48">
        <f t="shared" si="13"/>
        <v>0</v>
      </c>
    </row>
    <row r="403" spans="1:7" ht="14.4" x14ac:dyDescent="0.3">
      <c r="A403" s="324"/>
      <c r="B403" s="420" t="s">
        <v>464</v>
      </c>
      <c r="C403" s="328" t="s">
        <v>115</v>
      </c>
      <c r="E403" s="326"/>
      <c r="F403" s="48">
        <f t="shared" si="13"/>
        <v>0</v>
      </c>
    </row>
    <row r="404" spans="1:7" ht="14.4" x14ac:dyDescent="0.3">
      <c r="A404" s="324"/>
      <c r="B404" s="420" t="s">
        <v>465</v>
      </c>
      <c r="C404" s="328" t="s">
        <v>115</v>
      </c>
      <c r="E404" s="326"/>
      <c r="F404" s="48">
        <f t="shared" si="13"/>
        <v>0</v>
      </c>
    </row>
    <row r="405" spans="1:7" ht="14.4" x14ac:dyDescent="0.3">
      <c r="A405" s="324"/>
      <c r="B405" s="324" t="s">
        <v>466</v>
      </c>
      <c r="C405" s="328" t="s">
        <v>115</v>
      </c>
      <c r="E405" s="326">
        <v>35</v>
      </c>
      <c r="F405" s="48">
        <f t="shared" si="13"/>
        <v>0</v>
      </c>
    </row>
    <row r="406" spans="1:7" ht="14.4" x14ac:dyDescent="0.3">
      <c r="A406" s="324"/>
      <c r="B406" s="324" t="s">
        <v>467</v>
      </c>
      <c r="C406" s="328" t="s">
        <v>115</v>
      </c>
      <c r="E406" s="326">
        <v>102.5</v>
      </c>
      <c r="F406" s="48">
        <f t="shared" si="13"/>
        <v>0</v>
      </c>
    </row>
    <row r="407" spans="1:7" ht="14.4" x14ac:dyDescent="0.3">
      <c r="A407" s="324"/>
      <c r="B407" s="324" t="s">
        <v>468</v>
      </c>
      <c r="C407" s="328" t="s">
        <v>115</v>
      </c>
      <c r="E407" s="326">
        <v>235</v>
      </c>
      <c r="F407" s="48">
        <f t="shared" si="13"/>
        <v>0</v>
      </c>
    </row>
    <row r="408" spans="1:7" ht="14.4" x14ac:dyDescent="0.3">
      <c r="A408" s="324"/>
      <c r="B408" s="324" t="s">
        <v>469</v>
      </c>
      <c r="C408" s="328" t="s">
        <v>115</v>
      </c>
      <c r="E408" s="326">
        <v>100</v>
      </c>
      <c r="F408" s="48">
        <f t="shared" si="13"/>
        <v>0</v>
      </c>
    </row>
    <row r="409" spans="1:7" ht="14.4" x14ac:dyDescent="0.3">
      <c r="A409" s="324"/>
      <c r="B409" s="324" t="s">
        <v>470</v>
      </c>
      <c r="C409" s="328" t="s">
        <v>115</v>
      </c>
      <c r="E409" s="326">
        <v>47.41</v>
      </c>
      <c r="F409" s="48">
        <f t="shared" si="13"/>
        <v>0</v>
      </c>
    </row>
    <row r="410" spans="1:7" ht="14.4" x14ac:dyDescent="0.3">
      <c r="A410" s="324"/>
      <c r="B410" s="324" t="s">
        <v>471</v>
      </c>
      <c r="C410" s="328" t="s">
        <v>115</v>
      </c>
      <c r="E410" s="326">
        <v>41.69</v>
      </c>
      <c r="F410" s="48">
        <f t="shared" si="13"/>
        <v>0</v>
      </c>
    </row>
    <row r="411" spans="1:7" ht="14.4" x14ac:dyDescent="0.3">
      <c r="A411" s="324"/>
      <c r="B411" s="324" t="s">
        <v>472</v>
      </c>
      <c r="C411" s="328" t="s">
        <v>115</v>
      </c>
      <c r="D411" s="40">
        <v>1</v>
      </c>
      <c r="E411" s="326">
        <v>200</v>
      </c>
      <c r="F411" s="48">
        <f t="shared" si="13"/>
        <v>200</v>
      </c>
    </row>
    <row r="412" spans="1:7" ht="14.4" x14ac:dyDescent="0.3">
      <c r="A412" s="324"/>
      <c r="B412" s="324" t="s">
        <v>473</v>
      </c>
      <c r="C412" s="328" t="s">
        <v>115</v>
      </c>
      <c r="E412" s="326">
        <v>85.55</v>
      </c>
      <c r="F412" s="48">
        <f t="shared" si="13"/>
        <v>0</v>
      </c>
    </row>
    <row r="413" spans="1:7" ht="14.4" x14ac:dyDescent="0.3">
      <c r="A413" s="324"/>
      <c r="B413" s="324" t="s">
        <v>474</v>
      </c>
      <c r="C413" s="328" t="s">
        <v>115</v>
      </c>
      <c r="E413" s="326">
        <v>70</v>
      </c>
      <c r="F413" s="48">
        <f t="shared" si="13"/>
        <v>0</v>
      </c>
    </row>
    <row r="414" spans="1:7" ht="14.4" x14ac:dyDescent="0.3">
      <c r="A414" s="324"/>
      <c r="B414" s="324" t="s">
        <v>475</v>
      </c>
      <c r="C414" s="328" t="s">
        <v>115</v>
      </c>
      <c r="E414" s="326">
        <v>19</v>
      </c>
      <c r="F414" s="48">
        <f t="shared" si="13"/>
        <v>0</v>
      </c>
    </row>
    <row r="415" spans="1:7" ht="14.4" x14ac:dyDescent="0.3">
      <c r="A415" s="324"/>
      <c r="B415" s="324"/>
      <c r="C415" s="328"/>
      <c r="E415" s="326">
        <v>16</v>
      </c>
      <c r="F415" s="48">
        <f t="shared" si="13"/>
        <v>0</v>
      </c>
    </row>
    <row r="416" spans="1:7" ht="14.4" x14ac:dyDescent="0.3">
      <c r="A416" s="324"/>
      <c r="B416" s="420" t="s">
        <v>476</v>
      </c>
      <c r="C416" s="328" t="s">
        <v>149</v>
      </c>
      <c r="E416" s="326"/>
      <c r="F416" s="48">
        <f t="shared" si="13"/>
        <v>0</v>
      </c>
    </row>
    <row r="417" spans="1:7" ht="14.4" x14ac:dyDescent="0.3">
      <c r="A417" s="324"/>
      <c r="B417" s="420" t="s">
        <v>477</v>
      </c>
      <c r="C417" s="328" t="s">
        <v>149</v>
      </c>
      <c r="D417" s="40">
        <v>41</v>
      </c>
      <c r="E417" s="326">
        <f>535.6/6</f>
        <v>89.266666666666666</v>
      </c>
      <c r="F417" s="48">
        <f t="shared" si="13"/>
        <v>3659.9333333333334</v>
      </c>
    </row>
    <row r="418" spans="1:7" ht="14.4" x14ac:dyDescent="0.3">
      <c r="A418" s="324"/>
      <c r="B418" s="420" t="s">
        <v>478</v>
      </c>
      <c r="C418" s="328" t="s">
        <v>149</v>
      </c>
      <c r="D418" s="40">
        <v>85</v>
      </c>
      <c r="E418" s="326">
        <f>335.2/6</f>
        <v>55.866666666666667</v>
      </c>
      <c r="F418" s="48">
        <f t="shared" si="13"/>
        <v>4748.666666666667</v>
      </c>
    </row>
    <row r="419" spans="1:7" ht="14.4" x14ac:dyDescent="0.3">
      <c r="A419" s="324"/>
      <c r="B419" s="324" t="s">
        <v>479</v>
      </c>
      <c r="C419" s="328" t="s">
        <v>149</v>
      </c>
      <c r="D419" s="40">
        <v>124</v>
      </c>
      <c r="E419" s="326">
        <f>278.5/6</f>
        <v>46.416666666666664</v>
      </c>
      <c r="F419" s="48">
        <f t="shared" si="13"/>
        <v>5755.6666666666661</v>
      </c>
    </row>
    <row r="420" spans="1:7" ht="14.4" x14ac:dyDescent="0.3">
      <c r="A420" s="324"/>
      <c r="B420" s="420" t="s">
        <v>480</v>
      </c>
      <c r="C420" s="328" t="s">
        <v>149</v>
      </c>
      <c r="D420" s="40">
        <v>53</v>
      </c>
      <c r="E420" s="329">
        <v>32</v>
      </c>
      <c r="F420" s="48">
        <f t="shared" si="13"/>
        <v>1696</v>
      </c>
    </row>
    <row r="421" spans="1:7" ht="14.4" x14ac:dyDescent="0.3">
      <c r="A421" s="324"/>
      <c r="B421" s="324" t="s">
        <v>481</v>
      </c>
      <c r="C421" s="328" t="s">
        <v>115</v>
      </c>
      <c r="E421" s="329">
        <f>119.88/6</f>
        <v>19.98</v>
      </c>
      <c r="F421" s="48">
        <f t="shared" si="13"/>
        <v>0</v>
      </c>
    </row>
    <row r="422" spans="1:7" ht="14.4" x14ac:dyDescent="0.3">
      <c r="A422" s="324"/>
      <c r="B422" s="324" t="s">
        <v>482</v>
      </c>
      <c r="C422" s="328" t="s">
        <v>149</v>
      </c>
      <c r="D422" s="40">
        <v>221</v>
      </c>
      <c r="E422" s="329">
        <f>129/6</f>
        <v>21.5</v>
      </c>
      <c r="F422" s="48">
        <f t="shared" si="13"/>
        <v>4751.5</v>
      </c>
    </row>
    <row r="423" spans="1:7" ht="14.4" x14ac:dyDescent="0.3">
      <c r="A423" s="324"/>
      <c r="B423" s="420" t="s">
        <v>483</v>
      </c>
      <c r="C423" s="328" t="s">
        <v>115</v>
      </c>
      <c r="D423" s="40">
        <v>2</v>
      </c>
      <c r="E423" s="329">
        <v>23.51</v>
      </c>
      <c r="F423" s="48">
        <f t="shared" si="13"/>
        <v>47.02</v>
      </c>
    </row>
    <row r="424" spans="1:7" ht="14.4" x14ac:dyDescent="0.3">
      <c r="A424" s="324"/>
      <c r="B424" s="324" t="s">
        <v>484</v>
      </c>
      <c r="C424" s="328" t="s">
        <v>115</v>
      </c>
      <c r="D424" s="40">
        <v>16</v>
      </c>
      <c r="E424" s="329">
        <v>7.17</v>
      </c>
      <c r="F424" s="48">
        <f t="shared" si="13"/>
        <v>114.72</v>
      </c>
    </row>
    <row r="425" spans="1:7" ht="14.4" x14ac:dyDescent="0.3">
      <c r="A425" s="324"/>
      <c r="B425" s="324" t="s">
        <v>485</v>
      </c>
      <c r="C425" s="328" t="s">
        <v>149</v>
      </c>
      <c r="D425" s="40">
        <v>305</v>
      </c>
      <c r="E425" s="329">
        <f>82/6</f>
        <v>13.666666666666666</v>
      </c>
      <c r="F425" s="48">
        <f t="shared" si="13"/>
        <v>4168.333333333333</v>
      </c>
    </row>
    <row r="426" spans="1:7" ht="14.4" x14ac:dyDescent="0.3">
      <c r="A426" s="324"/>
      <c r="B426" s="420" t="s">
        <v>486</v>
      </c>
      <c r="C426" s="328" t="s">
        <v>115</v>
      </c>
      <c r="D426" s="40">
        <v>35</v>
      </c>
      <c r="E426" s="329">
        <f>58.71/6</f>
        <v>9.7850000000000001</v>
      </c>
      <c r="F426" s="48">
        <f t="shared" si="13"/>
        <v>342.47500000000002</v>
      </c>
    </row>
    <row r="427" spans="1:7" ht="14.4" x14ac:dyDescent="0.3">
      <c r="A427" s="324"/>
      <c r="B427" s="324" t="s">
        <v>487</v>
      </c>
      <c r="C427" s="419" t="s">
        <v>115</v>
      </c>
      <c r="E427" s="326">
        <v>1.4</v>
      </c>
      <c r="F427" s="48">
        <f t="shared" ref="F427:F493" si="14">E427*D427</f>
        <v>0</v>
      </c>
      <c r="G427" s="326"/>
    </row>
    <row r="428" spans="1:7" ht="14.4" x14ac:dyDescent="0.3">
      <c r="A428" s="324"/>
      <c r="B428" s="324" t="s">
        <v>488</v>
      </c>
      <c r="C428" s="328" t="s">
        <v>115</v>
      </c>
      <c r="E428" s="326">
        <v>1.38</v>
      </c>
      <c r="F428" s="48">
        <f t="shared" si="14"/>
        <v>0</v>
      </c>
      <c r="G428" s="326"/>
    </row>
    <row r="429" spans="1:7" ht="14.4" x14ac:dyDescent="0.3">
      <c r="A429" s="324"/>
      <c r="B429" s="324" t="s">
        <v>489</v>
      </c>
      <c r="C429" s="328" t="s">
        <v>115</v>
      </c>
      <c r="E429" s="326">
        <v>1.32</v>
      </c>
      <c r="F429" s="48">
        <f t="shared" si="14"/>
        <v>0</v>
      </c>
      <c r="G429" s="326"/>
    </row>
    <row r="430" spans="1:7" ht="14.4" x14ac:dyDescent="0.3">
      <c r="A430" s="324"/>
      <c r="B430" s="324" t="s">
        <v>490</v>
      </c>
      <c r="C430" s="328" t="s">
        <v>115</v>
      </c>
      <c r="E430" s="326">
        <v>1.24</v>
      </c>
      <c r="F430" s="48">
        <f t="shared" si="14"/>
        <v>0</v>
      </c>
      <c r="G430" s="326"/>
    </row>
    <row r="431" spans="1:7" ht="14.4" x14ac:dyDescent="0.3">
      <c r="A431" s="324"/>
      <c r="B431" s="324" t="s">
        <v>491</v>
      </c>
      <c r="C431" s="328" t="s">
        <v>149</v>
      </c>
      <c r="E431" s="326">
        <v>5.0999999999999996</v>
      </c>
      <c r="F431" s="48">
        <f t="shared" si="14"/>
        <v>0</v>
      </c>
      <c r="G431" s="326"/>
    </row>
    <row r="432" spans="1:7" ht="14.4" x14ac:dyDescent="0.3">
      <c r="A432" s="324"/>
      <c r="B432" s="324"/>
      <c r="C432" s="328"/>
      <c r="E432" s="326"/>
      <c r="F432" s="48">
        <f t="shared" si="14"/>
        <v>0</v>
      </c>
    </row>
    <row r="433" spans="1:6" ht="14.4" x14ac:dyDescent="0.3">
      <c r="A433" s="324"/>
      <c r="B433" s="324"/>
      <c r="C433" s="328"/>
      <c r="E433" s="326"/>
      <c r="F433" s="48"/>
    </row>
    <row r="434" spans="1:6" ht="14.4" x14ac:dyDescent="0.3">
      <c r="A434" s="324"/>
      <c r="B434" s="420" t="s">
        <v>492</v>
      </c>
      <c r="C434" s="328" t="s">
        <v>115</v>
      </c>
      <c r="D434" s="40">
        <v>9</v>
      </c>
      <c r="E434" s="326">
        <v>118.5</v>
      </c>
      <c r="F434" s="48">
        <f t="shared" si="14"/>
        <v>1066.5</v>
      </c>
    </row>
    <row r="435" spans="1:6" ht="14.4" x14ac:dyDescent="0.3">
      <c r="A435" s="324"/>
      <c r="B435" s="420" t="s">
        <v>493</v>
      </c>
      <c r="C435" s="328" t="s">
        <v>115</v>
      </c>
      <c r="D435" s="40">
        <v>4</v>
      </c>
      <c r="E435" s="326">
        <v>79.8</v>
      </c>
      <c r="F435" s="48">
        <f t="shared" si="14"/>
        <v>319.2</v>
      </c>
    </row>
    <row r="436" spans="1:6" ht="14.4" x14ac:dyDescent="0.3">
      <c r="A436" s="324"/>
      <c r="B436" s="420" t="s">
        <v>494</v>
      </c>
      <c r="C436" s="328" t="s">
        <v>115</v>
      </c>
      <c r="D436" s="40">
        <v>22</v>
      </c>
      <c r="E436" s="326">
        <v>45.02</v>
      </c>
      <c r="F436" s="48">
        <f t="shared" si="14"/>
        <v>990.44</v>
      </c>
    </row>
    <row r="437" spans="1:6" ht="14.4" x14ac:dyDescent="0.3">
      <c r="A437" s="324"/>
      <c r="B437" s="420" t="s">
        <v>495</v>
      </c>
      <c r="C437" s="328" t="s">
        <v>115</v>
      </c>
      <c r="D437" s="40">
        <v>7</v>
      </c>
      <c r="E437" s="326">
        <v>17.37</v>
      </c>
      <c r="F437" s="48">
        <f t="shared" si="14"/>
        <v>121.59</v>
      </c>
    </row>
    <row r="438" spans="1:6" ht="14.4" x14ac:dyDescent="0.3">
      <c r="A438" s="324"/>
      <c r="B438" s="420" t="s">
        <v>496</v>
      </c>
      <c r="C438" s="328" t="s">
        <v>115</v>
      </c>
      <c r="D438" s="40">
        <v>65</v>
      </c>
      <c r="E438" s="326">
        <v>7.7</v>
      </c>
      <c r="F438" s="48">
        <f t="shared" si="14"/>
        <v>500.5</v>
      </c>
    </row>
    <row r="439" spans="1:6" ht="14.4" x14ac:dyDescent="0.3">
      <c r="A439" s="324"/>
      <c r="B439" s="420" t="s">
        <v>497</v>
      </c>
      <c r="C439" s="328" t="s">
        <v>115</v>
      </c>
      <c r="D439" s="40">
        <v>88</v>
      </c>
      <c r="E439" s="326">
        <v>4.58</v>
      </c>
      <c r="F439" s="48">
        <f t="shared" si="14"/>
        <v>403.04</v>
      </c>
    </row>
    <row r="440" spans="1:6" ht="14.4" x14ac:dyDescent="0.3">
      <c r="A440" s="324"/>
      <c r="B440" s="324"/>
      <c r="C440" s="328"/>
      <c r="E440" s="326"/>
      <c r="F440" s="48">
        <f t="shared" si="14"/>
        <v>0</v>
      </c>
    </row>
    <row r="441" spans="1:6" ht="14.4" x14ac:dyDescent="0.3">
      <c r="A441" s="324"/>
      <c r="B441" s="324"/>
      <c r="C441" s="328"/>
      <c r="E441" s="326"/>
      <c r="F441" s="48">
        <f t="shared" si="14"/>
        <v>0</v>
      </c>
    </row>
    <row r="442" spans="1:6" ht="14.4" x14ac:dyDescent="0.3">
      <c r="A442" s="324"/>
      <c r="B442" s="324"/>
      <c r="C442" s="328"/>
      <c r="E442" s="326"/>
      <c r="F442" s="48">
        <f t="shared" si="14"/>
        <v>0</v>
      </c>
    </row>
    <row r="443" spans="1:6" ht="14.4" x14ac:dyDescent="0.3">
      <c r="A443" s="420" t="s">
        <v>498</v>
      </c>
      <c r="B443" s="324"/>
      <c r="C443" s="328"/>
      <c r="E443" s="326"/>
      <c r="F443" s="48">
        <f t="shared" si="14"/>
        <v>0</v>
      </c>
    </row>
    <row r="444" spans="1:6" ht="14.4" x14ac:dyDescent="0.3">
      <c r="A444" s="324"/>
      <c r="B444" s="324" t="s">
        <v>499</v>
      </c>
      <c r="C444" s="328"/>
      <c r="E444" s="326"/>
      <c r="F444" s="48">
        <f t="shared" si="14"/>
        <v>0</v>
      </c>
    </row>
    <row r="445" spans="1:6" ht="14.4" x14ac:dyDescent="0.3">
      <c r="A445" s="324"/>
      <c r="B445" s="324" t="s">
        <v>500</v>
      </c>
      <c r="C445" s="328" t="s">
        <v>115</v>
      </c>
      <c r="E445" s="326">
        <v>13.5</v>
      </c>
      <c r="F445" s="48">
        <f t="shared" si="14"/>
        <v>0</v>
      </c>
    </row>
    <row r="446" spans="1:6" ht="14.4" x14ac:dyDescent="0.3">
      <c r="A446" s="324"/>
      <c r="B446" s="324" t="s">
        <v>501</v>
      </c>
      <c r="C446" s="328" t="s">
        <v>115</v>
      </c>
      <c r="E446" s="326">
        <v>13.5</v>
      </c>
      <c r="F446" s="48">
        <f t="shared" si="14"/>
        <v>0</v>
      </c>
    </row>
    <row r="447" spans="1:6" ht="14.4" x14ac:dyDescent="0.3">
      <c r="A447" s="324"/>
      <c r="B447" s="324" t="s">
        <v>502</v>
      </c>
      <c r="C447" s="328" t="s">
        <v>115</v>
      </c>
      <c r="E447" s="326">
        <v>9.5</v>
      </c>
      <c r="F447" s="48">
        <f t="shared" si="14"/>
        <v>0</v>
      </c>
    </row>
    <row r="448" spans="1:6" ht="14.4" x14ac:dyDescent="0.3">
      <c r="A448" s="324"/>
      <c r="B448" s="324" t="s">
        <v>503</v>
      </c>
      <c r="C448" s="328" t="s">
        <v>115</v>
      </c>
      <c r="E448" s="326">
        <v>18.5</v>
      </c>
      <c r="F448" s="48">
        <f t="shared" si="14"/>
        <v>0</v>
      </c>
    </row>
    <row r="449" spans="1:6" ht="14.4" x14ac:dyDescent="0.3">
      <c r="A449" s="324"/>
      <c r="B449" s="324" t="s">
        <v>504</v>
      </c>
      <c r="C449" s="328" t="s">
        <v>115</v>
      </c>
      <c r="E449" s="326">
        <v>18.5</v>
      </c>
      <c r="F449" s="48">
        <f t="shared" si="14"/>
        <v>0</v>
      </c>
    </row>
    <row r="450" spans="1:6" ht="14.4" x14ac:dyDescent="0.3">
      <c r="A450" s="324"/>
      <c r="B450" s="324" t="s">
        <v>505</v>
      </c>
      <c r="C450" s="328" t="s">
        <v>115</v>
      </c>
      <c r="E450" s="326">
        <v>6</v>
      </c>
      <c r="F450" s="48">
        <f t="shared" si="14"/>
        <v>0</v>
      </c>
    </row>
    <row r="451" spans="1:6" ht="14.4" x14ac:dyDescent="0.3">
      <c r="A451" s="324"/>
      <c r="B451" s="324" t="s">
        <v>506</v>
      </c>
      <c r="C451" s="328" t="s">
        <v>115</v>
      </c>
      <c r="E451" s="326">
        <v>5.5</v>
      </c>
      <c r="F451" s="48">
        <f t="shared" si="14"/>
        <v>0</v>
      </c>
    </row>
    <row r="452" spans="1:6" ht="14.4" x14ac:dyDescent="0.3">
      <c r="A452" s="324"/>
      <c r="B452" s="324" t="s">
        <v>507</v>
      </c>
      <c r="C452" s="328" t="s">
        <v>115</v>
      </c>
      <c r="E452" s="326">
        <v>17.5</v>
      </c>
      <c r="F452" s="48">
        <f t="shared" si="14"/>
        <v>0</v>
      </c>
    </row>
    <row r="453" spans="1:6" ht="14.4" x14ac:dyDescent="0.3">
      <c r="A453" s="324"/>
      <c r="B453" s="324" t="s">
        <v>508</v>
      </c>
      <c r="C453" s="328" t="s">
        <v>115</v>
      </c>
      <c r="E453" s="326">
        <v>16.5</v>
      </c>
      <c r="F453" s="48">
        <f t="shared" si="14"/>
        <v>0</v>
      </c>
    </row>
    <row r="454" spans="1:6" ht="14.4" x14ac:dyDescent="0.3">
      <c r="A454" s="324"/>
      <c r="B454" s="324" t="s">
        <v>509</v>
      </c>
      <c r="C454" s="328" t="s">
        <v>115</v>
      </c>
      <c r="E454" s="326">
        <v>2.5</v>
      </c>
      <c r="F454" s="48">
        <f t="shared" si="14"/>
        <v>0</v>
      </c>
    </row>
    <row r="455" spans="1:6" ht="14.4" x14ac:dyDescent="0.3">
      <c r="A455" s="324"/>
      <c r="B455" s="324" t="s">
        <v>510</v>
      </c>
      <c r="C455" s="328" t="s">
        <v>115</v>
      </c>
      <c r="E455" s="326">
        <v>43.5</v>
      </c>
      <c r="F455" s="48">
        <f t="shared" si="14"/>
        <v>0</v>
      </c>
    </row>
    <row r="456" spans="1:6" ht="14.4" x14ac:dyDescent="0.3">
      <c r="A456" s="324"/>
      <c r="B456" s="324" t="s">
        <v>511</v>
      </c>
      <c r="C456" s="328" t="s">
        <v>115</v>
      </c>
      <c r="E456" s="326">
        <v>43.5</v>
      </c>
      <c r="F456" s="48">
        <f t="shared" si="14"/>
        <v>0</v>
      </c>
    </row>
    <row r="457" spans="1:6" ht="14.4" x14ac:dyDescent="0.3">
      <c r="A457" s="324"/>
      <c r="B457" s="324" t="s">
        <v>512</v>
      </c>
      <c r="C457" s="328" t="s">
        <v>115</v>
      </c>
      <c r="E457" s="326">
        <v>45.5</v>
      </c>
      <c r="F457" s="48">
        <f t="shared" si="14"/>
        <v>0</v>
      </c>
    </row>
    <row r="458" spans="1:6" ht="14.4" x14ac:dyDescent="0.3">
      <c r="A458" s="324"/>
      <c r="B458" s="324" t="s">
        <v>513</v>
      </c>
      <c r="C458" s="328" t="s">
        <v>115</v>
      </c>
      <c r="E458" s="326">
        <v>76</v>
      </c>
      <c r="F458" s="48">
        <f t="shared" si="14"/>
        <v>0</v>
      </c>
    </row>
    <row r="459" spans="1:6" ht="14.4" x14ac:dyDescent="0.3">
      <c r="A459" s="324"/>
      <c r="B459" s="324" t="s">
        <v>514</v>
      </c>
      <c r="C459" s="328" t="s">
        <v>115</v>
      </c>
      <c r="E459" s="326">
        <v>11.5</v>
      </c>
      <c r="F459" s="48">
        <f t="shared" si="14"/>
        <v>0</v>
      </c>
    </row>
    <row r="460" spans="1:6" ht="14.4" x14ac:dyDescent="0.3">
      <c r="A460" s="324"/>
      <c r="B460" s="324" t="s">
        <v>515</v>
      </c>
      <c r="C460" s="328" t="s">
        <v>115</v>
      </c>
      <c r="E460" s="326">
        <v>11.5</v>
      </c>
      <c r="F460" s="48">
        <f t="shared" si="14"/>
        <v>0</v>
      </c>
    </row>
    <row r="461" spans="1:6" ht="14.4" x14ac:dyDescent="0.3">
      <c r="A461" s="324"/>
      <c r="B461" s="324" t="s">
        <v>516</v>
      </c>
      <c r="C461" s="328" t="s">
        <v>115</v>
      </c>
      <c r="E461" s="326">
        <v>12</v>
      </c>
      <c r="F461" s="48">
        <f t="shared" si="14"/>
        <v>0</v>
      </c>
    </row>
    <row r="462" spans="1:6" ht="14.4" x14ac:dyDescent="0.3">
      <c r="A462" s="324"/>
      <c r="B462" s="324" t="s">
        <v>517</v>
      </c>
      <c r="C462" s="328" t="s">
        <v>115</v>
      </c>
      <c r="E462" s="326">
        <v>18.5</v>
      </c>
      <c r="F462" s="48">
        <f t="shared" si="14"/>
        <v>0</v>
      </c>
    </row>
    <row r="463" spans="1:6" ht="14.4" x14ac:dyDescent="0.3">
      <c r="A463" s="324"/>
      <c r="B463" s="324" t="s">
        <v>518</v>
      </c>
      <c r="C463" s="328" t="s">
        <v>115</v>
      </c>
      <c r="E463" s="326">
        <v>19.5</v>
      </c>
      <c r="F463" s="48">
        <f t="shared" si="14"/>
        <v>0</v>
      </c>
    </row>
    <row r="464" spans="1:6" ht="14.4" x14ac:dyDescent="0.3">
      <c r="A464" s="324"/>
      <c r="B464" s="324" t="s">
        <v>519</v>
      </c>
      <c r="C464" s="328" t="s">
        <v>115</v>
      </c>
      <c r="E464" s="326">
        <v>4.5</v>
      </c>
      <c r="F464" s="48">
        <f t="shared" si="14"/>
        <v>0</v>
      </c>
    </row>
    <row r="465" spans="1:6" ht="14.4" x14ac:dyDescent="0.3">
      <c r="A465" s="324"/>
      <c r="B465" s="324" t="s">
        <v>520</v>
      </c>
      <c r="C465" s="328" t="s">
        <v>115</v>
      </c>
      <c r="E465" s="326">
        <v>10.5</v>
      </c>
      <c r="F465" s="48">
        <f t="shared" si="14"/>
        <v>0</v>
      </c>
    </row>
    <row r="466" spans="1:6" ht="14.4" x14ac:dyDescent="0.3">
      <c r="A466" s="324"/>
      <c r="B466" s="324" t="s">
        <v>521</v>
      </c>
      <c r="C466" s="328" t="s">
        <v>115</v>
      </c>
      <c r="E466" s="326">
        <v>14.5</v>
      </c>
      <c r="F466" s="48">
        <f t="shared" si="14"/>
        <v>0</v>
      </c>
    </row>
    <row r="467" spans="1:6" ht="14.4" x14ac:dyDescent="0.3">
      <c r="A467" s="324"/>
      <c r="B467" s="324" t="s">
        <v>522</v>
      </c>
      <c r="C467" s="328" t="s">
        <v>115</v>
      </c>
      <c r="E467" s="326">
        <v>28.5</v>
      </c>
      <c r="F467" s="48">
        <f t="shared" si="14"/>
        <v>0</v>
      </c>
    </row>
    <row r="468" spans="1:6" ht="14.4" x14ac:dyDescent="0.3">
      <c r="A468" s="324"/>
      <c r="B468" s="324" t="s">
        <v>523</v>
      </c>
      <c r="C468" s="328" t="s">
        <v>115</v>
      </c>
      <c r="E468" s="326">
        <v>29.5</v>
      </c>
      <c r="F468" s="48">
        <f t="shared" si="14"/>
        <v>0</v>
      </c>
    </row>
    <row r="469" spans="1:6" ht="14.4" x14ac:dyDescent="0.3">
      <c r="A469" s="324"/>
      <c r="B469" s="324" t="s">
        <v>524</v>
      </c>
      <c r="C469" s="328" t="s">
        <v>115</v>
      </c>
      <c r="E469" s="326">
        <v>36</v>
      </c>
      <c r="F469" s="48">
        <f t="shared" si="14"/>
        <v>0</v>
      </c>
    </row>
    <row r="470" spans="1:6" ht="14.4" x14ac:dyDescent="0.3">
      <c r="A470" s="324"/>
      <c r="B470" s="324" t="s">
        <v>525</v>
      </c>
      <c r="C470" s="328" t="s">
        <v>115</v>
      </c>
      <c r="E470" s="326">
        <v>54</v>
      </c>
      <c r="F470" s="48">
        <f t="shared" si="14"/>
        <v>0</v>
      </c>
    </row>
    <row r="471" spans="1:6" ht="14.4" x14ac:dyDescent="0.3">
      <c r="A471" s="324"/>
      <c r="B471" s="324" t="s">
        <v>526</v>
      </c>
      <c r="C471" s="328" t="s">
        <v>115</v>
      </c>
      <c r="E471" s="326">
        <v>10.5</v>
      </c>
      <c r="F471" s="48">
        <f t="shared" si="14"/>
        <v>0</v>
      </c>
    </row>
    <row r="472" spans="1:6" ht="14.4" x14ac:dyDescent="0.3">
      <c r="A472" s="324"/>
      <c r="B472" s="324" t="s">
        <v>527</v>
      </c>
      <c r="C472" s="328" t="s">
        <v>115</v>
      </c>
      <c r="E472" s="326">
        <v>10</v>
      </c>
      <c r="F472" s="48">
        <f t="shared" si="14"/>
        <v>0</v>
      </c>
    </row>
    <row r="473" spans="1:6" ht="14.4" x14ac:dyDescent="0.3">
      <c r="A473" s="324"/>
      <c r="B473" s="324" t="s">
        <v>528</v>
      </c>
      <c r="C473" s="328" t="s">
        <v>115</v>
      </c>
      <c r="E473" s="326">
        <v>5.5</v>
      </c>
      <c r="F473" s="48">
        <f t="shared" si="14"/>
        <v>0</v>
      </c>
    </row>
    <row r="474" spans="1:6" ht="14.4" x14ac:dyDescent="0.3">
      <c r="A474" s="324"/>
      <c r="B474" s="324" t="s">
        <v>529</v>
      </c>
      <c r="C474" s="328" t="s">
        <v>115</v>
      </c>
      <c r="E474" s="326">
        <v>18</v>
      </c>
      <c r="F474" s="48">
        <f t="shared" si="14"/>
        <v>0</v>
      </c>
    </row>
    <row r="475" spans="1:6" ht="14.4" x14ac:dyDescent="0.3">
      <c r="A475" s="324"/>
      <c r="B475" s="324" t="s">
        <v>530</v>
      </c>
      <c r="C475" s="328" t="s">
        <v>115</v>
      </c>
      <c r="E475" s="326">
        <v>4.5</v>
      </c>
      <c r="F475" s="48">
        <f t="shared" si="14"/>
        <v>0</v>
      </c>
    </row>
    <row r="476" spans="1:6" ht="14.4" x14ac:dyDescent="0.3">
      <c r="A476" s="324"/>
      <c r="B476" s="324" t="s">
        <v>531</v>
      </c>
      <c r="C476" s="328" t="s">
        <v>115</v>
      </c>
      <c r="E476" s="326">
        <v>6.5</v>
      </c>
      <c r="F476" s="48">
        <f t="shared" si="14"/>
        <v>0</v>
      </c>
    </row>
    <row r="477" spans="1:6" ht="14.4" x14ac:dyDescent="0.3">
      <c r="A477" s="324"/>
      <c r="B477" s="324" t="s">
        <v>532</v>
      </c>
      <c r="C477" s="328" t="s">
        <v>115</v>
      </c>
      <c r="E477" s="326">
        <v>25.5</v>
      </c>
      <c r="F477" s="48">
        <f t="shared" si="14"/>
        <v>0</v>
      </c>
    </row>
    <row r="478" spans="1:6" ht="14.4" x14ac:dyDescent="0.3">
      <c r="A478" s="324"/>
      <c r="B478" s="324" t="s">
        <v>533</v>
      </c>
      <c r="C478" s="328" t="s">
        <v>115</v>
      </c>
      <c r="E478" s="326">
        <v>22.5</v>
      </c>
      <c r="F478" s="48">
        <f t="shared" si="14"/>
        <v>0</v>
      </c>
    </row>
    <row r="479" spans="1:6" ht="14.4" x14ac:dyDescent="0.3">
      <c r="A479" s="324"/>
      <c r="B479" s="324" t="s">
        <v>534</v>
      </c>
      <c r="C479" s="328" t="s">
        <v>115</v>
      </c>
      <c r="E479" s="326">
        <v>8.5</v>
      </c>
      <c r="F479" s="48">
        <f t="shared" si="14"/>
        <v>0</v>
      </c>
    </row>
    <row r="480" spans="1:6" ht="14.4" x14ac:dyDescent="0.3">
      <c r="A480" s="324"/>
      <c r="B480" s="324" t="s">
        <v>535</v>
      </c>
      <c r="C480" s="328" t="s">
        <v>115</v>
      </c>
      <c r="E480" s="326">
        <v>6.5</v>
      </c>
      <c r="F480" s="48">
        <f t="shared" si="14"/>
        <v>0</v>
      </c>
    </row>
    <row r="481" spans="1:6" ht="14.4" x14ac:dyDescent="0.3">
      <c r="A481" s="324"/>
      <c r="B481" s="324" t="s">
        <v>536</v>
      </c>
      <c r="C481" s="328" t="s">
        <v>115</v>
      </c>
      <c r="E481" s="326">
        <v>10.5</v>
      </c>
      <c r="F481" s="48">
        <f t="shared" si="14"/>
        <v>0</v>
      </c>
    </row>
    <row r="482" spans="1:6" ht="14.4" x14ac:dyDescent="0.3">
      <c r="A482" s="324"/>
      <c r="B482" s="324" t="s">
        <v>537</v>
      </c>
      <c r="C482" s="328" t="s">
        <v>115</v>
      </c>
      <c r="E482" s="326">
        <v>0</v>
      </c>
      <c r="F482" s="48">
        <f t="shared" si="14"/>
        <v>0</v>
      </c>
    </row>
    <row r="483" spans="1:6" ht="14.4" x14ac:dyDescent="0.3">
      <c r="A483" s="324"/>
      <c r="B483" s="324" t="s">
        <v>538</v>
      </c>
      <c r="C483" s="328" t="s">
        <v>115</v>
      </c>
      <c r="E483" s="326">
        <v>4.5</v>
      </c>
      <c r="F483" s="48">
        <f t="shared" si="14"/>
        <v>0</v>
      </c>
    </row>
    <row r="484" spans="1:6" ht="14.4" x14ac:dyDescent="0.3">
      <c r="A484" s="324"/>
      <c r="B484" s="324" t="s">
        <v>539</v>
      </c>
      <c r="C484" s="328" t="s">
        <v>115</v>
      </c>
      <c r="E484" s="326">
        <v>4</v>
      </c>
      <c r="F484" s="48">
        <f t="shared" si="14"/>
        <v>0</v>
      </c>
    </row>
    <row r="485" spans="1:6" ht="14.4" x14ac:dyDescent="0.3">
      <c r="A485" s="324"/>
      <c r="B485" s="324" t="s">
        <v>540</v>
      </c>
      <c r="C485" s="328" t="s">
        <v>115</v>
      </c>
      <c r="E485" s="326">
        <v>17</v>
      </c>
      <c r="F485" s="48">
        <f t="shared" si="14"/>
        <v>0</v>
      </c>
    </row>
    <row r="486" spans="1:6" ht="14.4" x14ac:dyDescent="0.3">
      <c r="A486" s="324"/>
      <c r="B486" s="324" t="s">
        <v>541</v>
      </c>
      <c r="C486" s="328" t="s">
        <v>115</v>
      </c>
      <c r="E486" s="326">
        <v>17.5</v>
      </c>
      <c r="F486" s="48">
        <f t="shared" si="14"/>
        <v>0</v>
      </c>
    </row>
    <row r="487" spans="1:6" ht="14.4" x14ac:dyDescent="0.3">
      <c r="A487" s="324"/>
      <c r="B487" s="324" t="s">
        <v>542</v>
      </c>
      <c r="C487" s="328" t="s">
        <v>115</v>
      </c>
      <c r="E487" s="326">
        <v>4.5</v>
      </c>
      <c r="F487" s="48">
        <f t="shared" si="14"/>
        <v>0</v>
      </c>
    </row>
    <row r="488" spans="1:6" ht="14.4" x14ac:dyDescent="0.3">
      <c r="A488" s="324"/>
      <c r="B488" s="324" t="s">
        <v>543</v>
      </c>
      <c r="C488" s="328" t="s">
        <v>115</v>
      </c>
      <c r="E488" s="326">
        <v>2</v>
      </c>
      <c r="F488" s="48">
        <f t="shared" si="14"/>
        <v>0</v>
      </c>
    </row>
    <row r="489" spans="1:6" ht="14.4" x14ac:dyDescent="0.3">
      <c r="A489" s="324"/>
      <c r="B489" s="324" t="s">
        <v>544</v>
      </c>
      <c r="C489" s="328" t="s">
        <v>115</v>
      </c>
      <c r="E489" s="326">
        <v>8.5</v>
      </c>
      <c r="F489" s="48">
        <f t="shared" si="14"/>
        <v>0</v>
      </c>
    </row>
    <row r="490" spans="1:6" ht="14.4" x14ac:dyDescent="0.3">
      <c r="A490" s="420" t="s">
        <v>498</v>
      </c>
      <c r="B490" s="324"/>
      <c r="C490" s="328" t="s">
        <v>115</v>
      </c>
      <c r="E490" s="326">
        <v>4</v>
      </c>
      <c r="F490" s="48">
        <f t="shared" si="14"/>
        <v>0</v>
      </c>
    </row>
    <row r="491" spans="1:6" ht="14.4" x14ac:dyDescent="0.3">
      <c r="A491" s="324"/>
      <c r="B491" s="324" t="s">
        <v>545</v>
      </c>
      <c r="C491" s="328"/>
      <c r="E491" s="326"/>
      <c r="F491" s="48">
        <f t="shared" si="14"/>
        <v>0</v>
      </c>
    </row>
    <row r="492" spans="1:6" ht="14.4" x14ac:dyDescent="0.3">
      <c r="A492" s="324"/>
      <c r="B492" s="324" t="s">
        <v>546</v>
      </c>
      <c r="C492" s="328" t="s">
        <v>115</v>
      </c>
      <c r="E492" s="326">
        <v>137</v>
      </c>
      <c r="F492" s="48">
        <f t="shared" si="14"/>
        <v>0</v>
      </c>
    </row>
    <row r="493" spans="1:6" ht="14.4" x14ac:dyDescent="0.3">
      <c r="A493" s="324"/>
      <c r="B493" s="324" t="s">
        <v>547</v>
      </c>
      <c r="C493" s="328" t="s">
        <v>115</v>
      </c>
      <c r="E493" s="326">
        <v>139.5</v>
      </c>
      <c r="F493" s="48">
        <f t="shared" si="14"/>
        <v>0</v>
      </c>
    </row>
    <row r="494" spans="1:6" ht="14.4" x14ac:dyDescent="0.3">
      <c r="A494" s="324"/>
      <c r="B494" s="324" t="s">
        <v>548</v>
      </c>
      <c r="C494" s="328" t="s">
        <v>115</v>
      </c>
      <c r="E494" s="326">
        <v>183</v>
      </c>
      <c r="F494" s="48">
        <f t="shared" ref="F494:F562" si="15">E494*D494</f>
        <v>0</v>
      </c>
    </row>
    <row r="495" spans="1:6" ht="14.4" x14ac:dyDescent="0.3">
      <c r="A495" s="324"/>
      <c r="B495" s="324" t="s">
        <v>549</v>
      </c>
      <c r="C495" s="328" t="s">
        <v>115</v>
      </c>
      <c r="E495" s="326">
        <v>184.5</v>
      </c>
      <c r="F495" s="48">
        <f t="shared" si="15"/>
        <v>0</v>
      </c>
    </row>
    <row r="496" spans="1:6" ht="14.4" x14ac:dyDescent="0.3">
      <c r="A496" s="324"/>
      <c r="B496" s="324" t="s">
        <v>550</v>
      </c>
      <c r="C496" s="328" t="s">
        <v>115</v>
      </c>
      <c r="E496" s="326">
        <v>56</v>
      </c>
      <c r="F496" s="48">
        <f t="shared" si="15"/>
        <v>0</v>
      </c>
    </row>
    <row r="497" spans="1:6" ht="14.4" x14ac:dyDescent="0.3">
      <c r="A497" s="324"/>
      <c r="B497" s="324" t="s">
        <v>551</v>
      </c>
      <c r="C497" s="328" t="s">
        <v>115</v>
      </c>
      <c r="E497" s="326">
        <v>103</v>
      </c>
      <c r="F497" s="48">
        <f t="shared" si="15"/>
        <v>0</v>
      </c>
    </row>
    <row r="498" spans="1:6" ht="14.4" x14ac:dyDescent="0.3">
      <c r="A498" s="324"/>
      <c r="B498" s="324" t="s">
        <v>552</v>
      </c>
      <c r="C498" s="328" t="s">
        <v>115</v>
      </c>
      <c r="E498" s="326">
        <v>95</v>
      </c>
      <c r="F498" s="48">
        <f t="shared" si="15"/>
        <v>0</v>
      </c>
    </row>
    <row r="499" spans="1:6" ht="14.4" x14ac:dyDescent="0.3">
      <c r="A499" s="324"/>
      <c r="B499" s="324" t="s">
        <v>553</v>
      </c>
      <c r="C499" s="328" t="s">
        <v>115</v>
      </c>
      <c r="D499" s="40">
        <v>1</v>
      </c>
      <c r="E499" s="326">
        <v>100</v>
      </c>
      <c r="F499" s="48">
        <f t="shared" si="15"/>
        <v>100</v>
      </c>
    </row>
    <row r="500" spans="1:6" ht="14.4" x14ac:dyDescent="0.3">
      <c r="A500" s="324"/>
      <c r="B500" s="324" t="s">
        <v>554</v>
      </c>
      <c r="C500" s="328" t="s">
        <v>115</v>
      </c>
      <c r="D500" s="40">
        <v>6</v>
      </c>
      <c r="E500" s="326">
        <v>130.1</v>
      </c>
      <c r="F500" s="48">
        <f t="shared" si="15"/>
        <v>780.59999999999991</v>
      </c>
    </row>
    <row r="501" spans="1:6" ht="14.4" x14ac:dyDescent="0.3">
      <c r="A501" s="324"/>
      <c r="B501" s="324" t="s">
        <v>555</v>
      </c>
      <c r="C501" s="328" t="s">
        <v>115</v>
      </c>
      <c r="D501" s="40">
        <v>1</v>
      </c>
      <c r="E501" s="326">
        <v>60</v>
      </c>
      <c r="F501" s="48">
        <f t="shared" si="15"/>
        <v>60</v>
      </c>
    </row>
    <row r="502" spans="1:6" ht="14.4" x14ac:dyDescent="0.3">
      <c r="A502" s="324"/>
      <c r="B502" s="324" t="s">
        <v>556</v>
      </c>
      <c r="C502" s="328" t="s">
        <v>115</v>
      </c>
      <c r="D502" s="40">
        <v>3</v>
      </c>
      <c r="E502" s="326">
        <v>55</v>
      </c>
      <c r="F502" s="48">
        <f t="shared" si="15"/>
        <v>165</v>
      </c>
    </row>
    <row r="503" spans="1:6" ht="14.4" x14ac:dyDescent="0.3">
      <c r="A503" s="324"/>
      <c r="B503" s="324" t="s">
        <v>557</v>
      </c>
      <c r="C503" s="328" t="s">
        <v>115</v>
      </c>
      <c r="D503" s="40">
        <v>3</v>
      </c>
      <c r="E503" s="326">
        <v>50</v>
      </c>
      <c r="F503" s="48">
        <f t="shared" si="15"/>
        <v>150</v>
      </c>
    </row>
    <row r="504" spans="1:6" ht="14.4" x14ac:dyDescent="0.3">
      <c r="A504" s="324"/>
      <c r="B504" s="420" t="s">
        <v>558</v>
      </c>
      <c r="C504" s="328" t="s">
        <v>115</v>
      </c>
      <c r="E504" s="326">
        <v>99.5</v>
      </c>
      <c r="F504" s="48">
        <f t="shared" si="15"/>
        <v>0</v>
      </c>
    </row>
    <row r="505" spans="1:6" ht="14.4" x14ac:dyDescent="0.3">
      <c r="A505" s="324"/>
      <c r="B505" s="324" t="s">
        <v>559</v>
      </c>
      <c r="C505" s="328" t="s">
        <v>115</v>
      </c>
      <c r="E505" s="326">
        <v>33.5</v>
      </c>
      <c r="F505" s="48">
        <f t="shared" si="15"/>
        <v>0</v>
      </c>
    </row>
    <row r="506" spans="1:6" ht="14.4" x14ac:dyDescent="0.3">
      <c r="A506" s="324"/>
      <c r="B506" s="420" t="s">
        <v>560</v>
      </c>
      <c r="C506" s="328" t="s">
        <v>115</v>
      </c>
      <c r="D506" s="40">
        <v>18</v>
      </c>
      <c r="E506" s="326">
        <v>56.35</v>
      </c>
      <c r="F506" s="48">
        <f t="shared" si="15"/>
        <v>1014.3000000000001</v>
      </c>
    </row>
    <row r="507" spans="1:6" ht="14.4" x14ac:dyDescent="0.3">
      <c r="A507" s="324"/>
      <c r="B507" s="324" t="s">
        <v>561</v>
      </c>
      <c r="C507" s="328" t="s">
        <v>115</v>
      </c>
      <c r="E507" s="326">
        <v>60.5</v>
      </c>
      <c r="F507" s="48">
        <f t="shared" si="15"/>
        <v>0</v>
      </c>
    </row>
    <row r="508" spans="1:6" ht="14.4" x14ac:dyDescent="0.3">
      <c r="A508" s="324"/>
      <c r="B508" s="324" t="s">
        <v>562</v>
      </c>
      <c r="C508" s="328" t="s">
        <v>115</v>
      </c>
      <c r="E508" s="326">
        <v>61</v>
      </c>
      <c r="F508" s="48">
        <f t="shared" si="15"/>
        <v>0</v>
      </c>
    </row>
    <row r="509" spans="1:6" ht="14.4" x14ac:dyDescent="0.3">
      <c r="A509" s="324"/>
      <c r="B509" s="324" t="s">
        <v>563</v>
      </c>
      <c r="C509" s="328" t="s">
        <v>115</v>
      </c>
      <c r="E509" s="326">
        <v>65</v>
      </c>
      <c r="F509" s="48">
        <f t="shared" si="15"/>
        <v>0</v>
      </c>
    </row>
    <row r="510" spans="1:6" ht="14.4" x14ac:dyDescent="0.3">
      <c r="A510" s="324"/>
      <c r="B510" s="324" t="s">
        <v>564</v>
      </c>
      <c r="C510" s="328" t="s">
        <v>115</v>
      </c>
      <c r="E510" s="326">
        <v>65</v>
      </c>
      <c r="F510" s="48">
        <f t="shared" si="15"/>
        <v>0</v>
      </c>
    </row>
    <row r="511" spans="1:6" ht="14.4" x14ac:dyDescent="0.3">
      <c r="A511" s="324"/>
      <c r="B511" s="324" t="s">
        <v>565</v>
      </c>
      <c r="C511" s="328" t="s">
        <v>115</v>
      </c>
      <c r="E511" s="326">
        <v>65</v>
      </c>
      <c r="F511" s="48">
        <f t="shared" si="15"/>
        <v>0</v>
      </c>
    </row>
    <row r="512" spans="1:6" ht="14.4" x14ac:dyDescent="0.3">
      <c r="A512" s="324"/>
      <c r="B512" s="324" t="s">
        <v>566</v>
      </c>
      <c r="C512" s="328" t="s">
        <v>115</v>
      </c>
      <c r="E512" s="326">
        <v>65</v>
      </c>
      <c r="F512" s="48">
        <f t="shared" si="15"/>
        <v>0</v>
      </c>
    </row>
    <row r="513" spans="1:6" ht="14.4" x14ac:dyDescent="0.3">
      <c r="A513" s="324"/>
      <c r="B513" s="324" t="s">
        <v>567</v>
      </c>
      <c r="C513" s="328" t="s">
        <v>115</v>
      </c>
      <c r="E513" s="326">
        <v>45</v>
      </c>
      <c r="F513" s="48">
        <f t="shared" si="15"/>
        <v>0</v>
      </c>
    </row>
    <row r="514" spans="1:6" ht="14.4" x14ac:dyDescent="0.3">
      <c r="A514" s="324"/>
      <c r="B514" s="324" t="s">
        <v>568</v>
      </c>
      <c r="C514" s="328" t="s">
        <v>115</v>
      </c>
      <c r="E514" s="326">
        <v>55</v>
      </c>
      <c r="F514" s="48">
        <f t="shared" si="15"/>
        <v>0</v>
      </c>
    </row>
    <row r="515" spans="1:6" ht="14.4" x14ac:dyDescent="0.3">
      <c r="A515" s="324"/>
      <c r="B515" s="420" t="s">
        <v>569</v>
      </c>
      <c r="C515" s="328" t="s">
        <v>115</v>
      </c>
      <c r="E515" s="326">
        <v>55</v>
      </c>
      <c r="F515" s="48">
        <f t="shared" si="15"/>
        <v>0</v>
      </c>
    </row>
    <row r="516" spans="1:6" ht="14.4" x14ac:dyDescent="0.3">
      <c r="A516" s="324"/>
      <c r="B516" s="324" t="s">
        <v>570</v>
      </c>
      <c r="C516" s="328" t="s">
        <v>115</v>
      </c>
      <c r="E516" s="326">
        <v>21.5</v>
      </c>
      <c r="F516" s="48">
        <f t="shared" si="15"/>
        <v>0</v>
      </c>
    </row>
    <row r="517" spans="1:6" ht="14.4" x14ac:dyDescent="0.3">
      <c r="A517" s="324"/>
      <c r="B517" s="324" t="s">
        <v>571</v>
      </c>
      <c r="C517" s="328" t="s">
        <v>115</v>
      </c>
      <c r="D517" s="40">
        <v>1</v>
      </c>
      <c r="E517" s="326">
        <v>34.92</v>
      </c>
      <c r="F517" s="48">
        <f t="shared" si="15"/>
        <v>34.92</v>
      </c>
    </row>
    <row r="518" spans="1:6" ht="14.4" x14ac:dyDescent="0.3">
      <c r="A518" s="324"/>
      <c r="B518" s="324" t="s">
        <v>572</v>
      </c>
      <c r="C518" s="328" t="s">
        <v>115</v>
      </c>
      <c r="D518" s="40">
        <v>6</v>
      </c>
      <c r="E518" s="326">
        <v>35</v>
      </c>
      <c r="F518" s="48">
        <f t="shared" si="15"/>
        <v>210</v>
      </c>
    </row>
    <row r="519" spans="1:6" ht="14.4" x14ac:dyDescent="0.3">
      <c r="A519" s="324"/>
      <c r="B519" s="324" t="s">
        <v>573</v>
      </c>
      <c r="C519" s="328" t="s">
        <v>115</v>
      </c>
      <c r="E519" s="326">
        <v>22</v>
      </c>
      <c r="F519" s="48">
        <f t="shared" si="15"/>
        <v>0</v>
      </c>
    </row>
    <row r="520" spans="1:6" ht="14.4" x14ac:dyDescent="0.3">
      <c r="A520" s="324"/>
      <c r="B520" s="324" t="s">
        <v>574</v>
      </c>
      <c r="C520" s="328" t="s">
        <v>115</v>
      </c>
      <c r="E520" s="326">
        <v>22</v>
      </c>
      <c r="F520" s="48">
        <f t="shared" si="15"/>
        <v>0</v>
      </c>
    </row>
    <row r="521" spans="1:6" ht="14.4" x14ac:dyDescent="0.3">
      <c r="A521" s="324"/>
      <c r="B521" s="324" t="s">
        <v>575</v>
      </c>
      <c r="C521" s="328" t="s">
        <v>115</v>
      </c>
      <c r="E521" s="326">
        <v>78</v>
      </c>
      <c r="F521" s="48">
        <f t="shared" si="15"/>
        <v>0</v>
      </c>
    </row>
    <row r="522" spans="1:6" ht="14.4" x14ac:dyDescent="0.3">
      <c r="A522" s="324"/>
      <c r="B522" s="324" t="s">
        <v>576</v>
      </c>
      <c r="C522" s="328" t="s">
        <v>115</v>
      </c>
      <c r="E522" s="326">
        <v>89</v>
      </c>
      <c r="F522" s="48">
        <f t="shared" si="15"/>
        <v>0</v>
      </c>
    </row>
    <row r="523" spans="1:6" ht="14.4" x14ac:dyDescent="0.3">
      <c r="A523" s="324"/>
      <c r="B523" s="324" t="s">
        <v>577</v>
      </c>
      <c r="C523" s="328" t="s">
        <v>115</v>
      </c>
      <c r="E523" s="326">
        <v>21</v>
      </c>
      <c r="F523" s="48">
        <f t="shared" si="15"/>
        <v>0</v>
      </c>
    </row>
    <row r="524" spans="1:6" ht="14.4" x14ac:dyDescent="0.3">
      <c r="A524" s="324"/>
      <c r="B524" s="324" t="s">
        <v>578</v>
      </c>
      <c r="C524" s="328" t="s">
        <v>115</v>
      </c>
      <c r="E524" s="326">
        <v>21</v>
      </c>
      <c r="F524" s="48">
        <f t="shared" si="15"/>
        <v>0</v>
      </c>
    </row>
    <row r="525" spans="1:6" ht="14.4" x14ac:dyDescent="0.3">
      <c r="A525" s="324"/>
      <c r="B525" s="324" t="s">
        <v>579</v>
      </c>
      <c r="C525" s="328" t="s">
        <v>115</v>
      </c>
      <c r="E525" s="326">
        <v>0</v>
      </c>
      <c r="F525" s="48">
        <f t="shared" si="15"/>
        <v>0</v>
      </c>
    </row>
    <row r="526" spans="1:6" ht="14.4" x14ac:dyDescent="0.3">
      <c r="A526" s="324"/>
      <c r="B526" s="324" t="s">
        <v>580</v>
      </c>
      <c r="C526" s="328" t="s">
        <v>115</v>
      </c>
      <c r="E526" s="326">
        <v>0</v>
      </c>
      <c r="F526" s="48">
        <f t="shared" si="15"/>
        <v>0</v>
      </c>
    </row>
    <row r="527" spans="1:6" ht="14.4" x14ac:dyDescent="0.3">
      <c r="A527" s="324"/>
      <c r="B527" s="420" t="s">
        <v>581</v>
      </c>
      <c r="C527" s="328" t="s">
        <v>115</v>
      </c>
      <c r="E527" s="326">
        <v>0</v>
      </c>
      <c r="F527" s="48">
        <f t="shared" si="15"/>
        <v>0</v>
      </c>
    </row>
    <row r="528" spans="1:6" ht="14.4" x14ac:dyDescent="0.3">
      <c r="A528" s="324"/>
      <c r="B528" s="324" t="s">
        <v>582</v>
      </c>
      <c r="C528" s="328" t="s">
        <v>115</v>
      </c>
      <c r="E528" s="326">
        <v>0</v>
      </c>
      <c r="F528" s="48">
        <f t="shared" si="15"/>
        <v>0</v>
      </c>
    </row>
    <row r="529" spans="1:6" ht="14.4" x14ac:dyDescent="0.3">
      <c r="A529" s="324"/>
      <c r="B529" s="324" t="s">
        <v>583</v>
      </c>
      <c r="C529" s="328" t="s">
        <v>115</v>
      </c>
      <c r="E529" s="326">
        <v>0</v>
      </c>
      <c r="F529" s="48">
        <f t="shared" si="15"/>
        <v>0</v>
      </c>
    </row>
    <row r="530" spans="1:6" ht="14.4" x14ac:dyDescent="0.3">
      <c r="A530" s="324"/>
      <c r="B530" s="324" t="s">
        <v>584</v>
      </c>
      <c r="C530" s="328" t="s">
        <v>115</v>
      </c>
      <c r="E530" s="326">
        <v>0</v>
      </c>
      <c r="F530" s="48">
        <f t="shared" si="15"/>
        <v>0</v>
      </c>
    </row>
    <row r="531" spans="1:6" ht="14.4" x14ac:dyDescent="0.3">
      <c r="A531" s="324"/>
      <c r="B531" s="324" t="s">
        <v>585</v>
      </c>
      <c r="C531" s="328" t="s">
        <v>115</v>
      </c>
      <c r="E531" s="326">
        <v>0</v>
      </c>
      <c r="F531" s="48">
        <f t="shared" si="15"/>
        <v>0</v>
      </c>
    </row>
    <row r="532" spans="1:6" ht="14.4" x14ac:dyDescent="0.3">
      <c r="A532" s="324"/>
      <c r="B532" s="324" t="s">
        <v>586</v>
      </c>
      <c r="C532" s="328" t="s">
        <v>115</v>
      </c>
      <c r="E532" s="326">
        <v>0</v>
      </c>
      <c r="F532" s="48">
        <f t="shared" si="15"/>
        <v>0</v>
      </c>
    </row>
    <row r="533" spans="1:6" ht="14.4" x14ac:dyDescent="0.3">
      <c r="A533" s="324"/>
      <c r="B533" s="324" t="s">
        <v>587</v>
      </c>
      <c r="C533" s="328" t="s">
        <v>115</v>
      </c>
      <c r="E533" s="326">
        <v>0</v>
      </c>
      <c r="F533" s="48">
        <f t="shared" si="15"/>
        <v>0</v>
      </c>
    </row>
    <row r="534" spans="1:6" ht="14.4" x14ac:dyDescent="0.3">
      <c r="A534" s="324"/>
      <c r="B534" s="324" t="s">
        <v>588</v>
      </c>
      <c r="C534" s="328" t="s">
        <v>115</v>
      </c>
      <c r="E534" s="326">
        <v>0</v>
      </c>
      <c r="F534" s="48">
        <f t="shared" si="15"/>
        <v>0</v>
      </c>
    </row>
    <row r="535" spans="1:6" ht="14.4" x14ac:dyDescent="0.3">
      <c r="A535" s="324"/>
      <c r="B535" s="324" t="s">
        <v>589</v>
      </c>
      <c r="C535" s="328" t="s">
        <v>115</v>
      </c>
      <c r="E535" s="326">
        <v>0</v>
      </c>
      <c r="F535" s="48">
        <f t="shared" si="15"/>
        <v>0</v>
      </c>
    </row>
    <row r="536" spans="1:6" ht="14.4" x14ac:dyDescent="0.3">
      <c r="A536" s="324"/>
      <c r="B536" s="324" t="s">
        <v>590</v>
      </c>
      <c r="C536" s="328" t="s">
        <v>115</v>
      </c>
      <c r="E536" s="326">
        <v>0</v>
      </c>
      <c r="F536" s="48">
        <f t="shared" si="15"/>
        <v>0</v>
      </c>
    </row>
    <row r="537" spans="1:6" ht="14.4" x14ac:dyDescent="0.3">
      <c r="A537" s="324"/>
      <c r="B537" s="324" t="s">
        <v>591</v>
      </c>
      <c r="C537" s="328" t="s">
        <v>115</v>
      </c>
      <c r="E537" s="326">
        <v>0</v>
      </c>
      <c r="F537" s="48">
        <f t="shared" si="15"/>
        <v>0</v>
      </c>
    </row>
    <row r="538" spans="1:6" ht="14.4" x14ac:dyDescent="0.3">
      <c r="A538" s="324"/>
      <c r="B538" s="324" t="s">
        <v>592</v>
      </c>
      <c r="C538" s="328" t="s">
        <v>115</v>
      </c>
      <c r="E538" s="326">
        <v>0</v>
      </c>
      <c r="F538" s="48">
        <f t="shared" si="15"/>
        <v>0</v>
      </c>
    </row>
    <row r="539" spans="1:6" ht="14.4" x14ac:dyDescent="0.3">
      <c r="A539" s="324"/>
      <c r="B539" s="324" t="s">
        <v>593</v>
      </c>
      <c r="C539" s="328" t="s">
        <v>115</v>
      </c>
      <c r="E539" s="326">
        <v>0</v>
      </c>
      <c r="F539" s="48">
        <f t="shared" si="15"/>
        <v>0</v>
      </c>
    </row>
    <row r="540" spans="1:6" ht="14.4" x14ac:dyDescent="0.3">
      <c r="A540" s="324"/>
      <c r="B540" s="324" t="s">
        <v>594</v>
      </c>
      <c r="C540" s="328" t="s">
        <v>115</v>
      </c>
      <c r="E540" s="326">
        <v>0</v>
      </c>
      <c r="F540" s="48">
        <f t="shared" si="15"/>
        <v>0</v>
      </c>
    </row>
    <row r="541" spans="1:6" ht="14.4" x14ac:dyDescent="0.3">
      <c r="A541" s="324"/>
      <c r="B541" s="324" t="s">
        <v>595</v>
      </c>
      <c r="C541" s="328" t="s">
        <v>115</v>
      </c>
      <c r="E541" s="326">
        <v>0</v>
      </c>
      <c r="F541" s="48">
        <f t="shared" si="15"/>
        <v>0</v>
      </c>
    </row>
    <row r="542" spans="1:6" ht="14.4" x14ac:dyDescent="0.3">
      <c r="A542" s="324"/>
      <c r="B542" s="324" t="s">
        <v>596</v>
      </c>
      <c r="C542" s="328" t="s">
        <v>115</v>
      </c>
      <c r="E542" s="326">
        <v>0</v>
      </c>
      <c r="F542" s="48">
        <f t="shared" si="15"/>
        <v>0</v>
      </c>
    </row>
    <row r="543" spans="1:6" ht="14.4" x14ac:dyDescent="0.3">
      <c r="A543" s="324"/>
      <c r="B543" s="324" t="s">
        <v>597</v>
      </c>
      <c r="C543" s="328" t="s">
        <v>115</v>
      </c>
      <c r="E543" s="326">
        <v>0</v>
      </c>
      <c r="F543" s="48">
        <f t="shared" si="15"/>
        <v>0</v>
      </c>
    </row>
    <row r="544" spans="1:6" ht="14.4" x14ac:dyDescent="0.3">
      <c r="A544" s="324"/>
      <c r="B544" s="324" t="s">
        <v>598</v>
      </c>
      <c r="C544" s="328" t="s">
        <v>115</v>
      </c>
      <c r="E544" s="326">
        <v>0</v>
      </c>
      <c r="F544" s="48">
        <f t="shared" si="15"/>
        <v>0</v>
      </c>
    </row>
    <row r="545" spans="1:6" ht="14.4" x14ac:dyDescent="0.3">
      <c r="A545" s="324"/>
      <c r="B545" s="324" t="s">
        <v>599</v>
      </c>
      <c r="C545" s="328" t="s">
        <v>115</v>
      </c>
      <c r="E545" s="326">
        <v>0</v>
      </c>
      <c r="F545" s="48">
        <f t="shared" si="15"/>
        <v>0</v>
      </c>
    </row>
    <row r="546" spans="1:6" ht="14.4" x14ac:dyDescent="0.3">
      <c r="A546" s="324"/>
      <c r="B546" s="324" t="s">
        <v>600</v>
      </c>
      <c r="C546" s="328" t="s">
        <v>115</v>
      </c>
      <c r="E546" s="326">
        <v>0</v>
      </c>
      <c r="F546" s="48">
        <f t="shared" si="15"/>
        <v>0</v>
      </c>
    </row>
    <row r="547" spans="1:6" ht="14.4" x14ac:dyDescent="0.3">
      <c r="A547" s="324"/>
      <c r="B547" s="324" t="s">
        <v>601</v>
      </c>
      <c r="C547" s="328" t="s">
        <v>115</v>
      </c>
      <c r="E547" s="326">
        <v>0</v>
      </c>
      <c r="F547" s="48">
        <f t="shared" si="15"/>
        <v>0</v>
      </c>
    </row>
    <row r="548" spans="1:6" ht="14.4" x14ac:dyDescent="0.3">
      <c r="A548" s="324"/>
      <c r="B548" s="324" t="s">
        <v>602</v>
      </c>
      <c r="C548" s="328" t="s">
        <v>115</v>
      </c>
      <c r="E548" s="326">
        <v>0</v>
      </c>
      <c r="F548" s="48">
        <f t="shared" si="15"/>
        <v>0</v>
      </c>
    </row>
    <row r="549" spans="1:6" ht="14.4" x14ac:dyDescent="0.3">
      <c r="A549" s="324"/>
      <c r="B549" s="324" t="s">
        <v>603</v>
      </c>
      <c r="C549" s="328" t="s">
        <v>115</v>
      </c>
      <c r="E549" s="326">
        <v>0</v>
      </c>
      <c r="F549" s="48">
        <f t="shared" si="15"/>
        <v>0</v>
      </c>
    </row>
    <row r="550" spans="1:6" ht="14.4" x14ac:dyDescent="0.3">
      <c r="A550" s="324"/>
      <c r="B550" s="420" t="s">
        <v>604</v>
      </c>
      <c r="C550" s="328" t="s">
        <v>115</v>
      </c>
      <c r="E550" s="326">
        <v>0</v>
      </c>
      <c r="F550" s="48">
        <f t="shared" si="15"/>
        <v>0</v>
      </c>
    </row>
    <row r="551" spans="1:6" ht="14.4" x14ac:dyDescent="0.3">
      <c r="A551" s="324"/>
      <c r="B551" s="324" t="s">
        <v>605</v>
      </c>
      <c r="C551" s="328" t="s">
        <v>115</v>
      </c>
      <c r="E551" s="326">
        <v>0</v>
      </c>
      <c r="F551" s="48">
        <f t="shared" si="15"/>
        <v>0</v>
      </c>
    </row>
    <row r="552" spans="1:6" ht="14.4" x14ac:dyDescent="0.3">
      <c r="A552" s="324"/>
      <c r="B552" s="324" t="s">
        <v>606</v>
      </c>
      <c r="C552" s="328" t="s">
        <v>115</v>
      </c>
      <c r="E552" s="326">
        <v>0</v>
      </c>
      <c r="F552" s="48">
        <f t="shared" si="15"/>
        <v>0</v>
      </c>
    </row>
    <row r="553" spans="1:6" ht="14.4" x14ac:dyDescent="0.3">
      <c r="A553" s="324"/>
      <c r="B553" s="420" t="s">
        <v>607</v>
      </c>
      <c r="C553" s="328" t="s">
        <v>115</v>
      </c>
      <c r="E553" s="326">
        <v>0</v>
      </c>
      <c r="F553" s="48">
        <f t="shared" si="15"/>
        <v>0</v>
      </c>
    </row>
    <row r="554" spans="1:6" ht="14.4" x14ac:dyDescent="0.3">
      <c r="A554" s="324"/>
      <c r="B554" s="420" t="s">
        <v>608</v>
      </c>
      <c r="C554" s="328" t="s">
        <v>115</v>
      </c>
      <c r="E554" s="326">
        <v>0</v>
      </c>
      <c r="F554" s="48">
        <f t="shared" si="15"/>
        <v>0</v>
      </c>
    </row>
    <row r="555" spans="1:6" ht="14.4" x14ac:dyDescent="0.3">
      <c r="A555" s="324"/>
      <c r="B555" s="324" t="s">
        <v>609</v>
      </c>
      <c r="C555" s="328" t="s">
        <v>115</v>
      </c>
      <c r="E555" s="326">
        <v>18.54</v>
      </c>
      <c r="F555" s="48">
        <f t="shared" si="15"/>
        <v>0</v>
      </c>
    </row>
    <row r="556" spans="1:6" ht="14.4" x14ac:dyDescent="0.3">
      <c r="A556" s="324"/>
      <c r="B556" s="324" t="s">
        <v>610</v>
      </c>
      <c r="C556" s="328" t="s">
        <v>115</v>
      </c>
      <c r="E556" s="326">
        <v>0</v>
      </c>
      <c r="F556" s="48">
        <f t="shared" si="15"/>
        <v>0</v>
      </c>
    </row>
    <row r="557" spans="1:6" ht="14.4" x14ac:dyDescent="0.3">
      <c r="A557" s="324"/>
      <c r="B557" s="324" t="s">
        <v>611</v>
      </c>
      <c r="C557" s="328" t="s">
        <v>115</v>
      </c>
      <c r="E557" s="326">
        <v>0</v>
      </c>
      <c r="F557" s="48">
        <f t="shared" si="15"/>
        <v>0</v>
      </c>
    </row>
    <row r="558" spans="1:6" ht="14.4" x14ac:dyDescent="0.3">
      <c r="A558" s="324"/>
      <c r="B558" s="324" t="s">
        <v>612</v>
      </c>
      <c r="C558" s="328" t="s">
        <v>115</v>
      </c>
      <c r="E558" s="326">
        <v>18.350000000000001</v>
      </c>
      <c r="F558" s="48">
        <f t="shared" si="15"/>
        <v>0</v>
      </c>
    </row>
    <row r="559" spans="1:6" ht="14.4" x14ac:dyDescent="0.3">
      <c r="A559" s="324"/>
      <c r="B559" s="324" t="s">
        <v>613</v>
      </c>
      <c r="C559" s="328" t="s">
        <v>115</v>
      </c>
      <c r="E559" s="326">
        <v>0</v>
      </c>
      <c r="F559" s="48">
        <f t="shared" si="15"/>
        <v>0</v>
      </c>
    </row>
    <row r="560" spans="1:6" ht="14.4" x14ac:dyDescent="0.3">
      <c r="A560" s="324"/>
      <c r="B560" s="324" t="s">
        <v>614</v>
      </c>
      <c r="C560" s="328" t="s">
        <v>115</v>
      </c>
      <c r="E560" s="326">
        <v>0</v>
      </c>
      <c r="F560" s="48">
        <f t="shared" si="15"/>
        <v>0</v>
      </c>
    </row>
    <row r="561" spans="1:6" ht="14.4" x14ac:dyDescent="0.3">
      <c r="A561" s="324"/>
      <c r="B561" s="324" t="s">
        <v>615</v>
      </c>
      <c r="C561" s="328" t="s">
        <v>115</v>
      </c>
      <c r="E561" s="326">
        <v>0</v>
      </c>
      <c r="F561" s="48">
        <f t="shared" si="15"/>
        <v>0</v>
      </c>
    </row>
    <row r="562" spans="1:6" ht="14.4" x14ac:dyDescent="0.3">
      <c r="A562" s="324"/>
      <c r="B562" s="324" t="s">
        <v>616</v>
      </c>
      <c r="C562" s="328" t="s">
        <v>115</v>
      </c>
      <c r="E562" s="326">
        <v>0</v>
      </c>
      <c r="F562" s="48">
        <f t="shared" si="15"/>
        <v>0</v>
      </c>
    </row>
    <row r="563" spans="1:6" ht="14.4" x14ac:dyDescent="0.3">
      <c r="A563" s="324"/>
      <c r="B563" s="324" t="s">
        <v>617</v>
      </c>
      <c r="C563" s="328" t="s">
        <v>115</v>
      </c>
      <c r="E563" s="326">
        <v>0</v>
      </c>
      <c r="F563" s="48">
        <f t="shared" ref="F563:F626" si="16">E563*D563</f>
        <v>0</v>
      </c>
    </row>
    <row r="564" spans="1:6" ht="14.4" x14ac:dyDescent="0.3">
      <c r="A564" s="324"/>
      <c r="B564" s="420" t="s">
        <v>618</v>
      </c>
      <c r="C564" s="328" t="s">
        <v>115</v>
      </c>
      <c r="D564" s="40">
        <v>1</v>
      </c>
      <c r="E564" s="326">
        <v>20</v>
      </c>
      <c r="F564" s="48">
        <f t="shared" si="16"/>
        <v>20</v>
      </c>
    </row>
    <row r="565" spans="1:6" ht="14.4" x14ac:dyDescent="0.3">
      <c r="A565" s="324"/>
      <c r="B565" s="324" t="s">
        <v>619</v>
      </c>
      <c r="C565" s="328" t="s">
        <v>115</v>
      </c>
      <c r="D565" s="40">
        <v>1</v>
      </c>
      <c r="E565" s="326">
        <v>16.329999999999998</v>
      </c>
      <c r="F565" s="48">
        <f t="shared" si="16"/>
        <v>16.329999999999998</v>
      </c>
    </row>
    <row r="566" spans="1:6" ht="14.4" x14ac:dyDescent="0.3">
      <c r="A566" s="324"/>
      <c r="B566" s="324" t="s">
        <v>620</v>
      </c>
      <c r="C566" s="328" t="s">
        <v>115</v>
      </c>
      <c r="E566" s="326">
        <v>0</v>
      </c>
      <c r="F566" s="48">
        <f t="shared" si="16"/>
        <v>0</v>
      </c>
    </row>
    <row r="567" spans="1:6" ht="14.4" x14ac:dyDescent="0.3">
      <c r="A567" s="324"/>
      <c r="B567" s="324" t="s">
        <v>621</v>
      </c>
      <c r="C567" s="328" t="s">
        <v>115</v>
      </c>
      <c r="E567" s="326">
        <v>0</v>
      </c>
      <c r="F567" s="48">
        <f t="shared" si="16"/>
        <v>0</v>
      </c>
    </row>
    <row r="568" spans="1:6" ht="14.4" x14ac:dyDescent="0.3">
      <c r="A568" s="324"/>
      <c r="B568" s="324" t="s">
        <v>622</v>
      </c>
      <c r="C568" s="328" t="s">
        <v>115</v>
      </c>
      <c r="E568" s="326">
        <v>0</v>
      </c>
      <c r="F568" s="48">
        <f t="shared" si="16"/>
        <v>0</v>
      </c>
    </row>
    <row r="569" spans="1:6" ht="14.4" x14ac:dyDescent="0.3">
      <c r="A569" s="324"/>
      <c r="B569" s="324" t="s">
        <v>623</v>
      </c>
      <c r="C569" s="328" t="s">
        <v>115</v>
      </c>
      <c r="E569" s="326">
        <v>0</v>
      </c>
      <c r="F569" s="48">
        <f t="shared" si="16"/>
        <v>0</v>
      </c>
    </row>
    <row r="570" spans="1:6" ht="14.4" x14ac:dyDescent="0.3">
      <c r="A570" s="324"/>
      <c r="B570" s="324" t="s">
        <v>624</v>
      </c>
      <c r="C570" s="328" t="s">
        <v>115</v>
      </c>
      <c r="E570" s="326">
        <v>0</v>
      </c>
      <c r="F570" s="48">
        <f t="shared" si="16"/>
        <v>0</v>
      </c>
    </row>
    <row r="571" spans="1:6" ht="14.4" x14ac:dyDescent="0.3">
      <c r="A571" s="324"/>
      <c r="B571" s="324" t="s">
        <v>625</v>
      </c>
      <c r="C571" s="328" t="s">
        <v>115</v>
      </c>
      <c r="E571" s="326">
        <v>0</v>
      </c>
      <c r="F571" s="48">
        <f t="shared" si="16"/>
        <v>0</v>
      </c>
    </row>
    <row r="572" spans="1:6" ht="14.4" x14ac:dyDescent="0.3">
      <c r="A572" s="324"/>
      <c r="B572" s="324" t="s">
        <v>626</v>
      </c>
      <c r="C572" s="328" t="s">
        <v>115</v>
      </c>
      <c r="E572" s="326">
        <v>0</v>
      </c>
      <c r="F572" s="48">
        <f t="shared" si="16"/>
        <v>0</v>
      </c>
    </row>
    <row r="573" spans="1:6" ht="14.4" x14ac:dyDescent="0.3">
      <c r="A573" s="324"/>
      <c r="B573" s="324" t="s">
        <v>627</v>
      </c>
      <c r="C573" s="328" t="s">
        <v>115</v>
      </c>
      <c r="E573" s="326">
        <v>0</v>
      </c>
      <c r="F573" s="48">
        <f t="shared" si="16"/>
        <v>0</v>
      </c>
    </row>
    <row r="574" spans="1:6" ht="14.4" x14ac:dyDescent="0.3">
      <c r="A574" s="324"/>
      <c r="B574" s="324" t="s">
        <v>628</v>
      </c>
      <c r="C574" s="328" t="s">
        <v>115</v>
      </c>
      <c r="E574" s="326">
        <v>0</v>
      </c>
      <c r="F574" s="48">
        <f t="shared" si="16"/>
        <v>0</v>
      </c>
    </row>
    <row r="575" spans="1:6" ht="14.4" x14ac:dyDescent="0.3">
      <c r="A575" s="324"/>
      <c r="B575" s="324" t="s">
        <v>629</v>
      </c>
      <c r="C575" s="328" t="s">
        <v>115</v>
      </c>
      <c r="E575" s="326">
        <v>0</v>
      </c>
      <c r="F575" s="48">
        <f t="shared" si="16"/>
        <v>0</v>
      </c>
    </row>
    <row r="576" spans="1:6" ht="14.4" x14ac:dyDescent="0.3">
      <c r="A576" s="324"/>
      <c r="B576" s="324" t="s">
        <v>630</v>
      </c>
      <c r="C576" s="328" t="s">
        <v>115</v>
      </c>
      <c r="E576" s="326">
        <v>0</v>
      </c>
      <c r="F576" s="48">
        <f t="shared" si="16"/>
        <v>0</v>
      </c>
    </row>
    <row r="577" spans="1:6" ht="14.4" x14ac:dyDescent="0.3">
      <c r="A577" s="324"/>
      <c r="B577" s="324" t="s">
        <v>631</v>
      </c>
      <c r="C577" s="328" t="s">
        <v>115</v>
      </c>
      <c r="E577" s="326">
        <v>0</v>
      </c>
      <c r="F577" s="48">
        <f t="shared" si="16"/>
        <v>0</v>
      </c>
    </row>
    <row r="578" spans="1:6" ht="14.4" x14ac:dyDescent="0.3">
      <c r="A578" s="324"/>
      <c r="B578" s="324" t="s">
        <v>632</v>
      </c>
      <c r="C578" s="328" t="s">
        <v>115</v>
      </c>
      <c r="E578" s="326">
        <v>0</v>
      </c>
      <c r="F578" s="48">
        <f t="shared" si="16"/>
        <v>0</v>
      </c>
    </row>
    <row r="579" spans="1:6" ht="14.4" x14ac:dyDescent="0.3">
      <c r="A579" s="324"/>
      <c r="B579" s="324" t="s">
        <v>633</v>
      </c>
      <c r="C579" s="328" t="s">
        <v>115</v>
      </c>
      <c r="E579" s="326">
        <v>0</v>
      </c>
      <c r="F579" s="48">
        <f t="shared" si="16"/>
        <v>0</v>
      </c>
    </row>
    <row r="580" spans="1:6" ht="14.4" x14ac:dyDescent="0.3">
      <c r="A580" s="324"/>
      <c r="B580" s="324" t="s">
        <v>634</v>
      </c>
      <c r="C580" s="328" t="s">
        <v>115</v>
      </c>
      <c r="E580" s="326">
        <v>0</v>
      </c>
      <c r="F580" s="48">
        <f t="shared" si="16"/>
        <v>0</v>
      </c>
    </row>
    <row r="581" spans="1:6" ht="14.4" x14ac:dyDescent="0.3">
      <c r="A581" s="324"/>
      <c r="B581" s="324" t="s">
        <v>635</v>
      </c>
      <c r="C581" s="328" t="s">
        <v>115</v>
      </c>
      <c r="E581" s="326">
        <v>0</v>
      </c>
      <c r="F581" s="48">
        <f t="shared" si="16"/>
        <v>0</v>
      </c>
    </row>
    <row r="582" spans="1:6" ht="14.4" x14ac:dyDescent="0.3">
      <c r="A582" s="324"/>
      <c r="B582" s="324" t="s">
        <v>636</v>
      </c>
      <c r="C582" s="328" t="s">
        <v>115</v>
      </c>
      <c r="E582" s="326">
        <v>0</v>
      </c>
      <c r="F582" s="48">
        <f t="shared" si="16"/>
        <v>0</v>
      </c>
    </row>
    <row r="583" spans="1:6" ht="14.4" x14ac:dyDescent="0.3">
      <c r="A583" s="324"/>
      <c r="B583" s="324" t="s">
        <v>637</v>
      </c>
      <c r="C583" s="328" t="s">
        <v>115</v>
      </c>
      <c r="E583" s="326">
        <v>0</v>
      </c>
      <c r="F583" s="48">
        <f t="shared" si="16"/>
        <v>0</v>
      </c>
    </row>
    <row r="584" spans="1:6" ht="14.4" x14ac:dyDescent="0.3">
      <c r="A584" s="324"/>
      <c r="B584" s="324" t="s">
        <v>638</v>
      </c>
      <c r="C584" s="328" t="s">
        <v>115</v>
      </c>
      <c r="E584" s="326">
        <v>0</v>
      </c>
      <c r="F584" s="48">
        <f t="shared" si="16"/>
        <v>0</v>
      </c>
    </row>
    <row r="585" spans="1:6" ht="14.4" x14ac:dyDescent="0.3">
      <c r="A585" s="324"/>
      <c r="B585" s="324" t="s">
        <v>639</v>
      </c>
      <c r="C585" s="328" t="s">
        <v>115</v>
      </c>
      <c r="E585" s="326">
        <v>0</v>
      </c>
      <c r="F585" s="48">
        <f t="shared" si="16"/>
        <v>0</v>
      </c>
    </row>
    <row r="586" spans="1:6" ht="14.4" x14ac:dyDescent="0.3">
      <c r="A586" s="324"/>
      <c r="B586" s="324" t="s">
        <v>640</v>
      </c>
      <c r="C586" s="328" t="s">
        <v>115</v>
      </c>
      <c r="E586" s="326">
        <v>0</v>
      </c>
      <c r="F586" s="48">
        <f t="shared" si="16"/>
        <v>0</v>
      </c>
    </row>
    <row r="587" spans="1:6" ht="14.4" x14ac:dyDescent="0.3">
      <c r="A587" s="324"/>
      <c r="B587" s="324" t="s">
        <v>641</v>
      </c>
      <c r="C587" s="328" t="s">
        <v>115</v>
      </c>
      <c r="E587" s="326">
        <v>0</v>
      </c>
      <c r="F587" s="48">
        <f t="shared" si="16"/>
        <v>0</v>
      </c>
    </row>
    <row r="588" spans="1:6" ht="14.4" x14ac:dyDescent="0.3">
      <c r="A588" s="324"/>
      <c r="B588" s="324" t="s">
        <v>642</v>
      </c>
      <c r="C588" s="328" t="s">
        <v>115</v>
      </c>
      <c r="E588" s="326">
        <v>0</v>
      </c>
      <c r="F588" s="48">
        <f t="shared" si="16"/>
        <v>0</v>
      </c>
    </row>
    <row r="589" spans="1:6" ht="14.4" x14ac:dyDescent="0.3">
      <c r="A589" s="324"/>
      <c r="B589" s="324" t="s">
        <v>643</v>
      </c>
      <c r="C589" s="328" t="s">
        <v>115</v>
      </c>
      <c r="E589" s="326">
        <v>0</v>
      </c>
      <c r="F589" s="48">
        <f t="shared" si="16"/>
        <v>0</v>
      </c>
    </row>
    <row r="590" spans="1:6" ht="14.4" x14ac:dyDescent="0.3">
      <c r="A590" s="324"/>
      <c r="B590" s="324" t="s">
        <v>644</v>
      </c>
      <c r="C590" s="328" t="s">
        <v>115</v>
      </c>
      <c r="E590" s="326">
        <v>0</v>
      </c>
      <c r="F590" s="48">
        <f t="shared" si="16"/>
        <v>0</v>
      </c>
    </row>
    <row r="591" spans="1:6" ht="14.4" x14ac:dyDescent="0.3">
      <c r="A591" s="324"/>
      <c r="B591" s="324" t="s">
        <v>645</v>
      </c>
      <c r="C591" s="328" t="s">
        <v>115</v>
      </c>
      <c r="E591" s="326">
        <v>0</v>
      </c>
      <c r="F591" s="48">
        <f t="shared" si="16"/>
        <v>0</v>
      </c>
    </row>
    <row r="592" spans="1:6" ht="14.4" x14ac:dyDescent="0.3">
      <c r="A592" s="324"/>
      <c r="B592" s="324" t="s">
        <v>646</v>
      </c>
      <c r="C592" s="328" t="s">
        <v>115</v>
      </c>
      <c r="E592" s="326">
        <v>0</v>
      </c>
      <c r="F592" s="48">
        <f t="shared" si="16"/>
        <v>0</v>
      </c>
    </row>
    <row r="593" spans="1:6" ht="14.4" x14ac:dyDescent="0.3">
      <c r="A593" s="324"/>
      <c r="B593" s="324" t="s">
        <v>647</v>
      </c>
      <c r="C593" s="328" t="s">
        <v>115</v>
      </c>
      <c r="E593" s="326">
        <v>0</v>
      </c>
      <c r="F593" s="48">
        <f t="shared" si="16"/>
        <v>0</v>
      </c>
    </row>
    <row r="594" spans="1:6" ht="14.4" x14ac:dyDescent="0.3">
      <c r="A594" s="324"/>
      <c r="B594" s="324" t="s">
        <v>648</v>
      </c>
      <c r="C594" s="328" t="s">
        <v>115</v>
      </c>
      <c r="E594" s="326">
        <v>0</v>
      </c>
      <c r="F594" s="48">
        <f t="shared" si="16"/>
        <v>0</v>
      </c>
    </row>
    <row r="595" spans="1:6" ht="14.4" x14ac:dyDescent="0.3">
      <c r="A595" s="324"/>
      <c r="B595" s="324" t="s">
        <v>649</v>
      </c>
      <c r="C595" s="328" t="s">
        <v>115</v>
      </c>
      <c r="E595" s="326">
        <v>0</v>
      </c>
      <c r="F595" s="48">
        <f t="shared" si="16"/>
        <v>0</v>
      </c>
    </row>
    <row r="596" spans="1:6" ht="14.4" x14ac:dyDescent="0.3">
      <c r="A596" s="324"/>
      <c r="B596" s="324" t="s">
        <v>650</v>
      </c>
      <c r="C596" s="328" t="s">
        <v>115</v>
      </c>
      <c r="E596" s="326">
        <v>0</v>
      </c>
      <c r="F596" s="48">
        <f t="shared" si="16"/>
        <v>0</v>
      </c>
    </row>
    <row r="597" spans="1:6" ht="14.4" x14ac:dyDescent="0.3">
      <c r="A597" s="324"/>
      <c r="B597" s="324" t="s">
        <v>651</v>
      </c>
      <c r="C597" s="328" t="s">
        <v>115</v>
      </c>
      <c r="E597" s="326">
        <v>5.61</v>
      </c>
      <c r="F597" s="48">
        <f t="shared" si="16"/>
        <v>0</v>
      </c>
    </row>
    <row r="598" spans="1:6" ht="14.4" x14ac:dyDescent="0.3">
      <c r="A598" s="324"/>
      <c r="B598" s="324" t="s">
        <v>652</v>
      </c>
      <c r="C598" s="328" t="s">
        <v>115</v>
      </c>
      <c r="E598" s="326">
        <v>0</v>
      </c>
      <c r="F598" s="48">
        <f t="shared" si="16"/>
        <v>0</v>
      </c>
    </row>
    <row r="599" spans="1:6" ht="14.4" x14ac:dyDescent="0.3">
      <c r="A599" s="324"/>
      <c r="B599" s="324" t="s">
        <v>653</v>
      </c>
      <c r="C599" s="328" t="s">
        <v>115</v>
      </c>
      <c r="E599" s="326">
        <v>0</v>
      </c>
      <c r="F599" s="48">
        <f t="shared" si="16"/>
        <v>0</v>
      </c>
    </row>
    <row r="600" spans="1:6" ht="14.4" x14ac:dyDescent="0.3">
      <c r="A600" s="324"/>
      <c r="B600" s="324" t="s">
        <v>654</v>
      </c>
      <c r="C600" s="328" t="s">
        <v>115</v>
      </c>
      <c r="E600" s="326">
        <v>0</v>
      </c>
      <c r="F600" s="48">
        <f t="shared" si="16"/>
        <v>0</v>
      </c>
    </row>
    <row r="601" spans="1:6" ht="14.4" x14ac:dyDescent="0.3">
      <c r="A601" s="324"/>
      <c r="B601" s="324" t="s">
        <v>655</v>
      </c>
      <c r="C601" s="328" t="s">
        <v>115</v>
      </c>
      <c r="E601" s="326">
        <v>0</v>
      </c>
      <c r="F601" s="48">
        <f t="shared" si="16"/>
        <v>0</v>
      </c>
    </row>
    <row r="602" spans="1:6" ht="14.4" x14ac:dyDescent="0.3">
      <c r="A602" s="324"/>
      <c r="B602" s="324" t="s">
        <v>656</v>
      </c>
      <c r="C602" s="328" t="s">
        <v>115</v>
      </c>
      <c r="E602" s="326">
        <v>0</v>
      </c>
      <c r="F602" s="48">
        <f t="shared" si="16"/>
        <v>0</v>
      </c>
    </row>
    <row r="603" spans="1:6" ht="14.4" x14ac:dyDescent="0.3">
      <c r="A603" s="324"/>
      <c r="B603" s="324" t="s">
        <v>657</v>
      </c>
      <c r="C603" s="328" t="s">
        <v>115</v>
      </c>
      <c r="E603" s="326">
        <v>0</v>
      </c>
      <c r="F603" s="48">
        <f t="shared" si="16"/>
        <v>0</v>
      </c>
    </row>
    <row r="604" spans="1:6" ht="14.4" x14ac:dyDescent="0.3">
      <c r="A604" s="324"/>
      <c r="B604" s="324" t="s">
        <v>658</v>
      </c>
      <c r="C604" s="328" t="s">
        <v>115</v>
      </c>
      <c r="E604" s="326">
        <v>0</v>
      </c>
      <c r="F604" s="48">
        <f t="shared" si="16"/>
        <v>0</v>
      </c>
    </row>
    <row r="605" spans="1:6" ht="14.4" x14ac:dyDescent="0.3">
      <c r="A605" s="324"/>
      <c r="B605" s="324" t="s">
        <v>659</v>
      </c>
      <c r="C605" s="328" t="s">
        <v>115</v>
      </c>
      <c r="E605" s="326">
        <v>0</v>
      </c>
      <c r="F605" s="48">
        <f t="shared" si="16"/>
        <v>0</v>
      </c>
    </row>
    <row r="606" spans="1:6" ht="14.4" x14ac:dyDescent="0.3">
      <c r="A606" s="324"/>
      <c r="B606" s="324" t="s">
        <v>660</v>
      </c>
      <c r="C606" s="328" t="s">
        <v>115</v>
      </c>
      <c r="E606" s="326">
        <v>0</v>
      </c>
      <c r="F606" s="48">
        <f t="shared" si="16"/>
        <v>0</v>
      </c>
    </row>
    <row r="607" spans="1:6" ht="14.4" x14ac:dyDescent="0.3">
      <c r="A607" s="324"/>
      <c r="B607" s="324" t="s">
        <v>661</v>
      </c>
      <c r="C607" s="328" t="s">
        <v>115</v>
      </c>
      <c r="E607" s="326">
        <v>0</v>
      </c>
      <c r="F607" s="48">
        <f t="shared" si="16"/>
        <v>0</v>
      </c>
    </row>
    <row r="608" spans="1:6" ht="14.4" x14ac:dyDescent="0.3">
      <c r="A608" s="324"/>
      <c r="B608" s="324" t="s">
        <v>662</v>
      </c>
      <c r="C608" s="328" t="s">
        <v>115</v>
      </c>
      <c r="E608" s="326">
        <v>0</v>
      </c>
      <c r="F608" s="48">
        <f t="shared" si="16"/>
        <v>0</v>
      </c>
    </row>
    <row r="609" spans="1:6" ht="14.4" x14ac:dyDescent="0.3">
      <c r="A609" s="324"/>
      <c r="B609" s="324" t="s">
        <v>663</v>
      </c>
      <c r="C609" s="328" t="s">
        <v>115</v>
      </c>
      <c r="E609" s="326">
        <v>0</v>
      </c>
      <c r="F609" s="48">
        <f t="shared" si="16"/>
        <v>0</v>
      </c>
    </row>
    <row r="610" spans="1:6" ht="14.4" x14ac:dyDescent="0.3">
      <c r="A610" s="324"/>
      <c r="B610" s="324" t="s">
        <v>664</v>
      </c>
      <c r="C610" s="328" t="s">
        <v>115</v>
      </c>
      <c r="E610" s="326">
        <v>0</v>
      </c>
      <c r="F610" s="48">
        <f t="shared" si="16"/>
        <v>0</v>
      </c>
    </row>
    <row r="611" spans="1:6" ht="14.4" x14ac:dyDescent="0.3">
      <c r="A611" s="324"/>
      <c r="B611" s="324" t="s">
        <v>665</v>
      </c>
      <c r="C611" s="328" t="s">
        <v>115</v>
      </c>
      <c r="E611" s="326">
        <v>0</v>
      </c>
      <c r="F611" s="48">
        <f t="shared" si="16"/>
        <v>0</v>
      </c>
    </row>
    <row r="612" spans="1:6" ht="14.4" x14ac:dyDescent="0.3">
      <c r="A612" s="324"/>
      <c r="B612" s="324" t="s">
        <v>666</v>
      </c>
      <c r="C612" s="328" t="s">
        <v>115</v>
      </c>
      <c r="E612" s="326">
        <v>0</v>
      </c>
      <c r="F612" s="48">
        <f t="shared" si="16"/>
        <v>0</v>
      </c>
    </row>
    <row r="613" spans="1:6" ht="14.4" x14ac:dyDescent="0.3">
      <c r="A613" s="324"/>
      <c r="B613" s="324" t="s">
        <v>667</v>
      </c>
      <c r="C613" s="328" t="s">
        <v>115</v>
      </c>
      <c r="E613" s="326">
        <v>0</v>
      </c>
      <c r="F613" s="48">
        <f t="shared" si="16"/>
        <v>0</v>
      </c>
    </row>
    <row r="614" spans="1:6" ht="14.4" x14ac:dyDescent="0.3">
      <c r="A614" s="324"/>
      <c r="B614" s="324" t="s">
        <v>668</v>
      </c>
      <c r="C614" s="328" t="s">
        <v>115</v>
      </c>
      <c r="E614" s="326">
        <v>0</v>
      </c>
      <c r="F614" s="48">
        <f t="shared" si="16"/>
        <v>0</v>
      </c>
    </row>
    <row r="615" spans="1:6" ht="14.4" x14ac:dyDescent="0.3">
      <c r="A615" s="324"/>
      <c r="B615" s="324" t="s">
        <v>669</v>
      </c>
      <c r="C615" s="328" t="s">
        <v>115</v>
      </c>
      <c r="E615" s="326">
        <v>0</v>
      </c>
      <c r="F615" s="48">
        <f t="shared" si="16"/>
        <v>0</v>
      </c>
    </row>
    <row r="616" spans="1:6" ht="14.4" x14ac:dyDescent="0.3">
      <c r="A616" s="324"/>
      <c r="B616" s="324" t="s">
        <v>670</v>
      </c>
      <c r="C616" s="328" t="s">
        <v>115</v>
      </c>
      <c r="E616" s="326">
        <v>0</v>
      </c>
      <c r="F616" s="48">
        <f t="shared" si="16"/>
        <v>0</v>
      </c>
    </row>
    <row r="617" spans="1:6" ht="14.4" x14ac:dyDescent="0.3">
      <c r="A617" s="324"/>
      <c r="B617" s="324" t="s">
        <v>671</v>
      </c>
      <c r="C617" s="328" t="s">
        <v>115</v>
      </c>
      <c r="E617" s="326">
        <v>0</v>
      </c>
      <c r="F617" s="48">
        <f t="shared" si="16"/>
        <v>0</v>
      </c>
    </row>
    <row r="618" spans="1:6" ht="14.4" x14ac:dyDescent="0.3">
      <c r="A618" s="324"/>
      <c r="B618" s="324" t="s">
        <v>672</v>
      </c>
      <c r="C618" s="328" t="s">
        <v>115</v>
      </c>
      <c r="E618" s="326">
        <v>0</v>
      </c>
      <c r="F618" s="48">
        <f t="shared" si="16"/>
        <v>0</v>
      </c>
    </row>
    <row r="619" spans="1:6" ht="14.4" x14ac:dyDescent="0.3">
      <c r="A619" s="324"/>
      <c r="B619" s="324" t="s">
        <v>673</v>
      </c>
      <c r="C619" s="328" t="s">
        <v>115</v>
      </c>
      <c r="E619" s="326">
        <v>0</v>
      </c>
      <c r="F619" s="48">
        <f t="shared" si="16"/>
        <v>0</v>
      </c>
    </row>
    <row r="620" spans="1:6" ht="14.4" x14ac:dyDescent="0.3">
      <c r="A620" s="324"/>
      <c r="B620" s="324" t="s">
        <v>674</v>
      </c>
      <c r="C620" s="328" t="s">
        <v>115</v>
      </c>
      <c r="E620" s="326">
        <v>0</v>
      </c>
      <c r="F620" s="48">
        <f t="shared" si="16"/>
        <v>0</v>
      </c>
    </row>
    <row r="621" spans="1:6" ht="14.4" x14ac:dyDescent="0.3">
      <c r="A621" s="324"/>
      <c r="B621" s="324" t="s">
        <v>675</v>
      </c>
      <c r="C621" s="328" t="s">
        <v>115</v>
      </c>
      <c r="E621" s="326">
        <v>0</v>
      </c>
      <c r="F621" s="48">
        <f t="shared" si="16"/>
        <v>0</v>
      </c>
    </row>
    <row r="622" spans="1:6" ht="14.4" x14ac:dyDescent="0.3">
      <c r="A622" s="324"/>
      <c r="B622" s="324" t="s">
        <v>676</v>
      </c>
      <c r="C622" s="328" t="s">
        <v>115</v>
      </c>
      <c r="E622" s="326">
        <v>0</v>
      </c>
      <c r="F622" s="48">
        <f t="shared" si="16"/>
        <v>0</v>
      </c>
    </row>
    <row r="623" spans="1:6" ht="14.4" x14ac:dyDescent="0.3">
      <c r="A623" s="324"/>
      <c r="B623" s="324" t="s">
        <v>677</v>
      </c>
      <c r="C623" s="328" t="s">
        <v>115</v>
      </c>
      <c r="E623" s="326">
        <v>26.25</v>
      </c>
      <c r="F623" s="48">
        <f t="shared" si="16"/>
        <v>0</v>
      </c>
    </row>
    <row r="624" spans="1:6" ht="14.4" x14ac:dyDescent="0.3">
      <c r="A624" s="324"/>
      <c r="B624" s="324" t="s">
        <v>678</v>
      </c>
      <c r="C624" s="328" t="s">
        <v>115</v>
      </c>
      <c r="E624" s="326">
        <v>0</v>
      </c>
      <c r="F624" s="48">
        <f t="shared" si="16"/>
        <v>0</v>
      </c>
    </row>
    <row r="625" spans="1:6" ht="14.4" x14ac:dyDescent="0.3">
      <c r="A625" s="324"/>
      <c r="B625" s="324" t="s">
        <v>679</v>
      </c>
      <c r="C625" s="328" t="s">
        <v>115</v>
      </c>
      <c r="E625" s="326">
        <v>0</v>
      </c>
      <c r="F625" s="48">
        <f t="shared" si="16"/>
        <v>0</v>
      </c>
    </row>
    <row r="626" spans="1:6" ht="14.4" x14ac:dyDescent="0.3">
      <c r="A626" s="324"/>
      <c r="B626" s="324" t="s">
        <v>680</v>
      </c>
      <c r="C626" s="328" t="s">
        <v>115</v>
      </c>
      <c r="E626" s="326">
        <v>0</v>
      </c>
      <c r="F626" s="48">
        <f t="shared" si="16"/>
        <v>0</v>
      </c>
    </row>
    <row r="627" spans="1:6" ht="14.4" x14ac:dyDescent="0.3">
      <c r="A627" s="324"/>
      <c r="B627" s="324" t="s">
        <v>681</v>
      </c>
      <c r="C627" s="328" t="s">
        <v>115</v>
      </c>
      <c r="E627" s="326">
        <v>0</v>
      </c>
      <c r="F627" s="48">
        <f t="shared" ref="F627:F690" si="17">E627*D627</f>
        <v>0</v>
      </c>
    </row>
    <row r="628" spans="1:6" ht="14.4" x14ac:dyDescent="0.3">
      <c r="A628" s="324"/>
      <c r="B628" s="324" t="s">
        <v>682</v>
      </c>
      <c r="C628" s="328" t="s">
        <v>115</v>
      </c>
      <c r="E628" s="326">
        <v>0</v>
      </c>
      <c r="F628" s="48">
        <f t="shared" si="17"/>
        <v>0</v>
      </c>
    </row>
    <row r="629" spans="1:6" ht="14.4" x14ac:dyDescent="0.3">
      <c r="A629" s="324"/>
      <c r="B629" s="324" t="s">
        <v>683</v>
      </c>
      <c r="C629" s="328" t="s">
        <v>115</v>
      </c>
      <c r="E629" s="326">
        <v>0</v>
      </c>
      <c r="F629" s="48">
        <f t="shared" si="17"/>
        <v>0</v>
      </c>
    </row>
    <row r="630" spans="1:6" ht="14.4" x14ac:dyDescent="0.3">
      <c r="A630" s="324"/>
      <c r="B630" s="324" t="s">
        <v>684</v>
      </c>
      <c r="C630" s="328" t="s">
        <v>115</v>
      </c>
      <c r="E630" s="326">
        <v>0</v>
      </c>
      <c r="F630" s="48">
        <f t="shared" si="17"/>
        <v>0</v>
      </c>
    </row>
    <row r="631" spans="1:6" ht="14.4" x14ac:dyDescent="0.3">
      <c r="A631" s="324"/>
      <c r="B631" s="324" t="s">
        <v>685</v>
      </c>
      <c r="C631" s="328" t="s">
        <v>115</v>
      </c>
      <c r="E631" s="326">
        <v>0</v>
      </c>
      <c r="F631" s="48">
        <f t="shared" si="17"/>
        <v>0</v>
      </c>
    </row>
    <row r="632" spans="1:6" ht="14.4" x14ac:dyDescent="0.3">
      <c r="A632" s="324"/>
      <c r="B632" s="324" t="s">
        <v>686</v>
      </c>
      <c r="C632" s="328" t="s">
        <v>115</v>
      </c>
      <c r="E632" s="326">
        <v>0</v>
      </c>
      <c r="F632" s="48">
        <f t="shared" si="17"/>
        <v>0</v>
      </c>
    </row>
    <row r="633" spans="1:6" ht="14.4" x14ac:dyDescent="0.3">
      <c r="A633" s="324"/>
      <c r="B633" s="324" t="s">
        <v>687</v>
      </c>
      <c r="C633" s="328" t="s">
        <v>115</v>
      </c>
      <c r="E633" s="326">
        <v>0</v>
      </c>
      <c r="F633" s="48">
        <f t="shared" si="17"/>
        <v>0</v>
      </c>
    </row>
    <row r="634" spans="1:6" ht="14.4" x14ac:dyDescent="0.3">
      <c r="A634" s="324"/>
      <c r="B634" s="324" t="s">
        <v>688</v>
      </c>
      <c r="C634" s="328" t="s">
        <v>115</v>
      </c>
      <c r="E634" s="326">
        <v>0</v>
      </c>
      <c r="F634" s="48">
        <f t="shared" si="17"/>
        <v>0</v>
      </c>
    </row>
    <row r="635" spans="1:6" ht="14.4" x14ac:dyDescent="0.3">
      <c r="A635" s="324"/>
      <c r="B635" s="324" t="s">
        <v>689</v>
      </c>
      <c r="C635" s="328" t="s">
        <v>115</v>
      </c>
      <c r="E635" s="326">
        <v>0</v>
      </c>
      <c r="F635" s="48">
        <f t="shared" si="17"/>
        <v>0</v>
      </c>
    </row>
    <row r="636" spans="1:6" ht="14.4" x14ac:dyDescent="0.3">
      <c r="A636" s="324"/>
      <c r="B636" s="324" t="s">
        <v>690</v>
      </c>
      <c r="C636" s="328" t="s">
        <v>115</v>
      </c>
      <c r="E636" s="326">
        <v>0</v>
      </c>
      <c r="F636" s="48">
        <f t="shared" si="17"/>
        <v>0</v>
      </c>
    </row>
    <row r="637" spans="1:6" ht="14.4" x14ac:dyDescent="0.3">
      <c r="A637" s="324"/>
      <c r="B637" s="324" t="s">
        <v>691</v>
      </c>
      <c r="C637" s="328" t="s">
        <v>115</v>
      </c>
      <c r="E637" s="326">
        <v>0</v>
      </c>
      <c r="F637" s="48">
        <f t="shared" si="17"/>
        <v>0</v>
      </c>
    </row>
    <row r="638" spans="1:6" ht="14.4" x14ac:dyDescent="0.3">
      <c r="A638" s="324"/>
      <c r="B638" s="324" t="s">
        <v>692</v>
      </c>
      <c r="C638" s="328" t="s">
        <v>115</v>
      </c>
      <c r="E638" s="326">
        <v>0</v>
      </c>
      <c r="F638" s="48">
        <f t="shared" si="17"/>
        <v>0</v>
      </c>
    </row>
    <row r="639" spans="1:6" ht="14.4" x14ac:dyDescent="0.3">
      <c r="A639" s="324"/>
      <c r="B639" s="324" t="s">
        <v>693</v>
      </c>
      <c r="C639" s="328" t="s">
        <v>115</v>
      </c>
      <c r="E639" s="326">
        <v>0</v>
      </c>
      <c r="F639" s="48">
        <f t="shared" si="17"/>
        <v>0</v>
      </c>
    </row>
    <row r="640" spans="1:6" ht="14.4" x14ac:dyDescent="0.3">
      <c r="A640" s="324"/>
      <c r="B640" s="324" t="s">
        <v>694</v>
      </c>
      <c r="C640" s="328" t="s">
        <v>115</v>
      </c>
      <c r="E640" s="326">
        <v>0</v>
      </c>
      <c r="F640" s="48">
        <f t="shared" si="17"/>
        <v>0</v>
      </c>
    </row>
    <row r="641" spans="1:6" ht="14.4" x14ac:dyDescent="0.3">
      <c r="A641" s="324"/>
      <c r="B641" s="324" t="s">
        <v>695</v>
      </c>
      <c r="C641" s="328" t="s">
        <v>115</v>
      </c>
      <c r="E641" s="326">
        <v>0</v>
      </c>
      <c r="F641" s="48">
        <f t="shared" si="17"/>
        <v>0</v>
      </c>
    </row>
    <row r="642" spans="1:6" ht="14.4" x14ac:dyDescent="0.3">
      <c r="A642" s="324"/>
      <c r="B642" s="324" t="s">
        <v>696</v>
      </c>
      <c r="C642" s="328" t="s">
        <v>115</v>
      </c>
      <c r="E642" s="326">
        <v>0</v>
      </c>
      <c r="F642" s="48">
        <f t="shared" si="17"/>
        <v>0</v>
      </c>
    </row>
    <row r="643" spans="1:6" ht="14.4" x14ac:dyDescent="0.3">
      <c r="A643" s="324"/>
      <c r="B643" s="324" t="s">
        <v>697</v>
      </c>
      <c r="C643" s="328" t="s">
        <v>115</v>
      </c>
      <c r="E643" s="326">
        <v>0</v>
      </c>
      <c r="F643" s="48">
        <f t="shared" si="17"/>
        <v>0</v>
      </c>
    </row>
    <row r="644" spans="1:6" ht="14.4" x14ac:dyDescent="0.3">
      <c r="A644" s="324"/>
      <c r="B644" s="324" t="s">
        <v>698</v>
      </c>
      <c r="C644" s="328" t="s">
        <v>115</v>
      </c>
      <c r="E644" s="326">
        <v>0</v>
      </c>
      <c r="F644" s="48">
        <f t="shared" si="17"/>
        <v>0</v>
      </c>
    </row>
    <row r="645" spans="1:6" ht="14.4" x14ac:dyDescent="0.3">
      <c r="A645" s="324"/>
      <c r="B645" s="324" t="s">
        <v>699</v>
      </c>
      <c r="C645" s="328" t="s">
        <v>115</v>
      </c>
      <c r="E645" s="326">
        <v>0</v>
      </c>
      <c r="F645" s="48">
        <f t="shared" si="17"/>
        <v>0</v>
      </c>
    </row>
    <row r="646" spans="1:6" ht="14.4" x14ac:dyDescent="0.3">
      <c r="A646" s="324"/>
      <c r="B646" s="324" t="s">
        <v>700</v>
      </c>
      <c r="C646" s="328" t="s">
        <v>115</v>
      </c>
      <c r="E646" s="326">
        <v>0</v>
      </c>
      <c r="F646" s="48">
        <f t="shared" si="17"/>
        <v>0</v>
      </c>
    </row>
    <row r="647" spans="1:6" ht="14.4" x14ac:dyDescent="0.3">
      <c r="A647" s="324"/>
      <c r="B647" s="324" t="s">
        <v>701</v>
      </c>
      <c r="C647" s="328" t="s">
        <v>115</v>
      </c>
      <c r="E647" s="326">
        <v>0</v>
      </c>
      <c r="F647" s="48">
        <f t="shared" si="17"/>
        <v>0</v>
      </c>
    </row>
    <row r="648" spans="1:6" ht="14.4" x14ac:dyDescent="0.3">
      <c r="A648" s="324"/>
      <c r="B648" s="324" t="s">
        <v>702</v>
      </c>
      <c r="C648" s="328" t="s">
        <v>115</v>
      </c>
      <c r="E648" s="326">
        <v>0</v>
      </c>
      <c r="F648" s="48">
        <f t="shared" si="17"/>
        <v>0</v>
      </c>
    </row>
    <row r="649" spans="1:6" ht="14.4" x14ac:dyDescent="0.3">
      <c r="A649" s="324"/>
      <c r="B649" s="324" t="s">
        <v>703</v>
      </c>
      <c r="C649" s="328" t="s">
        <v>115</v>
      </c>
      <c r="E649" s="326">
        <v>0</v>
      </c>
      <c r="F649" s="48">
        <f t="shared" si="17"/>
        <v>0</v>
      </c>
    </row>
    <row r="650" spans="1:6" ht="14.4" x14ac:dyDescent="0.3">
      <c r="A650" s="324"/>
      <c r="B650" s="324"/>
      <c r="C650" s="328" t="s">
        <v>115</v>
      </c>
      <c r="E650" s="326">
        <v>0</v>
      </c>
      <c r="F650" s="48">
        <f t="shared" si="17"/>
        <v>0</v>
      </c>
    </row>
    <row r="651" spans="1:6" ht="14.4" x14ac:dyDescent="0.3">
      <c r="A651" s="324"/>
      <c r="B651" s="324" t="s">
        <v>704</v>
      </c>
      <c r="C651" s="328"/>
      <c r="E651" s="326">
        <v>0</v>
      </c>
      <c r="F651" s="48">
        <f t="shared" si="17"/>
        <v>0</v>
      </c>
    </row>
    <row r="652" spans="1:6" ht="14.4" x14ac:dyDescent="0.3">
      <c r="A652" s="324"/>
      <c r="B652" s="324" t="s">
        <v>705</v>
      </c>
      <c r="C652" s="328" t="s">
        <v>149</v>
      </c>
      <c r="E652" s="326">
        <v>0</v>
      </c>
      <c r="F652" s="48">
        <f t="shared" si="17"/>
        <v>0</v>
      </c>
    </row>
    <row r="653" spans="1:6" ht="14.4" x14ac:dyDescent="0.3">
      <c r="A653" s="324"/>
      <c r="B653" s="324" t="s">
        <v>706</v>
      </c>
      <c r="C653" s="328" t="s">
        <v>149</v>
      </c>
      <c r="E653" s="326">
        <v>0</v>
      </c>
      <c r="F653" s="48">
        <f t="shared" si="17"/>
        <v>0</v>
      </c>
    </row>
    <row r="654" spans="1:6" ht="14.4" x14ac:dyDescent="0.3">
      <c r="A654" s="324"/>
      <c r="B654" s="324" t="s">
        <v>707</v>
      </c>
      <c r="C654" s="328" t="s">
        <v>149</v>
      </c>
      <c r="E654" s="326">
        <v>0</v>
      </c>
      <c r="F654" s="48">
        <f t="shared" si="17"/>
        <v>0</v>
      </c>
    </row>
    <row r="655" spans="1:6" ht="14.4" x14ac:dyDescent="0.3">
      <c r="A655" s="324"/>
      <c r="B655" s="324" t="s">
        <v>708</v>
      </c>
      <c r="C655" s="328" t="s">
        <v>115</v>
      </c>
      <c r="E655" s="326">
        <v>0</v>
      </c>
      <c r="F655" s="48">
        <f t="shared" si="17"/>
        <v>0</v>
      </c>
    </row>
    <row r="656" spans="1:6" ht="14.4" x14ac:dyDescent="0.3">
      <c r="A656" s="324"/>
      <c r="B656" s="324" t="s">
        <v>709</v>
      </c>
      <c r="C656" s="328" t="s">
        <v>115</v>
      </c>
      <c r="E656" s="326">
        <v>0</v>
      </c>
      <c r="F656" s="48">
        <f t="shared" si="17"/>
        <v>0</v>
      </c>
    </row>
    <row r="657" spans="1:6" ht="14.4" x14ac:dyDescent="0.3">
      <c r="A657" s="324"/>
      <c r="B657" s="324" t="s">
        <v>710</v>
      </c>
      <c r="C657" s="328" t="s">
        <v>115</v>
      </c>
      <c r="E657" s="326">
        <v>0</v>
      </c>
      <c r="F657" s="48">
        <f t="shared" si="17"/>
        <v>0</v>
      </c>
    </row>
    <row r="658" spans="1:6" ht="14.4" x14ac:dyDescent="0.3">
      <c r="A658" s="324"/>
      <c r="B658" s="324" t="s">
        <v>711</v>
      </c>
      <c r="C658" s="328" t="s">
        <v>115</v>
      </c>
      <c r="E658" s="326">
        <v>0</v>
      </c>
      <c r="F658" s="48">
        <f t="shared" si="17"/>
        <v>0</v>
      </c>
    </row>
    <row r="659" spans="1:6" ht="14.4" x14ac:dyDescent="0.3">
      <c r="A659" s="324"/>
      <c r="B659" s="324" t="s">
        <v>712</v>
      </c>
      <c r="C659" s="328" t="s">
        <v>115</v>
      </c>
      <c r="E659" s="326">
        <v>0</v>
      </c>
      <c r="F659" s="48">
        <f t="shared" si="17"/>
        <v>0</v>
      </c>
    </row>
    <row r="660" spans="1:6" ht="14.4" x14ac:dyDescent="0.3">
      <c r="A660" s="324"/>
      <c r="B660" s="324" t="s">
        <v>713</v>
      </c>
      <c r="C660" s="328" t="s">
        <v>115</v>
      </c>
      <c r="E660" s="326">
        <v>0</v>
      </c>
      <c r="F660" s="48">
        <f t="shared" si="17"/>
        <v>0</v>
      </c>
    </row>
    <row r="661" spans="1:6" ht="14.4" x14ac:dyDescent="0.3">
      <c r="A661" s="324"/>
      <c r="B661" s="324" t="s">
        <v>714</v>
      </c>
      <c r="C661" s="328" t="s">
        <v>115</v>
      </c>
      <c r="E661" s="326">
        <v>0</v>
      </c>
      <c r="F661" s="48">
        <f t="shared" si="17"/>
        <v>0</v>
      </c>
    </row>
    <row r="662" spans="1:6" ht="14.4" x14ac:dyDescent="0.3">
      <c r="A662" s="324"/>
      <c r="B662" s="324" t="s">
        <v>715</v>
      </c>
      <c r="C662" s="328" t="s">
        <v>115</v>
      </c>
      <c r="E662" s="326">
        <v>0</v>
      </c>
      <c r="F662" s="48">
        <f t="shared" si="17"/>
        <v>0</v>
      </c>
    </row>
    <row r="663" spans="1:6" ht="14.4" x14ac:dyDescent="0.3">
      <c r="A663" s="324"/>
      <c r="B663" s="324" t="s">
        <v>716</v>
      </c>
      <c r="C663" s="328" t="s">
        <v>115</v>
      </c>
      <c r="E663" s="326">
        <v>0</v>
      </c>
      <c r="F663" s="48">
        <f t="shared" si="17"/>
        <v>0</v>
      </c>
    </row>
    <row r="664" spans="1:6" ht="14.4" x14ac:dyDescent="0.3">
      <c r="A664" s="324"/>
      <c r="B664" s="324" t="s">
        <v>717</v>
      </c>
      <c r="C664" s="328" t="s">
        <v>115</v>
      </c>
      <c r="E664" s="326">
        <v>0</v>
      </c>
      <c r="F664" s="48">
        <f t="shared" si="17"/>
        <v>0</v>
      </c>
    </row>
    <row r="665" spans="1:6" ht="14.4" x14ac:dyDescent="0.3">
      <c r="A665" s="324"/>
      <c r="B665" s="324" t="s">
        <v>718</v>
      </c>
      <c r="C665" s="328" t="s">
        <v>115</v>
      </c>
      <c r="E665" s="326">
        <v>0</v>
      </c>
      <c r="F665" s="48">
        <f t="shared" si="17"/>
        <v>0</v>
      </c>
    </row>
    <row r="666" spans="1:6" ht="14.4" x14ac:dyDescent="0.3">
      <c r="A666" s="324"/>
      <c r="B666" s="324" t="s">
        <v>719</v>
      </c>
      <c r="C666" s="328" t="s">
        <v>115</v>
      </c>
      <c r="E666" s="326">
        <v>0</v>
      </c>
      <c r="F666" s="48">
        <f t="shared" si="17"/>
        <v>0</v>
      </c>
    </row>
    <row r="667" spans="1:6" ht="14.4" x14ac:dyDescent="0.3">
      <c r="A667" s="324"/>
      <c r="B667" s="324" t="s">
        <v>720</v>
      </c>
      <c r="C667" s="328" t="s">
        <v>115</v>
      </c>
      <c r="E667" s="326">
        <v>0</v>
      </c>
      <c r="F667" s="48">
        <f t="shared" si="17"/>
        <v>0</v>
      </c>
    </row>
    <row r="668" spans="1:6" ht="14.4" x14ac:dyDescent="0.3">
      <c r="A668" s="324"/>
      <c r="B668" s="324" t="s">
        <v>721</v>
      </c>
      <c r="C668" s="328" t="s">
        <v>115</v>
      </c>
      <c r="E668" s="326">
        <v>0</v>
      </c>
      <c r="F668" s="48">
        <f t="shared" si="17"/>
        <v>0</v>
      </c>
    </row>
    <row r="669" spans="1:6" ht="14.4" x14ac:dyDescent="0.3">
      <c r="A669" s="324"/>
      <c r="B669" s="324" t="s">
        <v>722</v>
      </c>
      <c r="C669" s="328" t="s">
        <v>115</v>
      </c>
      <c r="E669" s="326">
        <v>0</v>
      </c>
      <c r="F669" s="48">
        <f t="shared" si="17"/>
        <v>0</v>
      </c>
    </row>
    <row r="670" spans="1:6" ht="14.4" x14ac:dyDescent="0.3">
      <c r="A670" s="324"/>
      <c r="B670" s="324" t="s">
        <v>723</v>
      </c>
      <c r="C670" s="328" t="s">
        <v>115</v>
      </c>
      <c r="E670" s="326">
        <v>0</v>
      </c>
      <c r="F670" s="48">
        <f t="shared" si="17"/>
        <v>0</v>
      </c>
    </row>
    <row r="671" spans="1:6" ht="14.4" x14ac:dyDescent="0.3">
      <c r="A671" s="324"/>
      <c r="B671" s="324"/>
      <c r="C671" s="328" t="s">
        <v>115</v>
      </c>
      <c r="E671" s="326">
        <v>0</v>
      </c>
      <c r="F671" s="48">
        <f t="shared" si="17"/>
        <v>0</v>
      </c>
    </row>
    <row r="672" spans="1:6" ht="14.4" x14ac:dyDescent="0.3">
      <c r="A672"/>
      <c r="B672" s="330" t="s">
        <v>724</v>
      </c>
      <c r="C672" s="328" t="s">
        <v>115</v>
      </c>
      <c r="D672" s="40">
        <v>3</v>
      </c>
      <c r="E672" s="326">
        <v>56</v>
      </c>
      <c r="F672" s="48">
        <f t="shared" si="17"/>
        <v>168</v>
      </c>
    </row>
    <row r="673" spans="1:10" ht="14.4" x14ac:dyDescent="0.3">
      <c r="A673"/>
      <c r="B673" t="s">
        <v>725</v>
      </c>
      <c r="C673" s="303" t="s">
        <v>115</v>
      </c>
      <c r="E673" s="326">
        <v>202.94</v>
      </c>
      <c r="F673" s="48">
        <f t="shared" si="17"/>
        <v>0</v>
      </c>
    </row>
    <row r="674" spans="1:10" ht="14.4" x14ac:dyDescent="0.3">
      <c r="A674"/>
      <c r="B674" t="s">
        <v>726</v>
      </c>
      <c r="C674" s="303" t="s">
        <v>115</v>
      </c>
      <c r="E674" s="326">
        <v>92.67</v>
      </c>
      <c r="F674" s="48">
        <f t="shared" si="17"/>
        <v>0</v>
      </c>
    </row>
    <row r="675" spans="1:10" ht="14.4" x14ac:dyDescent="0.3">
      <c r="A675"/>
      <c r="B675" t="s">
        <v>727</v>
      </c>
      <c r="C675" s="303" t="s">
        <v>115</v>
      </c>
      <c r="E675" s="326">
        <v>24.71</v>
      </c>
      <c r="F675" s="48">
        <f t="shared" si="17"/>
        <v>0</v>
      </c>
    </row>
    <row r="676" spans="1:10" ht="14.4" x14ac:dyDescent="0.3">
      <c r="A676"/>
      <c r="B676" t="s">
        <v>340</v>
      </c>
      <c r="C676" s="303" t="s">
        <v>115</v>
      </c>
      <c r="E676" s="326">
        <v>20</v>
      </c>
      <c r="F676" s="48">
        <f t="shared" si="17"/>
        <v>0</v>
      </c>
    </row>
    <row r="677" spans="1:10" ht="14.4" x14ac:dyDescent="0.3">
      <c r="A677"/>
      <c r="B677" t="s">
        <v>305</v>
      </c>
      <c r="C677" s="303" t="s">
        <v>115</v>
      </c>
      <c r="E677" s="326">
        <v>136.94</v>
      </c>
      <c r="F677" s="48">
        <f t="shared" si="17"/>
        <v>0</v>
      </c>
    </row>
    <row r="678" spans="1:10" ht="14.4" x14ac:dyDescent="0.3">
      <c r="A678"/>
      <c r="B678" t="s">
        <v>374</v>
      </c>
      <c r="C678" s="303" t="s">
        <v>115</v>
      </c>
      <c r="E678" s="326">
        <v>365</v>
      </c>
      <c r="F678" s="48">
        <f t="shared" si="17"/>
        <v>0</v>
      </c>
    </row>
    <row r="679" spans="1:10" ht="14.4" x14ac:dyDescent="0.3">
      <c r="A679"/>
      <c r="B679" t="s">
        <v>728</v>
      </c>
      <c r="C679" s="303" t="s">
        <v>115</v>
      </c>
      <c r="E679" s="326">
        <v>201.43</v>
      </c>
      <c r="F679" s="48">
        <f t="shared" si="17"/>
        <v>0</v>
      </c>
    </row>
    <row r="680" spans="1:10" ht="14.4" x14ac:dyDescent="0.3">
      <c r="A680"/>
      <c r="B680" t="s">
        <v>376</v>
      </c>
      <c r="C680" s="303" t="s">
        <v>115</v>
      </c>
      <c r="E680" s="326">
        <v>5</v>
      </c>
      <c r="F680" s="48">
        <f t="shared" si="17"/>
        <v>0</v>
      </c>
    </row>
    <row r="681" spans="1:10" ht="14.4" x14ac:dyDescent="0.3">
      <c r="A681"/>
      <c r="B681" t="s">
        <v>729</v>
      </c>
      <c r="C681" s="303" t="s">
        <v>115</v>
      </c>
      <c r="E681" s="326">
        <v>853</v>
      </c>
      <c r="F681" s="48">
        <f t="shared" si="17"/>
        <v>0</v>
      </c>
      <c r="J681" s="326"/>
    </row>
    <row r="682" spans="1:10" ht="14.4" x14ac:dyDescent="0.3">
      <c r="A682"/>
      <c r="B682" t="s">
        <v>730</v>
      </c>
      <c r="C682" s="303" t="s">
        <v>115</v>
      </c>
      <c r="E682" s="326">
        <v>503</v>
      </c>
      <c r="F682" s="48">
        <f t="shared" si="17"/>
        <v>0</v>
      </c>
      <c r="J682" s="326"/>
    </row>
    <row r="683" spans="1:10" ht="14.4" x14ac:dyDescent="0.3">
      <c r="A683"/>
      <c r="B683" t="s">
        <v>731</v>
      </c>
      <c r="C683" s="303" t="s">
        <v>115</v>
      </c>
      <c r="E683" s="326">
        <v>1809.63</v>
      </c>
      <c r="F683" s="48">
        <f t="shared" si="17"/>
        <v>0</v>
      </c>
      <c r="J683" s="326"/>
    </row>
    <row r="684" spans="1:10" ht="14.4" x14ac:dyDescent="0.3">
      <c r="A684"/>
      <c r="B684" s="63" t="s">
        <v>732</v>
      </c>
      <c r="C684" s="303" t="s">
        <v>115</v>
      </c>
      <c r="E684" s="326">
        <v>1650</v>
      </c>
      <c r="F684" s="48">
        <f t="shared" si="17"/>
        <v>0</v>
      </c>
      <c r="J684" s="326"/>
    </row>
    <row r="685" spans="1:10" ht="14.4" x14ac:dyDescent="0.3">
      <c r="A685"/>
      <c r="B685" s="63" t="s">
        <v>733</v>
      </c>
      <c r="C685" s="303" t="s">
        <v>115</v>
      </c>
      <c r="E685" s="326">
        <v>160</v>
      </c>
      <c r="F685" s="48">
        <f t="shared" si="17"/>
        <v>0</v>
      </c>
      <c r="J685" s="326"/>
    </row>
    <row r="686" spans="1:10" ht="14.4" x14ac:dyDescent="0.3">
      <c r="A686"/>
      <c r="B686" s="63" t="s">
        <v>734</v>
      </c>
      <c r="C686" s="303" t="s">
        <v>115</v>
      </c>
      <c r="E686" s="326">
        <v>750</v>
      </c>
      <c r="F686" s="48">
        <f t="shared" si="17"/>
        <v>0</v>
      </c>
      <c r="J686" s="326"/>
    </row>
    <row r="687" spans="1:10" ht="14.4" x14ac:dyDescent="0.3">
      <c r="A687"/>
      <c r="B687" s="63" t="s">
        <v>735</v>
      </c>
      <c r="C687" s="303" t="s">
        <v>115</v>
      </c>
      <c r="E687" s="326">
        <v>450</v>
      </c>
      <c r="F687" s="48">
        <f t="shared" si="17"/>
        <v>0</v>
      </c>
      <c r="J687" s="326"/>
    </row>
    <row r="688" spans="1:10" ht="14.4" x14ac:dyDescent="0.3">
      <c r="A688"/>
      <c r="B688" s="63" t="s">
        <v>736</v>
      </c>
      <c r="C688" s="303" t="s">
        <v>115</v>
      </c>
      <c r="E688" s="326">
        <v>1250</v>
      </c>
      <c r="F688" s="48">
        <f t="shared" si="17"/>
        <v>0</v>
      </c>
      <c r="J688" s="326"/>
    </row>
    <row r="689" spans="1:10" ht="14.4" x14ac:dyDescent="0.3">
      <c r="A689"/>
      <c r="B689" t="s">
        <v>737</v>
      </c>
      <c r="C689" s="303" t="s">
        <v>115</v>
      </c>
      <c r="E689" s="326">
        <v>190</v>
      </c>
      <c r="F689" s="48">
        <f t="shared" si="17"/>
        <v>0</v>
      </c>
      <c r="J689" s="326"/>
    </row>
    <row r="690" spans="1:10" ht="14.4" x14ac:dyDescent="0.3">
      <c r="A690"/>
      <c r="B690" t="s">
        <v>738</v>
      </c>
      <c r="C690" s="303" t="s">
        <v>115</v>
      </c>
      <c r="E690" s="326">
        <v>412.59</v>
      </c>
      <c r="F690" s="48">
        <f t="shared" si="17"/>
        <v>0</v>
      </c>
      <c r="J690" s="326"/>
    </row>
    <row r="691" spans="1:10" ht="14.4" x14ac:dyDescent="0.3">
      <c r="A691"/>
      <c r="B691" t="s">
        <v>739</v>
      </c>
      <c r="C691" s="303" t="s">
        <v>115</v>
      </c>
      <c r="D691" s="40">
        <v>2</v>
      </c>
      <c r="E691" s="326">
        <v>18.649999999999999</v>
      </c>
      <c r="F691" s="48">
        <f t="shared" ref="F691:F709" si="18">E691*D691</f>
        <v>37.299999999999997</v>
      </c>
      <c r="J691" s="326"/>
    </row>
    <row r="692" spans="1:10" ht="14.4" x14ac:dyDescent="0.3">
      <c r="A692"/>
      <c r="B692" t="s">
        <v>740</v>
      </c>
      <c r="C692" s="303" t="s">
        <v>115</v>
      </c>
      <c r="D692" s="40">
        <v>4</v>
      </c>
      <c r="E692" s="326">
        <v>26.55</v>
      </c>
      <c r="F692" s="48">
        <f t="shared" si="18"/>
        <v>106.2</v>
      </c>
      <c r="J692" s="326"/>
    </row>
    <row r="693" spans="1:10" ht="14.4" x14ac:dyDescent="0.3">
      <c r="A693"/>
      <c r="B693" t="s">
        <v>741</v>
      </c>
      <c r="C693" s="303" t="s">
        <v>115</v>
      </c>
      <c r="D693" s="40">
        <v>3</v>
      </c>
      <c r="E693" s="326">
        <v>92.1</v>
      </c>
      <c r="F693" s="48">
        <f t="shared" si="18"/>
        <v>276.29999999999995</v>
      </c>
      <c r="J693" s="326"/>
    </row>
    <row r="694" spans="1:10" ht="16.8" x14ac:dyDescent="0.3">
      <c r="A694"/>
      <c r="B694" s="331" t="s">
        <v>742</v>
      </c>
      <c r="C694" s="303" t="s">
        <v>115</v>
      </c>
      <c r="E694" s="326">
        <v>30</v>
      </c>
      <c r="F694" s="48">
        <f t="shared" si="18"/>
        <v>0</v>
      </c>
      <c r="J694" s="326"/>
    </row>
    <row r="695" spans="1:10" ht="14.4" x14ac:dyDescent="0.3">
      <c r="A695"/>
      <c r="B695" t="s">
        <v>743</v>
      </c>
      <c r="C695" s="303" t="s">
        <v>115</v>
      </c>
      <c r="E695" s="326">
        <v>1850</v>
      </c>
      <c r="F695" s="48">
        <f t="shared" si="18"/>
        <v>0</v>
      </c>
      <c r="J695" s="326"/>
    </row>
    <row r="696" spans="1:10" ht="14.4" x14ac:dyDescent="0.3">
      <c r="A696"/>
      <c r="B696" t="s">
        <v>744</v>
      </c>
      <c r="C696" s="303" t="s">
        <v>115</v>
      </c>
      <c r="E696" s="326">
        <v>1800</v>
      </c>
      <c r="F696" s="48">
        <f t="shared" si="18"/>
        <v>0</v>
      </c>
      <c r="J696" s="326"/>
    </row>
    <row r="697" spans="1:10" ht="14.4" x14ac:dyDescent="0.3">
      <c r="A697"/>
      <c r="B697"/>
      <c r="C697" s="303" t="s">
        <v>115</v>
      </c>
      <c r="E697" s="326"/>
      <c r="F697" s="48">
        <f t="shared" si="18"/>
        <v>0</v>
      </c>
      <c r="J697" s="326"/>
    </row>
    <row r="698" spans="1:10" ht="14.4" x14ac:dyDescent="0.3">
      <c r="A698" s="324"/>
      <c r="B698" s="420" t="s">
        <v>745</v>
      </c>
      <c r="C698" s="303"/>
      <c r="E698" s="326"/>
      <c r="F698" s="48">
        <f t="shared" si="18"/>
        <v>0</v>
      </c>
      <c r="J698" s="326"/>
    </row>
    <row r="699" spans="1:10" ht="14.4" x14ac:dyDescent="0.3">
      <c r="A699" s="324"/>
      <c r="B699" s="420" t="s">
        <v>746</v>
      </c>
      <c r="C699" s="328" t="s">
        <v>115</v>
      </c>
      <c r="E699" s="326">
        <v>3800</v>
      </c>
      <c r="F699" s="48">
        <f t="shared" si="18"/>
        <v>0</v>
      </c>
      <c r="J699" s="326"/>
    </row>
    <row r="700" spans="1:10" ht="14.4" x14ac:dyDescent="0.3">
      <c r="A700" s="324"/>
      <c r="B700" s="420" t="s">
        <v>747</v>
      </c>
      <c r="C700" s="419" t="s">
        <v>115</v>
      </c>
      <c r="E700" s="326">
        <v>371.37</v>
      </c>
      <c r="F700" s="48">
        <f t="shared" si="18"/>
        <v>0</v>
      </c>
      <c r="J700" s="326"/>
    </row>
    <row r="701" spans="1:10" ht="14.4" x14ac:dyDescent="0.3">
      <c r="A701" s="324"/>
      <c r="B701" s="420" t="s">
        <v>748</v>
      </c>
      <c r="C701" s="419" t="s">
        <v>115</v>
      </c>
      <c r="E701" s="326">
        <f>430.67+38.37</f>
        <v>469.04</v>
      </c>
      <c r="F701" s="48">
        <f t="shared" si="18"/>
        <v>0</v>
      </c>
      <c r="J701" s="326"/>
    </row>
    <row r="702" spans="1:10" ht="14.4" x14ac:dyDescent="0.3">
      <c r="A702" s="324"/>
      <c r="B702" s="420" t="s">
        <v>749</v>
      </c>
      <c r="C702" s="419" t="s">
        <v>115</v>
      </c>
      <c r="E702" s="326">
        <f>141.13+18.87+18.87+480.93</f>
        <v>659.8</v>
      </c>
      <c r="F702" s="48">
        <f t="shared" si="18"/>
        <v>0</v>
      </c>
      <c r="J702" s="326"/>
    </row>
    <row r="703" spans="1:10" ht="14.4" x14ac:dyDescent="0.3">
      <c r="A703" s="324"/>
      <c r="B703" s="420" t="s">
        <v>750</v>
      </c>
      <c r="C703" s="328" t="s">
        <v>115</v>
      </c>
      <c r="E703" s="326">
        <v>587.96</v>
      </c>
      <c r="F703" s="48">
        <f t="shared" si="18"/>
        <v>0</v>
      </c>
      <c r="J703" s="326"/>
    </row>
    <row r="704" spans="1:10" ht="14.4" x14ac:dyDescent="0.3">
      <c r="A704" s="324"/>
      <c r="B704" s="421" t="s">
        <v>751</v>
      </c>
      <c r="C704" s="424" t="s">
        <v>115</v>
      </c>
      <c r="D704" s="398">
        <v>1</v>
      </c>
      <c r="E704" s="399">
        <v>900</v>
      </c>
      <c r="F704" s="400">
        <f t="shared" si="18"/>
        <v>900</v>
      </c>
      <c r="J704" s="326"/>
    </row>
    <row r="705" spans="1:10" ht="14.4" x14ac:dyDescent="0.3">
      <c r="A705" s="324"/>
      <c r="B705" s="420" t="s">
        <v>752</v>
      </c>
      <c r="C705" s="328" t="s">
        <v>115</v>
      </c>
      <c r="E705" s="326">
        <v>641.58000000000004</v>
      </c>
      <c r="F705" s="48">
        <f t="shared" si="18"/>
        <v>0</v>
      </c>
      <c r="J705" s="326"/>
    </row>
    <row r="706" spans="1:10" ht="14.4" x14ac:dyDescent="0.3">
      <c r="A706" s="324"/>
      <c r="B706" s="420" t="s">
        <v>753</v>
      </c>
      <c r="C706" s="419" t="s">
        <v>115</v>
      </c>
      <c r="E706" s="326">
        <v>50</v>
      </c>
      <c r="F706" s="48">
        <f t="shared" si="18"/>
        <v>0</v>
      </c>
      <c r="J706" s="326"/>
    </row>
    <row r="707" spans="1:10" ht="14.4" x14ac:dyDescent="0.3">
      <c r="A707" s="324"/>
      <c r="B707" s="420" t="s">
        <v>754</v>
      </c>
      <c r="C707" s="328" t="s">
        <v>115</v>
      </c>
      <c r="E707" s="326">
        <v>31.71</v>
      </c>
      <c r="F707" s="48">
        <f t="shared" si="18"/>
        <v>0</v>
      </c>
    </row>
    <row r="708" spans="1:10" ht="14.4" x14ac:dyDescent="0.3">
      <c r="A708" s="324"/>
      <c r="B708" s="420" t="s">
        <v>755</v>
      </c>
      <c r="C708" s="328" t="s">
        <v>115</v>
      </c>
      <c r="E708" s="326">
        <v>146.09</v>
      </c>
      <c r="F708" s="48">
        <f t="shared" si="18"/>
        <v>0</v>
      </c>
    </row>
    <row r="709" spans="1:10" ht="14.4" x14ac:dyDescent="0.3">
      <c r="C709" s="328" t="s">
        <v>115</v>
      </c>
      <c r="E709" s="326">
        <v>99.49</v>
      </c>
      <c r="F709" s="48">
        <f t="shared" si="18"/>
        <v>0</v>
      </c>
    </row>
    <row r="711" spans="1:10" ht="14.4" x14ac:dyDescent="0.3">
      <c r="B711" s="325" t="s">
        <v>762</v>
      </c>
    </row>
    <row r="712" spans="1:10" ht="14.4" x14ac:dyDescent="0.3">
      <c r="B712" s="327" t="s">
        <v>354</v>
      </c>
    </row>
    <row r="713" spans="1:10" ht="14.4" x14ac:dyDescent="0.3">
      <c r="B713" s="324"/>
    </row>
    <row r="714" spans="1:10" ht="14.4" x14ac:dyDescent="0.3">
      <c r="B714" s="324" t="s">
        <v>763</v>
      </c>
      <c r="C714" s="328" t="s">
        <v>149</v>
      </c>
      <c r="E714" s="385">
        <v>14.489999999999998</v>
      </c>
      <c r="F714" s="48">
        <f t="shared" ref="F714:F779" si="19">E714*D714</f>
        <v>0</v>
      </c>
    </row>
    <row r="715" spans="1:10" ht="14.4" x14ac:dyDescent="0.3">
      <c r="B715" s="420" t="s">
        <v>764</v>
      </c>
      <c r="C715" s="328" t="s">
        <v>149</v>
      </c>
      <c r="D715" s="40">
        <v>371</v>
      </c>
      <c r="E715" s="385">
        <v>9.5495999999999999</v>
      </c>
      <c r="F715" s="48">
        <f t="shared" si="19"/>
        <v>3542.9016000000001</v>
      </c>
    </row>
    <row r="716" spans="1:10" ht="14.4" x14ac:dyDescent="0.3">
      <c r="B716" s="420" t="s">
        <v>765</v>
      </c>
      <c r="C716" s="419" t="s">
        <v>115</v>
      </c>
      <c r="E716" s="385">
        <v>9.66</v>
      </c>
      <c r="F716" s="48">
        <f t="shared" si="19"/>
        <v>0</v>
      </c>
    </row>
    <row r="717" spans="1:10" ht="14.4" x14ac:dyDescent="0.3">
      <c r="B717" s="420" t="s">
        <v>766</v>
      </c>
      <c r="C717" s="419" t="s">
        <v>115</v>
      </c>
      <c r="D717" s="40">
        <v>31</v>
      </c>
      <c r="E717" s="385">
        <v>4.7885999999999997</v>
      </c>
      <c r="F717" s="48">
        <f t="shared" si="19"/>
        <v>148.44659999999999</v>
      </c>
    </row>
    <row r="718" spans="1:10" ht="14.4" x14ac:dyDescent="0.3">
      <c r="B718" s="420" t="s">
        <v>767</v>
      </c>
      <c r="C718" s="419" t="s">
        <v>115</v>
      </c>
      <c r="E718" s="385">
        <v>13.799999999999999</v>
      </c>
      <c r="F718" s="48">
        <f t="shared" si="19"/>
        <v>0</v>
      </c>
    </row>
    <row r="719" spans="1:10" ht="14.4" x14ac:dyDescent="0.3">
      <c r="B719" s="420" t="s">
        <v>768</v>
      </c>
      <c r="C719" s="419" t="s">
        <v>115</v>
      </c>
      <c r="E719" s="385">
        <v>6.5274000000000001</v>
      </c>
      <c r="F719" s="48">
        <f t="shared" si="19"/>
        <v>0</v>
      </c>
    </row>
    <row r="720" spans="1:10" ht="14.4" x14ac:dyDescent="0.3">
      <c r="B720" s="420" t="s">
        <v>769</v>
      </c>
      <c r="C720" s="419" t="s">
        <v>115</v>
      </c>
      <c r="E720" s="385">
        <v>8.5974000000000004</v>
      </c>
      <c r="F720" s="48">
        <f t="shared" si="19"/>
        <v>0</v>
      </c>
    </row>
    <row r="721" spans="2:6" ht="14.4" x14ac:dyDescent="0.3">
      <c r="B721" s="420" t="s">
        <v>770</v>
      </c>
      <c r="C721" s="419" t="s">
        <v>115</v>
      </c>
      <c r="E721" s="385">
        <v>6.8999999999999995</v>
      </c>
      <c r="F721" s="48">
        <f t="shared" si="19"/>
        <v>0</v>
      </c>
    </row>
    <row r="722" spans="2:6" ht="14.4" x14ac:dyDescent="0.3">
      <c r="B722" s="420" t="s">
        <v>771</v>
      </c>
      <c r="C722" s="419" t="s">
        <v>115</v>
      </c>
      <c r="E722" s="385">
        <v>6.8999999999999995</v>
      </c>
      <c r="F722" s="48">
        <f t="shared" si="19"/>
        <v>0</v>
      </c>
    </row>
    <row r="723" spans="2:6" ht="14.4" x14ac:dyDescent="0.3">
      <c r="B723" s="420" t="s">
        <v>772</v>
      </c>
      <c r="C723" s="419" t="s">
        <v>115</v>
      </c>
      <c r="D723" s="40">
        <v>52</v>
      </c>
      <c r="E723" s="385">
        <v>2.5667999999999997</v>
      </c>
      <c r="F723" s="48">
        <f t="shared" si="19"/>
        <v>133.47359999999998</v>
      </c>
    </row>
    <row r="724" spans="2:6" ht="14.4" x14ac:dyDescent="0.3">
      <c r="B724" s="420" t="s">
        <v>773</v>
      </c>
      <c r="C724" s="419" t="s">
        <v>115</v>
      </c>
      <c r="D724" s="40">
        <v>35</v>
      </c>
      <c r="E724" s="385">
        <v>2.3308200000000001</v>
      </c>
      <c r="F724" s="48">
        <f t="shared" si="19"/>
        <v>81.578699999999998</v>
      </c>
    </row>
    <row r="725" spans="2:6" ht="14.4" x14ac:dyDescent="0.3">
      <c r="B725" s="420" t="s">
        <v>774</v>
      </c>
      <c r="C725" s="419" t="s">
        <v>115</v>
      </c>
      <c r="E725" s="385">
        <v>5.52</v>
      </c>
      <c r="F725" s="48">
        <f t="shared" si="19"/>
        <v>0</v>
      </c>
    </row>
    <row r="726" spans="2:6" ht="14.4" x14ac:dyDescent="0.3">
      <c r="B726" s="420" t="s">
        <v>775</v>
      </c>
      <c r="C726" s="419" t="s">
        <v>115</v>
      </c>
      <c r="E726" s="385">
        <v>2.6771999999999996</v>
      </c>
      <c r="F726" s="48">
        <f t="shared" si="19"/>
        <v>0</v>
      </c>
    </row>
    <row r="727" spans="2:6" ht="14.4" x14ac:dyDescent="0.3">
      <c r="B727" s="324" t="s">
        <v>776</v>
      </c>
      <c r="C727" s="328" t="s">
        <v>149</v>
      </c>
      <c r="E727" s="385">
        <v>6.8999999999999995</v>
      </c>
      <c r="F727" s="48">
        <f t="shared" si="19"/>
        <v>0</v>
      </c>
    </row>
    <row r="728" spans="2:6" ht="14.4" x14ac:dyDescent="0.3">
      <c r="B728" s="420" t="s">
        <v>777</v>
      </c>
      <c r="C728" s="328" t="s">
        <v>149</v>
      </c>
      <c r="D728" s="40">
        <v>61</v>
      </c>
      <c r="E728" s="385">
        <v>5.52</v>
      </c>
      <c r="F728" s="48">
        <f t="shared" si="19"/>
        <v>336.71999999999997</v>
      </c>
    </row>
    <row r="729" spans="2:6" ht="14.4" x14ac:dyDescent="0.3">
      <c r="B729" s="324" t="s">
        <v>778</v>
      </c>
      <c r="C729" s="328" t="s">
        <v>149</v>
      </c>
      <c r="E729" s="385">
        <v>8.7354000000000003</v>
      </c>
      <c r="F729" s="48">
        <f t="shared" si="19"/>
        <v>0</v>
      </c>
    </row>
    <row r="730" spans="2:6" ht="14.4" x14ac:dyDescent="0.3">
      <c r="B730" s="420" t="s">
        <v>779</v>
      </c>
      <c r="C730" s="328" t="s">
        <v>149</v>
      </c>
      <c r="D730" s="40">
        <v>104</v>
      </c>
      <c r="E730" s="385">
        <v>3.726</v>
      </c>
      <c r="F730" s="48">
        <f t="shared" si="19"/>
        <v>387.50400000000002</v>
      </c>
    </row>
    <row r="731" spans="2:6" ht="14.4" x14ac:dyDescent="0.3">
      <c r="B731" s="420" t="s">
        <v>780</v>
      </c>
      <c r="C731" s="328" t="s">
        <v>149</v>
      </c>
      <c r="E731" s="385">
        <v>2.8979999999999997</v>
      </c>
      <c r="F731" s="48">
        <f t="shared" si="19"/>
        <v>0</v>
      </c>
    </row>
    <row r="732" spans="2:6" ht="14.4" x14ac:dyDescent="0.3">
      <c r="B732" s="420" t="s">
        <v>781</v>
      </c>
      <c r="C732" s="419" t="s">
        <v>115</v>
      </c>
      <c r="D732" s="40">
        <v>9</v>
      </c>
      <c r="E732" s="385">
        <v>3.5</v>
      </c>
      <c r="F732" s="48">
        <f t="shared" si="19"/>
        <v>31.5</v>
      </c>
    </row>
    <row r="733" spans="2:6" ht="14.4" x14ac:dyDescent="0.3">
      <c r="B733" s="420" t="s">
        <v>782</v>
      </c>
      <c r="C733" s="419" t="s">
        <v>115</v>
      </c>
      <c r="D733" s="40">
        <v>3</v>
      </c>
      <c r="E733" s="385">
        <v>3</v>
      </c>
      <c r="F733" s="48">
        <f t="shared" si="19"/>
        <v>9</v>
      </c>
    </row>
    <row r="734" spans="2:6" ht="14.4" x14ac:dyDescent="0.3">
      <c r="B734" s="420" t="s">
        <v>783</v>
      </c>
      <c r="C734" s="419" t="s">
        <v>115</v>
      </c>
      <c r="D734" s="40">
        <v>24</v>
      </c>
      <c r="E734" s="385">
        <v>2.3321999999999998</v>
      </c>
      <c r="F734" s="48">
        <f t="shared" si="19"/>
        <v>55.972799999999992</v>
      </c>
    </row>
    <row r="735" spans="2:6" ht="14.4" x14ac:dyDescent="0.3">
      <c r="B735" s="420" t="s">
        <v>783</v>
      </c>
      <c r="C735" s="419" t="s">
        <v>115</v>
      </c>
      <c r="D735" s="40">
        <v>18</v>
      </c>
      <c r="E735" s="385">
        <v>2.33</v>
      </c>
      <c r="F735" s="48">
        <f t="shared" si="19"/>
        <v>41.94</v>
      </c>
    </row>
    <row r="736" spans="2:6" ht="14.4" x14ac:dyDescent="0.3">
      <c r="B736" s="420" t="s">
        <v>784</v>
      </c>
      <c r="C736" s="419" t="s">
        <v>115</v>
      </c>
      <c r="E736" s="385">
        <v>4.1399999999999997</v>
      </c>
      <c r="F736" s="48">
        <f t="shared" si="19"/>
        <v>0</v>
      </c>
    </row>
    <row r="737" spans="2:6" ht="14.4" x14ac:dyDescent="0.3">
      <c r="B737" s="420" t="s">
        <v>785</v>
      </c>
      <c r="C737" s="419" t="s">
        <v>115</v>
      </c>
      <c r="D737" s="40">
        <v>16</v>
      </c>
      <c r="E737" s="385">
        <v>0.93840000000000001</v>
      </c>
      <c r="F737" s="48">
        <f t="shared" si="19"/>
        <v>15.0144</v>
      </c>
    </row>
    <row r="738" spans="2:6" ht="14.4" x14ac:dyDescent="0.3">
      <c r="B738" s="420" t="s">
        <v>786</v>
      </c>
      <c r="C738" s="419" t="s">
        <v>115</v>
      </c>
      <c r="D738" s="40">
        <v>14</v>
      </c>
      <c r="E738" s="385">
        <v>11.716199999999999</v>
      </c>
      <c r="F738" s="48">
        <f t="shared" si="19"/>
        <v>164.02679999999998</v>
      </c>
    </row>
    <row r="739" spans="2:6" ht="14.4" x14ac:dyDescent="0.3">
      <c r="B739" s="324" t="s">
        <v>787</v>
      </c>
      <c r="C739" s="328" t="s">
        <v>149</v>
      </c>
      <c r="E739" s="326">
        <v>14</v>
      </c>
      <c r="F739" s="48">
        <f t="shared" si="19"/>
        <v>0</v>
      </c>
    </row>
    <row r="740" spans="2:6" ht="14.4" x14ac:dyDescent="0.3">
      <c r="B740" s="420" t="s">
        <v>788</v>
      </c>
      <c r="C740" s="328" t="s">
        <v>149</v>
      </c>
      <c r="E740" s="326">
        <v>6</v>
      </c>
      <c r="F740" s="48">
        <f t="shared" si="19"/>
        <v>0</v>
      </c>
    </row>
    <row r="741" spans="2:6" ht="14.4" x14ac:dyDescent="0.3">
      <c r="B741" s="324"/>
      <c r="C741" s="328"/>
      <c r="E741" s="328"/>
      <c r="F741" s="48">
        <f t="shared" si="19"/>
        <v>0</v>
      </c>
    </row>
    <row r="742" spans="2:6" ht="14.4" x14ac:dyDescent="0.3">
      <c r="B742" s="324" t="s">
        <v>789</v>
      </c>
      <c r="C742" s="328" t="s">
        <v>115</v>
      </c>
      <c r="E742" s="326">
        <v>40</v>
      </c>
      <c r="F742" s="48">
        <f t="shared" si="19"/>
        <v>0</v>
      </c>
    </row>
    <row r="743" spans="2:6" ht="14.4" x14ac:dyDescent="0.3">
      <c r="B743" s="420" t="s">
        <v>790</v>
      </c>
      <c r="C743" s="328" t="s">
        <v>115</v>
      </c>
      <c r="E743" s="326">
        <v>30</v>
      </c>
      <c r="F743" s="48">
        <f t="shared" si="19"/>
        <v>0</v>
      </c>
    </row>
    <row r="744" spans="2:6" ht="14.4" x14ac:dyDescent="0.3">
      <c r="B744" s="324" t="s">
        <v>791</v>
      </c>
      <c r="C744" s="328" t="s">
        <v>115</v>
      </c>
      <c r="D744" s="40">
        <v>8</v>
      </c>
      <c r="E744" s="326">
        <v>33</v>
      </c>
      <c r="F744" s="48">
        <f t="shared" si="19"/>
        <v>264</v>
      </c>
    </row>
    <row r="745" spans="2:6" ht="14.4" x14ac:dyDescent="0.3">
      <c r="B745" s="420" t="s">
        <v>792</v>
      </c>
      <c r="C745" s="328" t="s">
        <v>115</v>
      </c>
      <c r="D745" s="40">
        <v>8</v>
      </c>
      <c r="E745" s="326">
        <v>23.26</v>
      </c>
      <c r="F745" s="48">
        <f t="shared" si="19"/>
        <v>186.08</v>
      </c>
    </row>
    <row r="746" spans="2:6" ht="14.4" x14ac:dyDescent="0.3">
      <c r="B746" s="420" t="s">
        <v>793</v>
      </c>
      <c r="C746" s="328" t="s">
        <v>115</v>
      </c>
      <c r="E746" s="326">
        <v>50</v>
      </c>
      <c r="F746" s="48">
        <f t="shared" si="19"/>
        <v>0</v>
      </c>
    </row>
    <row r="747" spans="2:6" ht="14.4" x14ac:dyDescent="0.3">
      <c r="B747" s="324" t="s">
        <v>794</v>
      </c>
      <c r="C747" s="328" t="s">
        <v>115</v>
      </c>
      <c r="E747" s="326">
        <v>7.65</v>
      </c>
      <c r="F747" s="48">
        <f t="shared" si="19"/>
        <v>0</v>
      </c>
    </row>
    <row r="748" spans="2:6" ht="14.4" x14ac:dyDescent="0.3">
      <c r="B748" s="324" t="s">
        <v>795</v>
      </c>
      <c r="C748" s="328" t="s">
        <v>115</v>
      </c>
      <c r="E748" s="326">
        <v>7.65</v>
      </c>
      <c r="F748" s="48">
        <f t="shared" si="19"/>
        <v>0</v>
      </c>
    </row>
    <row r="749" spans="2:6" ht="14.4" x14ac:dyDescent="0.3">
      <c r="B749" s="324" t="s">
        <v>796</v>
      </c>
      <c r="C749" s="328" t="s">
        <v>115</v>
      </c>
      <c r="E749" s="326">
        <v>13.59</v>
      </c>
      <c r="F749" s="48">
        <f t="shared" si="19"/>
        <v>0</v>
      </c>
    </row>
    <row r="750" spans="2:6" ht="14.4" x14ac:dyDescent="0.3">
      <c r="B750" s="324" t="s">
        <v>797</v>
      </c>
      <c r="C750" s="328" t="s">
        <v>115</v>
      </c>
      <c r="E750" s="326">
        <v>0</v>
      </c>
      <c r="F750" s="48">
        <f t="shared" si="19"/>
        <v>0</v>
      </c>
    </row>
    <row r="751" spans="2:6" ht="14.4" x14ac:dyDescent="0.3">
      <c r="B751" s="324" t="s">
        <v>798</v>
      </c>
      <c r="C751" s="328" t="s">
        <v>115</v>
      </c>
      <c r="E751" s="326">
        <v>75</v>
      </c>
      <c r="F751" s="48">
        <f t="shared" si="19"/>
        <v>0</v>
      </c>
    </row>
    <row r="752" spans="2:6" ht="14.4" x14ac:dyDescent="0.3">
      <c r="B752" s="324"/>
      <c r="C752" s="328"/>
      <c r="E752" s="324"/>
      <c r="F752" s="48">
        <f t="shared" si="19"/>
        <v>0</v>
      </c>
    </row>
    <row r="753" spans="2:6" ht="14.4" x14ac:dyDescent="0.3">
      <c r="B753" s="324" t="s">
        <v>799</v>
      </c>
      <c r="C753" s="328" t="s">
        <v>115</v>
      </c>
      <c r="E753" s="326">
        <v>2</v>
      </c>
      <c r="F753" s="48">
        <f t="shared" si="19"/>
        <v>0</v>
      </c>
    </row>
    <row r="754" spans="2:6" ht="14.4" x14ac:dyDescent="0.3">
      <c r="B754" s="324" t="s">
        <v>800</v>
      </c>
      <c r="C754" s="328" t="s">
        <v>115</v>
      </c>
      <c r="E754" s="326">
        <v>1.5</v>
      </c>
      <c r="F754" s="48">
        <f t="shared" si="19"/>
        <v>0</v>
      </c>
    </row>
    <row r="755" spans="2:6" ht="14.4" x14ac:dyDescent="0.3">
      <c r="B755" s="324" t="s">
        <v>491</v>
      </c>
      <c r="C755" s="328" t="s">
        <v>149</v>
      </c>
      <c r="E755" s="326">
        <f>E644</f>
        <v>0</v>
      </c>
      <c r="F755" s="48">
        <f t="shared" si="19"/>
        <v>0</v>
      </c>
    </row>
    <row r="756" spans="2:6" ht="14.4" x14ac:dyDescent="0.3">
      <c r="B756" s="324"/>
      <c r="C756" s="328"/>
      <c r="E756" s="326"/>
      <c r="F756" s="48">
        <f t="shared" si="19"/>
        <v>0</v>
      </c>
    </row>
    <row r="757" spans="2:6" ht="14.4" x14ac:dyDescent="0.3">
      <c r="B757" s="324" t="s">
        <v>801</v>
      </c>
      <c r="C757" s="328" t="s">
        <v>115</v>
      </c>
      <c r="E757" s="326">
        <v>26.4</v>
      </c>
      <c r="F757" s="48">
        <f t="shared" si="19"/>
        <v>0</v>
      </c>
    </row>
    <row r="758" spans="2:6" ht="14.4" x14ac:dyDescent="0.3">
      <c r="B758" s="324" t="s">
        <v>802</v>
      </c>
      <c r="C758" s="328" t="s">
        <v>115</v>
      </c>
      <c r="E758" s="326">
        <v>23</v>
      </c>
      <c r="F758" s="48">
        <f t="shared" si="19"/>
        <v>0</v>
      </c>
    </row>
    <row r="759" spans="2:6" ht="14.4" x14ac:dyDescent="0.3">
      <c r="B759" s="324" t="s">
        <v>803</v>
      </c>
      <c r="C759" s="328" t="s">
        <v>115</v>
      </c>
      <c r="E759" s="326">
        <v>75</v>
      </c>
      <c r="F759" s="48">
        <f t="shared" si="19"/>
        <v>0</v>
      </c>
    </row>
    <row r="760" spans="2:6" ht="14.4" x14ac:dyDescent="0.3">
      <c r="B760" s="324" t="s">
        <v>804</v>
      </c>
      <c r="C760" s="328" t="s">
        <v>115</v>
      </c>
      <c r="E760" s="326">
        <v>22</v>
      </c>
      <c r="F760" s="48">
        <f t="shared" si="19"/>
        <v>0</v>
      </c>
    </row>
    <row r="761" spans="2:6" ht="14.4" x14ac:dyDescent="0.3">
      <c r="B761" s="324" t="s">
        <v>805</v>
      </c>
      <c r="C761" s="328" t="s">
        <v>115</v>
      </c>
      <c r="E761" s="326">
        <v>10</v>
      </c>
      <c r="F761" s="48">
        <f t="shared" si="19"/>
        <v>0</v>
      </c>
    </row>
    <row r="762" spans="2:6" ht="14.4" x14ac:dyDescent="0.3">
      <c r="B762" s="324"/>
      <c r="C762" s="328"/>
      <c r="E762" s="326"/>
      <c r="F762" s="48">
        <f t="shared" si="19"/>
        <v>0</v>
      </c>
    </row>
    <row r="763" spans="2:6" ht="14.4" x14ac:dyDescent="0.3">
      <c r="B763" s="420" t="s">
        <v>806</v>
      </c>
      <c r="C763" s="328" t="s">
        <v>115</v>
      </c>
      <c r="E763" s="326">
        <v>520</v>
      </c>
      <c r="F763" s="48">
        <f t="shared" si="19"/>
        <v>0</v>
      </c>
    </row>
    <row r="764" spans="2:6" ht="14.4" x14ac:dyDescent="0.3">
      <c r="B764" s="420" t="s">
        <v>807</v>
      </c>
      <c r="C764" s="328" t="s">
        <v>115</v>
      </c>
      <c r="E764" s="326">
        <v>230</v>
      </c>
      <c r="F764" s="48">
        <f t="shared" si="19"/>
        <v>0</v>
      </c>
    </row>
    <row r="765" spans="2:6" ht="14.4" x14ac:dyDescent="0.3">
      <c r="B765" s="420" t="s">
        <v>808</v>
      </c>
      <c r="C765" s="328" t="s">
        <v>115</v>
      </c>
      <c r="E765" s="326">
        <v>2800</v>
      </c>
      <c r="F765" s="48">
        <f t="shared" si="19"/>
        <v>0</v>
      </c>
    </row>
    <row r="766" spans="2:6" ht="14.4" x14ac:dyDescent="0.3">
      <c r="B766" s="420" t="s">
        <v>809</v>
      </c>
      <c r="C766" s="328" t="s">
        <v>115</v>
      </c>
      <c r="E766" s="326">
        <v>950</v>
      </c>
      <c r="F766" s="48">
        <f t="shared" si="19"/>
        <v>0</v>
      </c>
    </row>
    <row r="767" spans="2:6" ht="14.4" x14ac:dyDescent="0.3">
      <c r="B767" s="420" t="s">
        <v>745</v>
      </c>
      <c r="C767" s="328" t="s">
        <v>115</v>
      </c>
      <c r="E767" s="326">
        <v>1250</v>
      </c>
      <c r="F767" s="48">
        <f t="shared" si="19"/>
        <v>0</v>
      </c>
    </row>
    <row r="768" spans="2:6" ht="14.4" x14ac:dyDescent="0.3">
      <c r="B768" s="420" t="s">
        <v>810</v>
      </c>
      <c r="C768" s="328" t="s">
        <v>115</v>
      </c>
      <c r="D768" s="40">
        <v>2</v>
      </c>
      <c r="E768" s="334">
        <v>200</v>
      </c>
      <c r="F768" s="48">
        <f t="shared" si="19"/>
        <v>400</v>
      </c>
    </row>
    <row r="769" spans="2:6" ht="14.4" x14ac:dyDescent="0.3">
      <c r="B769" s="420" t="s">
        <v>811</v>
      </c>
      <c r="C769" s="328" t="s">
        <v>115</v>
      </c>
      <c r="E769" s="334">
        <v>60</v>
      </c>
      <c r="F769" s="48">
        <f t="shared" si="19"/>
        <v>0</v>
      </c>
    </row>
    <row r="770" spans="2:6" ht="14.4" x14ac:dyDescent="0.3">
      <c r="B770" s="420" t="s">
        <v>812</v>
      </c>
      <c r="C770" s="328" t="s">
        <v>115</v>
      </c>
      <c r="E770" s="334">
        <v>120</v>
      </c>
      <c r="F770" s="48">
        <f t="shared" si="19"/>
        <v>0</v>
      </c>
    </row>
    <row r="771" spans="2:6" ht="14.4" x14ac:dyDescent="0.3">
      <c r="B771" s="420" t="s">
        <v>813</v>
      </c>
      <c r="C771" s="328" t="s">
        <v>115</v>
      </c>
      <c r="E771" s="326">
        <v>61.33</v>
      </c>
      <c r="F771" s="48">
        <f t="shared" si="19"/>
        <v>0</v>
      </c>
    </row>
    <row r="772" spans="2:6" ht="14.4" x14ac:dyDescent="0.3">
      <c r="B772" s="420" t="s">
        <v>814</v>
      </c>
      <c r="C772" s="328" t="s">
        <v>115</v>
      </c>
      <c r="D772" s="40">
        <v>1</v>
      </c>
      <c r="E772" s="334">
        <v>100</v>
      </c>
      <c r="F772" s="48">
        <f t="shared" si="19"/>
        <v>100</v>
      </c>
    </row>
    <row r="773" spans="2:6" ht="28.8" x14ac:dyDescent="0.3">
      <c r="B773" s="425" t="s">
        <v>815</v>
      </c>
      <c r="C773" s="328" t="s">
        <v>115</v>
      </c>
      <c r="D773" s="40">
        <v>4</v>
      </c>
      <c r="E773" s="334">
        <v>250</v>
      </c>
      <c r="F773" s="48">
        <f t="shared" si="19"/>
        <v>1000</v>
      </c>
    </row>
    <row r="774" spans="2:6" ht="43.2" x14ac:dyDescent="0.3">
      <c r="B774" s="425" t="s">
        <v>816</v>
      </c>
      <c r="C774" s="328" t="s">
        <v>115</v>
      </c>
      <c r="E774" s="334">
        <v>250</v>
      </c>
      <c r="F774" s="48">
        <f t="shared" si="19"/>
        <v>0</v>
      </c>
    </row>
    <row r="775" spans="2:6" ht="14.4" x14ac:dyDescent="0.3">
      <c r="B775" s="425" t="s">
        <v>817</v>
      </c>
      <c r="C775" s="328" t="s">
        <v>115</v>
      </c>
      <c r="E775" s="326">
        <v>300</v>
      </c>
      <c r="F775" s="48">
        <f t="shared" si="19"/>
        <v>0</v>
      </c>
    </row>
    <row r="776" spans="2:6" ht="14.4" x14ac:dyDescent="0.3">
      <c r="B776" s="425" t="s">
        <v>818</v>
      </c>
      <c r="C776" s="328" t="s">
        <v>115</v>
      </c>
      <c r="E776" s="334">
        <v>1200</v>
      </c>
      <c r="F776" s="48">
        <f t="shared" si="19"/>
        <v>0</v>
      </c>
    </row>
    <row r="777" spans="2:6" ht="14.4" x14ac:dyDescent="0.3">
      <c r="B777" s="425" t="s">
        <v>819</v>
      </c>
      <c r="C777" s="419" t="s">
        <v>115</v>
      </c>
      <c r="D777" s="40">
        <v>5</v>
      </c>
      <c r="E777" s="334">
        <v>350</v>
      </c>
      <c r="F777" s="48">
        <f t="shared" si="19"/>
        <v>1750</v>
      </c>
    </row>
    <row r="778" spans="2:6" ht="14.4" x14ac:dyDescent="0.3">
      <c r="B778" s="425"/>
      <c r="C778" s="419"/>
      <c r="E778" s="334"/>
      <c r="F778" s="48"/>
    </row>
    <row r="779" spans="2:6" ht="45" customHeight="1" x14ac:dyDescent="0.3">
      <c r="B779" s="521" t="s">
        <v>967</v>
      </c>
      <c r="C779" s="497" t="s">
        <v>115</v>
      </c>
      <c r="D779" s="447">
        <v>0</v>
      </c>
      <c r="E779" s="501">
        <v>8000</v>
      </c>
      <c r="F779" s="448">
        <f t="shared" si="19"/>
        <v>0</v>
      </c>
    </row>
    <row r="780" spans="2:6" ht="14.4" x14ac:dyDescent="0.3">
      <c r="B780" s="420"/>
      <c r="C780" s="419"/>
      <c r="E780" s="334"/>
      <c r="F780" s="48"/>
    </row>
    <row r="781" spans="2:6" ht="14.4" x14ac:dyDescent="0.3">
      <c r="B781" s="425"/>
      <c r="C781" s="419"/>
      <c r="E781" s="334"/>
      <c r="F781" s="48"/>
    </row>
    <row r="783" spans="2:6" ht="14.4" x14ac:dyDescent="0.3">
      <c r="B783" s="325" t="s">
        <v>823</v>
      </c>
    </row>
    <row r="784" spans="2:6" ht="14.4" x14ac:dyDescent="0.3">
      <c r="B784" s="327" t="s">
        <v>354</v>
      </c>
    </row>
    <row r="787" spans="2:6" ht="14.4" x14ac:dyDescent="0.3">
      <c r="B787" s="38" t="s">
        <v>824</v>
      </c>
      <c r="C787" s="328" t="s">
        <v>149</v>
      </c>
      <c r="D787" s="40">
        <v>219</v>
      </c>
      <c r="E787" s="405">
        <f>58/5</f>
        <v>11.6</v>
      </c>
      <c r="F787" s="48">
        <f>E787*D787</f>
        <v>2540.4</v>
      </c>
    </row>
    <row r="788" spans="2:6" ht="15.75" customHeight="1" x14ac:dyDescent="0.2">
      <c r="B788" s="38" t="s">
        <v>825</v>
      </c>
      <c r="C788" s="40" t="s">
        <v>115</v>
      </c>
      <c r="D788" s="40">
        <v>20</v>
      </c>
      <c r="E788" s="48">
        <v>10</v>
      </c>
      <c r="F788" s="48">
        <f t="shared" ref="F788:F802" si="20">E788*D788</f>
        <v>200</v>
      </c>
    </row>
    <row r="789" spans="2:6" x14ac:dyDescent="0.2">
      <c r="B789" s="38" t="s">
        <v>826</v>
      </c>
      <c r="C789" s="40" t="s">
        <v>115</v>
      </c>
      <c r="D789" s="40">
        <v>15</v>
      </c>
      <c r="E789" s="48">
        <v>5.16</v>
      </c>
      <c r="F789" s="48">
        <f t="shared" si="20"/>
        <v>77.400000000000006</v>
      </c>
    </row>
    <row r="790" spans="2:6" x14ac:dyDescent="0.2">
      <c r="B790" s="38" t="s">
        <v>827</v>
      </c>
      <c r="C790" s="40" t="s">
        <v>115</v>
      </c>
      <c r="D790" s="40">
        <v>22</v>
      </c>
      <c r="E790" s="48">
        <v>8.35</v>
      </c>
      <c r="F790" s="48">
        <f t="shared" si="20"/>
        <v>183.7</v>
      </c>
    </row>
    <row r="791" spans="2:6" x14ac:dyDescent="0.2">
      <c r="B791" s="38" t="s">
        <v>828</v>
      </c>
      <c r="C791" s="40" t="s">
        <v>149</v>
      </c>
      <c r="D791" s="40">
        <v>31</v>
      </c>
      <c r="E791" s="48">
        <v>10</v>
      </c>
      <c r="F791" s="48">
        <f t="shared" si="20"/>
        <v>310</v>
      </c>
    </row>
    <row r="792" spans="2:6" x14ac:dyDescent="0.2">
      <c r="B792" s="38" t="s">
        <v>829</v>
      </c>
      <c r="C792" s="40" t="s">
        <v>115</v>
      </c>
      <c r="D792" s="40">
        <v>1</v>
      </c>
      <c r="E792" s="48">
        <v>4</v>
      </c>
      <c r="F792" s="48">
        <f t="shared" si="20"/>
        <v>4</v>
      </c>
    </row>
    <row r="793" spans="2:6" x14ac:dyDescent="0.2">
      <c r="B793" s="38" t="s">
        <v>830</v>
      </c>
      <c r="C793" s="40" t="s">
        <v>115</v>
      </c>
      <c r="D793" s="40">
        <v>2</v>
      </c>
      <c r="E793" s="48">
        <v>15</v>
      </c>
      <c r="F793" s="48">
        <f t="shared" si="20"/>
        <v>30</v>
      </c>
    </row>
    <row r="794" spans="2:6" x14ac:dyDescent="0.2">
      <c r="B794" s="38" t="s">
        <v>831</v>
      </c>
      <c r="C794" s="40" t="s">
        <v>115</v>
      </c>
      <c r="D794" s="40">
        <v>11</v>
      </c>
      <c r="E794" s="48">
        <v>8</v>
      </c>
      <c r="F794" s="48">
        <f t="shared" si="20"/>
        <v>88</v>
      </c>
    </row>
    <row r="795" spans="2:6" x14ac:dyDescent="0.2">
      <c r="B795" s="38" t="s">
        <v>832</v>
      </c>
      <c r="C795" s="40" t="s">
        <v>115</v>
      </c>
      <c r="D795" s="40">
        <v>4</v>
      </c>
      <c r="E795" s="48">
        <v>5.16</v>
      </c>
      <c r="F795" s="48">
        <f t="shared" si="20"/>
        <v>20.64</v>
      </c>
    </row>
    <row r="796" spans="2:6" x14ac:dyDescent="0.2">
      <c r="B796" s="38" t="s">
        <v>833</v>
      </c>
      <c r="C796" s="40" t="s">
        <v>149</v>
      </c>
      <c r="D796" s="40">
        <v>12</v>
      </c>
      <c r="E796" s="48">
        <v>8</v>
      </c>
      <c r="F796" s="48">
        <f t="shared" si="20"/>
        <v>96</v>
      </c>
    </row>
    <row r="797" spans="2:6" x14ac:dyDescent="0.2">
      <c r="B797" s="38" t="s">
        <v>834</v>
      </c>
      <c r="C797" s="40" t="s">
        <v>115</v>
      </c>
      <c r="D797" s="40">
        <v>3</v>
      </c>
      <c r="E797" s="48">
        <v>4</v>
      </c>
      <c r="F797" s="48">
        <f t="shared" si="20"/>
        <v>12</v>
      </c>
    </row>
    <row r="798" spans="2:6" x14ac:dyDescent="0.2">
      <c r="B798" s="38" t="s">
        <v>835</v>
      </c>
      <c r="C798" s="40" t="s">
        <v>115</v>
      </c>
      <c r="D798" s="40">
        <v>1</v>
      </c>
      <c r="E798" s="48">
        <v>5</v>
      </c>
      <c r="F798" s="48">
        <f t="shared" si="20"/>
        <v>5</v>
      </c>
    </row>
    <row r="799" spans="2:6" x14ac:dyDescent="0.2">
      <c r="B799" s="38" t="s">
        <v>836</v>
      </c>
      <c r="C799" s="40" t="s">
        <v>115</v>
      </c>
      <c r="D799" s="40">
        <v>12</v>
      </c>
      <c r="E799" s="48">
        <v>7</v>
      </c>
      <c r="F799" s="48">
        <f t="shared" si="20"/>
        <v>84</v>
      </c>
    </row>
    <row r="800" spans="2:6" x14ac:dyDescent="0.2">
      <c r="B800" s="38" t="s">
        <v>837</v>
      </c>
      <c r="C800" s="40" t="s">
        <v>115</v>
      </c>
      <c r="D800" s="40">
        <v>3</v>
      </c>
      <c r="E800" s="48">
        <v>4</v>
      </c>
      <c r="F800" s="48">
        <f t="shared" si="20"/>
        <v>12</v>
      </c>
    </row>
    <row r="801" spans="2:6" x14ac:dyDescent="0.2">
      <c r="B801" s="38" t="s">
        <v>838</v>
      </c>
      <c r="C801" s="40" t="s">
        <v>115</v>
      </c>
      <c r="D801" s="40">
        <v>9</v>
      </c>
      <c r="E801" s="48">
        <v>100</v>
      </c>
      <c r="F801" s="48">
        <f t="shared" si="20"/>
        <v>900</v>
      </c>
    </row>
    <row r="802" spans="2:6" x14ac:dyDescent="0.2">
      <c r="B802" s="38" t="s">
        <v>839</v>
      </c>
      <c r="C802" s="40" t="s">
        <v>115</v>
      </c>
      <c r="D802" s="40">
        <v>15</v>
      </c>
      <c r="E802" s="48">
        <v>80</v>
      </c>
      <c r="F802" s="48">
        <f t="shared" si="20"/>
        <v>1200</v>
      </c>
    </row>
    <row r="804" spans="2:6" ht="14.4" x14ac:dyDescent="0.3">
      <c r="B804" s="325" t="s">
        <v>840</v>
      </c>
    </row>
    <row r="805" spans="2:6" ht="14.4" x14ac:dyDescent="0.3">
      <c r="B805" s="327" t="s">
        <v>354</v>
      </c>
    </row>
    <row r="806" spans="2:6" ht="14.4" x14ac:dyDescent="0.3">
      <c r="B806" s="324"/>
    </row>
    <row r="807" spans="2:6" ht="14.4" x14ac:dyDescent="0.3">
      <c r="B807" s="324"/>
    </row>
    <row r="808" spans="2:6" ht="14.4" x14ac:dyDescent="0.3">
      <c r="B808" s="420" t="s">
        <v>841</v>
      </c>
      <c r="C808" s="328" t="s">
        <v>149</v>
      </c>
      <c r="E808" s="385">
        <v>165.6</v>
      </c>
      <c r="F808" s="48">
        <f>E808*D808</f>
        <v>0</v>
      </c>
    </row>
    <row r="809" spans="2:6" ht="14.4" x14ac:dyDescent="0.3">
      <c r="B809" s="420" t="s">
        <v>842</v>
      </c>
      <c r="C809" s="328" t="s">
        <v>149</v>
      </c>
      <c r="E809" s="385">
        <v>89.699999999999989</v>
      </c>
      <c r="F809" s="48">
        <f t="shared" ref="F809:F855" si="21">E809*D809</f>
        <v>0</v>
      </c>
    </row>
    <row r="810" spans="2:6" ht="14.4" x14ac:dyDescent="0.3">
      <c r="B810" s="420" t="s">
        <v>843</v>
      </c>
      <c r="C810" s="328" t="s">
        <v>149</v>
      </c>
      <c r="E810" s="385">
        <v>66.239999999999995</v>
      </c>
      <c r="F810" s="48">
        <f t="shared" si="21"/>
        <v>0</v>
      </c>
    </row>
    <row r="811" spans="2:6" ht="14.4" x14ac:dyDescent="0.3">
      <c r="B811" s="420" t="s">
        <v>844</v>
      </c>
      <c r="C811" s="328" t="s">
        <v>149</v>
      </c>
      <c r="E811" s="385">
        <v>0</v>
      </c>
      <c r="F811" s="48">
        <f t="shared" si="21"/>
        <v>0</v>
      </c>
    </row>
    <row r="812" spans="2:6" ht="14.4" x14ac:dyDescent="0.3">
      <c r="B812" s="420" t="s">
        <v>845</v>
      </c>
      <c r="C812" s="328" t="s">
        <v>149</v>
      </c>
      <c r="E812" s="385">
        <v>85.104599999999991</v>
      </c>
      <c r="F812" s="48">
        <f t="shared" si="21"/>
        <v>0</v>
      </c>
    </row>
    <row r="813" spans="2:6" ht="14.4" x14ac:dyDescent="0.3">
      <c r="B813" s="420" t="s">
        <v>846</v>
      </c>
      <c r="C813" s="328" t="s">
        <v>149</v>
      </c>
      <c r="E813" s="385">
        <v>84.179999999999993</v>
      </c>
      <c r="F813" s="48">
        <f t="shared" si="21"/>
        <v>0</v>
      </c>
    </row>
    <row r="814" spans="2:6" ht="14.4" x14ac:dyDescent="0.3">
      <c r="B814" s="324" t="s">
        <v>847</v>
      </c>
      <c r="C814" s="328" t="s">
        <v>149</v>
      </c>
      <c r="E814" s="385">
        <v>68.77</v>
      </c>
      <c r="F814" s="48">
        <f t="shared" si="21"/>
        <v>0</v>
      </c>
    </row>
    <row r="815" spans="2:6" ht="14.4" x14ac:dyDescent="0.3">
      <c r="B815" s="324" t="s">
        <v>848</v>
      </c>
      <c r="C815" s="328" t="s">
        <v>149</v>
      </c>
      <c r="E815" s="385">
        <v>55.199999999999996</v>
      </c>
      <c r="F815" s="48">
        <f t="shared" si="21"/>
        <v>0</v>
      </c>
    </row>
    <row r="816" spans="2:6" ht="14.4" x14ac:dyDescent="0.3">
      <c r="B816" s="420" t="s">
        <v>849</v>
      </c>
      <c r="C816" s="328" t="s">
        <v>149</v>
      </c>
      <c r="D816" s="40">
        <v>168</v>
      </c>
      <c r="E816" s="385">
        <v>55.199999999999996</v>
      </c>
      <c r="F816" s="48">
        <f t="shared" si="21"/>
        <v>9273.5999999999985</v>
      </c>
    </row>
    <row r="817" spans="2:6" ht="14.4" x14ac:dyDescent="0.3">
      <c r="B817" s="420" t="s">
        <v>850</v>
      </c>
      <c r="C817" s="328" t="s">
        <v>149</v>
      </c>
      <c r="E817" s="385">
        <v>42.779999999999994</v>
      </c>
      <c r="F817" s="48">
        <f t="shared" si="21"/>
        <v>0</v>
      </c>
    </row>
    <row r="818" spans="2:6" ht="14.4" x14ac:dyDescent="0.3">
      <c r="B818" s="324" t="s">
        <v>851</v>
      </c>
      <c r="C818" s="328" t="s">
        <v>149</v>
      </c>
      <c r="E818" s="385">
        <v>32.659999999999997</v>
      </c>
      <c r="F818" s="48">
        <f t="shared" si="21"/>
        <v>0</v>
      </c>
    </row>
    <row r="819" spans="2:6" ht="14.4" x14ac:dyDescent="0.3">
      <c r="B819" s="420" t="s">
        <v>852</v>
      </c>
      <c r="C819" s="328" t="s">
        <v>149</v>
      </c>
      <c r="E819" s="385">
        <v>19.549999999999997</v>
      </c>
      <c r="F819" s="48">
        <f t="shared" si="21"/>
        <v>0</v>
      </c>
    </row>
    <row r="820" spans="2:6" ht="14.4" x14ac:dyDescent="0.3">
      <c r="B820" s="324" t="s">
        <v>853</v>
      </c>
      <c r="C820" s="328" t="s">
        <v>149</v>
      </c>
      <c r="E820" s="385">
        <v>16.099999999999998</v>
      </c>
      <c r="F820" s="48">
        <f t="shared" si="21"/>
        <v>0</v>
      </c>
    </row>
    <row r="821" spans="2:6" ht="14.4" x14ac:dyDescent="0.3">
      <c r="B821" s="324" t="s">
        <v>854</v>
      </c>
      <c r="C821" s="328" t="s">
        <v>149</v>
      </c>
      <c r="E821" s="385">
        <v>19.549999999999997</v>
      </c>
      <c r="F821" s="48">
        <f t="shared" si="21"/>
        <v>0</v>
      </c>
    </row>
    <row r="822" spans="2:6" ht="14.4" x14ac:dyDescent="0.3">
      <c r="B822" s="420" t="s">
        <v>853</v>
      </c>
      <c r="C822" s="419" t="s">
        <v>149</v>
      </c>
      <c r="D822" s="40">
        <v>8</v>
      </c>
      <c r="E822" s="385">
        <v>16.559999999999999</v>
      </c>
      <c r="F822" s="48">
        <f t="shared" si="21"/>
        <v>132.47999999999999</v>
      </c>
    </row>
    <row r="823" spans="2:6" ht="14.4" x14ac:dyDescent="0.3">
      <c r="B823" s="420" t="s">
        <v>764</v>
      </c>
      <c r="C823" s="419" t="s">
        <v>149</v>
      </c>
      <c r="D823" s="40">
        <v>41</v>
      </c>
      <c r="E823" s="385">
        <f>(2415.3/(83*6))*1.38</f>
        <v>6.6930000000000005</v>
      </c>
      <c r="F823" s="48">
        <f t="shared" si="21"/>
        <v>274.41300000000001</v>
      </c>
    </row>
    <row r="824" spans="2:6" ht="14.4" x14ac:dyDescent="0.3">
      <c r="B824" s="420" t="s">
        <v>855</v>
      </c>
      <c r="C824" s="419" t="s">
        <v>149</v>
      </c>
      <c r="E824" s="385">
        <v>6.8999999999999995</v>
      </c>
      <c r="F824" s="48">
        <f t="shared" si="21"/>
        <v>0</v>
      </c>
    </row>
    <row r="825" spans="2:6" ht="14.4" x14ac:dyDescent="0.3">
      <c r="B825" s="420" t="s">
        <v>856</v>
      </c>
      <c r="C825" s="419" t="s">
        <v>149</v>
      </c>
      <c r="E825" s="385">
        <f>(2415.3/(83*6))*1.38</f>
        <v>6.6930000000000005</v>
      </c>
      <c r="F825" s="48">
        <f t="shared" si="21"/>
        <v>0</v>
      </c>
    </row>
    <row r="826" spans="2:6" ht="14.4" x14ac:dyDescent="0.3">
      <c r="B826" s="420"/>
      <c r="C826" s="419"/>
      <c r="E826" s="385">
        <v>0</v>
      </c>
      <c r="F826" s="48">
        <f t="shared" si="21"/>
        <v>0</v>
      </c>
    </row>
    <row r="827" spans="2:6" ht="14.4" x14ac:dyDescent="0.3">
      <c r="B827" s="335" t="s">
        <v>857</v>
      </c>
      <c r="C827" s="328"/>
      <c r="E827" s="385">
        <v>0</v>
      </c>
      <c r="F827" s="48">
        <f t="shared" si="21"/>
        <v>0</v>
      </c>
    </row>
    <row r="828" spans="2:6" ht="14.4" x14ac:dyDescent="0.3">
      <c r="B828" s="420"/>
      <c r="C828" s="328" t="s">
        <v>115</v>
      </c>
      <c r="E828" s="385">
        <v>0</v>
      </c>
      <c r="F828" s="48">
        <f t="shared" si="21"/>
        <v>0</v>
      </c>
    </row>
    <row r="829" spans="2:6" ht="14.4" x14ac:dyDescent="0.3">
      <c r="B829" t="s">
        <v>858</v>
      </c>
      <c r="C829" s="328" t="s">
        <v>115</v>
      </c>
      <c r="E829" s="385">
        <v>676.19999999999993</v>
      </c>
      <c r="F829" s="48">
        <f t="shared" si="21"/>
        <v>0</v>
      </c>
    </row>
    <row r="830" spans="2:6" ht="14.4" x14ac:dyDescent="0.3">
      <c r="B830" t="s">
        <v>859</v>
      </c>
      <c r="C830" s="328" t="s">
        <v>115</v>
      </c>
      <c r="E830" s="385">
        <v>896.99999999999989</v>
      </c>
      <c r="F830" s="48">
        <f t="shared" si="21"/>
        <v>0</v>
      </c>
    </row>
    <row r="831" spans="2:6" ht="14.4" x14ac:dyDescent="0.3">
      <c r="B831" t="s">
        <v>860</v>
      </c>
      <c r="C831" s="328" t="s">
        <v>115</v>
      </c>
      <c r="E831" s="385">
        <v>1517.9999999999998</v>
      </c>
      <c r="F831" s="48">
        <f t="shared" si="21"/>
        <v>0</v>
      </c>
    </row>
    <row r="832" spans="2:6" ht="14.4" x14ac:dyDescent="0.3">
      <c r="B832" t="s">
        <v>861</v>
      </c>
      <c r="C832" s="328" t="s">
        <v>115</v>
      </c>
      <c r="E832" s="385">
        <v>634.79999999999995</v>
      </c>
      <c r="F832" s="48">
        <f t="shared" si="21"/>
        <v>0</v>
      </c>
    </row>
    <row r="833" spans="2:6" ht="14.4" x14ac:dyDescent="0.3">
      <c r="B833" t="s">
        <v>862</v>
      </c>
      <c r="C833" s="328" t="s">
        <v>115</v>
      </c>
      <c r="E833" s="385">
        <v>800.4</v>
      </c>
      <c r="F833" s="48">
        <f t="shared" si="21"/>
        <v>0</v>
      </c>
    </row>
    <row r="834" spans="2:6" ht="14.4" x14ac:dyDescent="0.3">
      <c r="B834" t="s">
        <v>863</v>
      </c>
      <c r="C834" s="328" t="s">
        <v>115</v>
      </c>
      <c r="E834" s="385">
        <v>441.59999999999997</v>
      </c>
      <c r="F834" s="48">
        <f t="shared" si="21"/>
        <v>0</v>
      </c>
    </row>
    <row r="835" spans="2:6" ht="14.4" x14ac:dyDescent="0.3">
      <c r="B835" s="420" t="s">
        <v>864</v>
      </c>
      <c r="C835" s="328" t="s">
        <v>115</v>
      </c>
      <c r="E835" s="385">
        <v>579.59999999999991</v>
      </c>
      <c r="F835" s="48">
        <f t="shared" si="21"/>
        <v>0</v>
      </c>
    </row>
    <row r="836" spans="2:6" ht="14.4" x14ac:dyDescent="0.3">
      <c r="B836" s="420" t="s">
        <v>865</v>
      </c>
      <c r="C836" s="328" t="s">
        <v>115</v>
      </c>
      <c r="E836" s="385">
        <v>776.09819999999991</v>
      </c>
      <c r="F836" s="48">
        <f t="shared" si="21"/>
        <v>0</v>
      </c>
    </row>
    <row r="837" spans="2:6" ht="14.4" x14ac:dyDescent="0.3">
      <c r="B837" s="420" t="s">
        <v>866</v>
      </c>
      <c r="C837" s="328" t="s">
        <v>115</v>
      </c>
      <c r="E837" s="385">
        <v>777.4781999999999</v>
      </c>
      <c r="F837" s="48">
        <f t="shared" si="21"/>
        <v>0</v>
      </c>
    </row>
    <row r="838" spans="2:6" ht="14.4" x14ac:dyDescent="0.3">
      <c r="B838" s="420" t="s">
        <v>867</v>
      </c>
      <c r="C838" s="328" t="s">
        <v>115</v>
      </c>
      <c r="E838" s="385">
        <v>524.4</v>
      </c>
      <c r="F838" s="48">
        <f t="shared" si="21"/>
        <v>0</v>
      </c>
    </row>
    <row r="839" spans="2:6" ht="14.4" x14ac:dyDescent="0.3">
      <c r="B839" s="420" t="s">
        <v>868</v>
      </c>
      <c r="C839" s="328" t="s">
        <v>115</v>
      </c>
      <c r="E839" s="385">
        <v>496.79999999999995</v>
      </c>
      <c r="F839" s="48">
        <f t="shared" si="21"/>
        <v>0</v>
      </c>
    </row>
    <row r="840" spans="2:6" ht="14.4" x14ac:dyDescent="0.3">
      <c r="B840" s="420" t="s">
        <v>869</v>
      </c>
      <c r="C840" s="328" t="s">
        <v>115</v>
      </c>
      <c r="E840" s="385">
        <v>745.19999999999993</v>
      </c>
      <c r="F840" s="48">
        <f t="shared" si="21"/>
        <v>0</v>
      </c>
    </row>
    <row r="841" spans="2:6" ht="14.4" x14ac:dyDescent="0.3">
      <c r="B841" s="420" t="s">
        <v>870</v>
      </c>
      <c r="C841" s="328" t="s">
        <v>115</v>
      </c>
      <c r="E841" s="385">
        <v>621</v>
      </c>
      <c r="F841" s="48">
        <f t="shared" si="21"/>
        <v>0</v>
      </c>
    </row>
    <row r="842" spans="2:6" ht="14.4" x14ac:dyDescent="0.3">
      <c r="B842" s="420" t="s">
        <v>871</v>
      </c>
      <c r="C842" s="328" t="s">
        <v>115</v>
      </c>
      <c r="E842" s="385">
        <v>496.79999999999995</v>
      </c>
      <c r="F842" s="48">
        <f t="shared" si="21"/>
        <v>0</v>
      </c>
    </row>
    <row r="843" spans="2:6" ht="14.4" x14ac:dyDescent="0.3">
      <c r="B843" s="420" t="s">
        <v>872</v>
      </c>
      <c r="C843" s="328" t="s">
        <v>115</v>
      </c>
      <c r="E843" s="385">
        <v>441.59999999999997</v>
      </c>
      <c r="F843" s="48">
        <f t="shared" si="21"/>
        <v>0</v>
      </c>
    </row>
    <row r="844" spans="2:6" ht="14.4" x14ac:dyDescent="0.3">
      <c r="B844" s="420" t="s">
        <v>873</v>
      </c>
      <c r="C844" s="328" t="s">
        <v>115</v>
      </c>
      <c r="E844" s="385">
        <v>262.2</v>
      </c>
      <c r="F844" s="48">
        <f t="shared" si="21"/>
        <v>0</v>
      </c>
    </row>
    <row r="845" spans="2:6" ht="14.4" x14ac:dyDescent="0.3">
      <c r="B845" s="420" t="s">
        <v>874</v>
      </c>
      <c r="C845" s="328" t="s">
        <v>115</v>
      </c>
      <c r="E845" s="385">
        <v>345</v>
      </c>
      <c r="F845" s="48">
        <f t="shared" si="21"/>
        <v>0</v>
      </c>
    </row>
    <row r="846" spans="2:6" ht="14.4" x14ac:dyDescent="0.3">
      <c r="B846" s="420" t="s">
        <v>875</v>
      </c>
      <c r="C846" s="328" t="s">
        <v>115</v>
      </c>
      <c r="E846" s="385">
        <v>262.2</v>
      </c>
      <c r="F846" s="48">
        <f t="shared" si="21"/>
        <v>0</v>
      </c>
    </row>
    <row r="847" spans="2:6" ht="14.4" x14ac:dyDescent="0.3">
      <c r="B847" s="420" t="s">
        <v>876</v>
      </c>
      <c r="C847" s="328" t="s">
        <v>115</v>
      </c>
      <c r="E847" s="385">
        <v>455.4</v>
      </c>
      <c r="F847" s="48">
        <f t="shared" si="21"/>
        <v>0</v>
      </c>
    </row>
    <row r="848" spans="2:6" ht="14.4" x14ac:dyDescent="0.3">
      <c r="B848" s="420" t="s">
        <v>877</v>
      </c>
      <c r="C848" s="328" t="s">
        <v>115</v>
      </c>
      <c r="E848" s="385">
        <v>117.645</v>
      </c>
      <c r="F848" s="48">
        <f t="shared" si="21"/>
        <v>0</v>
      </c>
    </row>
    <row r="849" spans="2:6" ht="14.4" x14ac:dyDescent="0.3">
      <c r="B849" s="420" t="s">
        <v>878</v>
      </c>
      <c r="C849" s="328" t="s">
        <v>115</v>
      </c>
      <c r="E849" s="385">
        <v>289.79999999999995</v>
      </c>
      <c r="F849" s="48">
        <f t="shared" si="21"/>
        <v>0</v>
      </c>
    </row>
    <row r="850" spans="2:6" ht="14.4" x14ac:dyDescent="0.3">
      <c r="B850" s="420" t="s">
        <v>879</v>
      </c>
      <c r="C850" s="328" t="s">
        <v>115</v>
      </c>
      <c r="D850" s="40">
        <v>74</v>
      </c>
      <c r="E850" s="385">
        <v>85.559999999999988</v>
      </c>
      <c r="F850" s="48">
        <f t="shared" si="21"/>
        <v>6331.4399999999987</v>
      </c>
    </row>
    <row r="851" spans="2:6" ht="14.4" x14ac:dyDescent="0.3">
      <c r="B851" s="420" t="s">
        <v>880</v>
      </c>
      <c r="C851" s="328" t="s">
        <v>115</v>
      </c>
      <c r="D851" s="40">
        <v>3</v>
      </c>
      <c r="E851" s="385">
        <v>84.179999999999993</v>
      </c>
      <c r="F851" s="48">
        <f t="shared" si="21"/>
        <v>252.53999999999996</v>
      </c>
    </row>
    <row r="852" spans="2:6" ht="14.4" x14ac:dyDescent="0.3">
      <c r="B852" s="420" t="s">
        <v>881</v>
      </c>
      <c r="C852" s="419" t="s">
        <v>115</v>
      </c>
      <c r="E852" s="385">
        <v>62.099999999999994</v>
      </c>
      <c r="F852" s="48">
        <f t="shared" si="21"/>
        <v>0</v>
      </c>
    </row>
    <row r="853" spans="2:6" ht="14.4" x14ac:dyDescent="0.3">
      <c r="B853" s="420" t="s">
        <v>882</v>
      </c>
      <c r="C853" s="328" t="s">
        <v>115</v>
      </c>
      <c r="E853" s="385">
        <v>24.839999999999996</v>
      </c>
      <c r="F853" s="48">
        <f t="shared" si="21"/>
        <v>0</v>
      </c>
    </row>
    <row r="854" spans="2:6" ht="14.4" x14ac:dyDescent="0.3">
      <c r="B854" s="420" t="s">
        <v>883</v>
      </c>
      <c r="C854" s="328" t="s">
        <v>115</v>
      </c>
      <c r="D854" s="40">
        <v>3</v>
      </c>
      <c r="E854" s="385">
        <v>22.08</v>
      </c>
      <c r="F854" s="48">
        <f t="shared" si="21"/>
        <v>66.239999999999995</v>
      </c>
    </row>
    <row r="855" spans="2:6" ht="14.4" x14ac:dyDescent="0.3">
      <c r="B855" s="420" t="s">
        <v>884</v>
      </c>
      <c r="C855" s="328" t="s">
        <v>115</v>
      </c>
      <c r="E855" s="385">
        <v>16.559999999999999</v>
      </c>
      <c r="F855" s="48">
        <f t="shared" si="21"/>
        <v>0</v>
      </c>
    </row>
    <row r="856" spans="2:6" ht="14.4" x14ac:dyDescent="0.3">
      <c r="B856" s="420" t="s">
        <v>885</v>
      </c>
      <c r="C856" s="419" t="s">
        <v>115</v>
      </c>
      <c r="E856" s="385">
        <v>22.08</v>
      </c>
      <c r="F856" s="48">
        <f t="shared" ref="F856:F890" si="22">E856*D856</f>
        <v>0</v>
      </c>
    </row>
    <row r="857" spans="2:6" ht="14.4" x14ac:dyDescent="0.3">
      <c r="B857" s="420" t="s">
        <v>886</v>
      </c>
      <c r="C857" s="419" t="s">
        <v>115</v>
      </c>
      <c r="E857" s="385">
        <v>22.08</v>
      </c>
      <c r="F857" s="48">
        <f t="shared" si="22"/>
        <v>0</v>
      </c>
    </row>
    <row r="858" spans="2:6" ht="14.4" x14ac:dyDescent="0.3">
      <c r="B858" s="420" t="s">
        <v>766</v>
      </c>
      <c r="C858" s="419" t="s">
        <v>115</v>
      </c>
      <c r="D858" s="40">
        <v>2</v>
      </c>
      <c r="E858" s="385">
        <v>6.4859999999999998</v>
      </c>
      <c r="F858" s="48">
        <f t="shared" si="22"/>
        <v>12.972</v>
      </c>
    </row>
    <row r="859" spans="2:6" ht="14.4" x14ac:dyDescent="0.3">
      <c r="B859" s="420" t="s">
        <v>887</v>
      </c>
      <c r="C859" s="419" t="s">
        <v>115</v>
      </c>
      <c r="E859" s="385">
        <v>22.08</v>
      </c>
      <c r="F859" s="48">
        <f t="shared" si="22"/>
        <v>0</v>
      </c>
    </row>
    <row r="860" spans="2:6" ht="14.4" x14ac:dyDescent="0.3">
      <c r="B860" s="420" t="s">
        <v>888</v>
      </c>
      <c r="C860" s="419" t="s">
        <v>115</v>
      </c>
      <c r="E860" s="385">
        <v>22.08</v>
      </c>
      <c r="F860" s="48">
        <f t="shared" si="22"/>
        <v>0</v>
      </c>
    </row>
    <row r="861" spans="2:6" ht="14.4" x14ac:dyDescent="0.3">
      <c r="B861" s="420" t="s">
        <v>772</v>
      </c>
      <c r="C861" s="419" t="s">
        <v>115</v>
      </c>
      <c r="D861" s="40">
        <v>8</v>
      </c>
      <c r="E861" s="385">
        <v>16.559999999999999</v>
      </c>
      <c r="F861" s="48">
        <f t="shared" si="22"/>
        <v>132.47999999999999</v>
      </c>
    </row>
    <row r="862" spans="2:6" ht="14.4" x14ac:dyDescent="0.3">
      <c r="B862" s="420" t="s">
        <v>773</v>
      </c>
      <c r="C862" s="419" t="s">
        <v>115</v>
      </c>
      <c r="D862" s="40">
        <v>8</v>
      </c>
      <c r="E862" s="385">
        <v>16.559999999999999</v>
      </c>
      <c r="F862" s="48">
        <f t="shared" si="22"/>
        <v>132.47999999999999</v>
      </c>
    </row>
    <row r="863" spans="2:6" ht="14.4" x14ac:dyDescent="0.3">
      <c r="B863" s="420" t="s">
        <v>889</v>
      </c>
      <c r="C863" s="419" t="s">
        <v>115</v>
      </c>
      <c r="E863" s="385">
        <v>19.32</v>
      </c>
      <c r="F863" s="48">
        <f t="shared" si="22"/>
        <v>0</v>
      </c>
    </row>
    <row r="864" spans="2:6" ht="14.4" x14ac:dyDescent="0.3">
      <c r="B864" s="420" t="s">
        <v>890</v>
      </c>
      <c r="C864" s="419" t="s">
        <v>115</v>
      </c>
      <c r="E864" s="385">
        <v>0.89699999999999991</v>
      </c>
      <c r="F864" s="48">
        <f t="shared" si="22"/>
        <v>0</v>
      </c>
    </row>
    <row r="865" spans="2:6" ht="14.4" x14ac:dyDescent="0.3">
      <c r="B865" s="420" t="s">
        <v>891</v>
      </c>
      <c r="C865" s="419" t="s">
        <v>115</v>
      </c>
      <c r="E865" s="385">
        <v>0.89699999999999991</v>
      </c>
      <c r="F865" s="48">
        <f t="shared" si="22"/>
        <v>0</v>
      </c>
    </row>
    <row r="866" spans="2:6" ht="14.4" x14ac:dyDescent="0.3">
      <c r="B866" s="420"/>
      <c r="C866" s="419"/>
      <c r="E866" s="385">
        <v>0</v>
      </c>
      <c r="F866" s="48">
        <f t="shared" si="22"/>
        <v>0</v>
      </c>
    </row>
    <row r="867" spans="2:6" ht="14.4" x14ac:dyDescent="0.3">
      <c r="B867" s="420"/>
      <c r="C867" s="419"/>
      <c r="E867" s="385">
        <v>0</v>
      </c>
      <c r="F867" s="48">
        <f t="shared" si="22"/>
        <v>0</v>
      </c>
    </row>
    <row r="868" spans="2:6" ht="14.4" x14ac:dyDescent="0.3">
      <c r="B868" s="324" t="s">
        <v>892</v>
      </c>
      <c r="C868" s="328" t="s">
        <v>115</v>
      </c>
      <c r="E868" s="385">
        <v>2.6219999999999999</v>
      </c>
      <c r="F868" s="48">
        <f t="shared" si="22"/>
        <v>0</v>
      </c>
    </row>
    <row r="869" spans="2:6" ht="14.4" x14ac:dyDescent="0.3">
      <c r="B869" s="324" t="s">
        <v>491</v>
      </c>
      <c r="C869" s="328" t="s">
        <v>149</v>
      </c>
      <c r="E869" s="385">
        <v>2.76</v>
      </c>
      <c r="F869" s="48">
        <f t="shared" si="22"/>
        <v>0</v>
      </c>
    </row>
    <row r="870" spans="2:6" ht="14.4" x14ac:dyDescent="0.3">
      <c r="B870" s="324" t="s">
        <v>801</v>
      </c>
      <c r="C870" s="328" t="s">
        <v>115</v>
      </c>
      <c r="E870" s="385">
        <v>36.431999999999995</v>
      </c>
      <c r="F870" s="48">
        <f t="shared" si="22"/>
        <v>0</v>
      </c>
    </row>
    <row r="871" spans="2:6" ht="14.4" x14ac:dyDescent="0.3">
      <c r="B871" s="324" t="s">
        <v>802</v>
      </c>
      <c r="C871" s="328" t="s">
        <v>115</v>
      </c>
      <c r="E871" s="385">
        <v>31.74</v>
      </c>
      <c r="F871" s="48">
        <f t="shared" si="22"/>
        <v>0</v>
      </c>
    </row>
    <row r="872" spans="2:6" ht="14.4" x14ac:dyDescent="0.3">
      <c r="B872" s="324"/>
      <c r="C872" s="328"/>
      <c r="E872" s="385">
        <v>0</v>
      </c>
      <c r="F872" s="48">
        <f t="shared" si="22"/>
        <v>0</v>
      </c>
    </row>
    <row r="873" spans="2:6" ht="14.4" x14ac:dyDescent="0.3">
      <c r="B873" s="426" t="s">
        <v>893</v>
      </c>
      <c r="C873" s="328"/>
      <c r="E873" s="385">
        <v>0</v>
      </c>
      <c r="F873" s="48">
        <f t="shared" si="22"/>
        <v>0</v>
      </c>
    </row>
    <row r="874" spans="2:6" ht="14.4" x14ac:dyDescent="0.3">
      <c r="B874" s="324"/>
      <c r="C874" s="328"/>
      <c r="E874" s="385">
        <v>0</v>
      </c>
      <c r="F874" s="48">
        <f t="shared" si="22"/>
        <v>0</v>
      </c>
    </row>
    <row r="875" spans="2:6" ht="14.4" x14ac:dyDescent="0.3">
      <c r="B875" s="420" t="s">
        <v>894</v>
      </c>
      <c r="C875" s="328" t="s">
        <v>115</v>
      </c>
      <c r="E875" s="385">
        <v>362.13959999999997</v>
      </c>
      <c r="F875" s="48">
        <f t="shared" si="22"/>
        <v>0</v>
      </c>
    </row>
    <row r="876" spans="2:6" ht="14.4" x14ac:dyDescent="0.3">
      <c r="B876" s="420" t="s">
        <v>895</v>
      </c>
      <c r="C876" s="328" t="s">
        <v>115</v>
      </c>
      <c r="E876" s="385">
        <v>827.99999999999989</v>
      </c>
      <c r="F876" s="48">
        <f t="shared" si="22"/>
        <v>0</v>
      </c>
    </row>
    <row r="877" spans="2:6" ht="14.4" x14ac:dyDescent="0.3">
      <c r="B877" s="420" t="s">
        <v>896</v>
      </c>
      <c r="C877" s="328" t="s">
        <v>115</v>
      </c>
      <c r="E877" s="385">
        <v>552</v>
      </c>
      <c r="F877" s="48">
        <f t="shared" si="22"/>
        <v>0</v>
      </c>
    </row>
    <row r="878" spans="2:6" ht="14.4" x14ac:dyDescent="0.3">
      <c r="B878" s="420"/>
      <c r="C878" s="328"/>
      <c r="E878" s="385">
        <v>0</v>
      </c>
      <c r="F878" s="48">
        <f t="shared" si="22"/>
        <v>0</v>
      </c>
    </row>
    <row r="879" spans="2:6" ht="14.4" x14ac:dyDescent="0.3">
      <c r="B879" s="420" t="s">
        <v>897</v>
      </c>
      <c r="C879" s="328" t="s">
        <v>115</v>
      </c>
      <c r="E879" s="385">
        <v>690</v>
      </c>
      <c r="F879" s="48">
        <f t="shared" si="22"/>
        <v>0</v>
      </c>
    </row>
    <row r="880" spans="2:6" ht="14.4" x14ac:dyDescent="0.3">
      <c r="B880" s="420" t="s">
        <v>898</v>
      </c>
      <c r="C880" s="328" t="s">
        <v>115</v>
      </c>
      <c r="E880" s="385">
        <v>413.99999999999994</v>
      </c>
      <c r="F880" s="48">
        <f t="shared" si="22"/>
        <v>0</v>
      </c>
    </row>
    <row r="881" spans="2:6" ht="14.4" x14ac:dyDescent="0.3">
      <c r="B881" s="420" t="s">
        <v>899</v>
      </c>
      <c r="C881" s="328" t="s">
        <v>115</v>
      </c>
      <c r="E881" s="385">
        <v>413.99999999999994</v>
      </c>
      <c r="F881" s="48">
        <f t="shared" si="22"/>
        <v>0</v>
      </c>
    </row>
    <row r="882" spans="2:6" ht="14.4" x14ac:dyDescent="0.3">
      <c r="B882" s="420" t="s">
        <v>898</v>
      </c>
      <c r="C882" s="328" t="s">
        <v>115</v>
      </c>
      <c r="E882" s="385">
        <v>413.99999999999994</v>
      </c>
      <c r="F882" s="48">
        <f t="shared" si="22"/>
        <v>0</v>
      </c>
    </row>
    <row r="883" spans="2:6" ht="14.4" x14ac:dyDescent="0.3">
      <c r="B883" s="421" t="s">
        <v>900</v>
      </c>
      <c r="C883" s="397" t="s">
        <v>115</v>
      </c>
      <c r="D883" s="398">
        <v>10</v>
      </c>
      <c r="E883" s="404">
        <v>80</v>
      </c>
      <c r="F883" s="400">
        <f t="shared" si="22"/>
        <v>800</v>
      </c>
    </row>
    <row r="884" spans="2:6" ht="14.4" x14ac:dyDescent="0.3">
      <c r="B884" s="420" t="s">
        <v>901</v>
      </c>
      <c r="C884" s="419" t="s">
        <v>115</v>
      </c>
      <c r="D884" s="40">
        <v>1</v>
      </c>
      <c r="E884" s="405">
        <f>89.62+37.92</f>
        <v>127.54</v>
      </c>
      <c r="F884" s="48">
        <f t="shared" si="22"/>
        <v>127.54</v>
      </c>
    </row>
    <row r="885" spans="2:6" ht="14.4" x14ac:dyDescent="0.3">
      <c r="B885" s="420" t="s">
        <v>902</v>
      </c>
      <c r="C885" s="419" t="s">
        <v>115</v>
      </c>
      <c r="D885" s="40">
        <v>1</v>
      </c>
      <c r="E885" s="405">
        <f>228+147</f>
        <v>375</v>
      </c>
      <c r="F885" s="48">
        <f t="shared" si="22"/>
        <v>375</v>
      </c>
    </row>
    <row r="886" spans="2:6" ht="14.4" x14ac:dyDescent="0.3">
      <c r="B886" s="420" t="s">
        <v>903</v>
      </c>
      <c r="C886" s="419" t="s">
        <v>115</v>
      </c>
      <c r="D886" s="40">
        <v>15</v>
      </c>
      <c r="E886" s="405">
        <f>166+84</f>
        <v>250</v>
      </c>
      <c r="F886" s="48">
        <f t="shared" si="22"/>
        <v>3750</v>
      </c>
    </row>
    <row r="887" spans="2:6" ht="14.4" x14ac:dyDescent="0.3">
      <c r="B887" s="421" t="s">
        <v>904</v>
      </c>
      <c r="C887" s="424" t="s">
        <v>115</v>
      </c>
      <c r="D887" s="398">
        <v>1</v>
      </c>
      <c r="E887" s="404">
        <v>1500</v>
      </c>
      <c r="F887" s="400">
        <f t="shared" si="22"/>
        <v>1500</v>
      </c>
    </row>
    <row r="888" spans="2:6" ht="14.4" x14ac:dyDescent="0.3">
      <c r="B888" s="420" t="s">
        <v>905</v>
      </c>
      <c r="C888" s="328" t="s">
        <v>115</v>
      </c>
      <c r="E888" s="385">
        <v>20.7</v>
      </c>
      <c r="F888" s="48">
        <f t="shared" si="22"/>
        <v>0</v>
      </c>
    </row>
    <row r="889" spans="2:6" ht="14.4" x14ac:dyDescent="0.3">
      <c r="B889" s="420" t="s">
        <v>906</v>
      </c>
      <c r="C889" s="419" t="s">
        <v>115</v>
      </c>
      <c r="E889" s="385">
        <v>110.39999999999999</v>
      </c>
      <c r="F889" s="48">
        <f t="shared" si="22"/>
        <v>0</v>
      </c>
    </row>
    <row r="890" spans="2:6" ht="14.4" x14ac:dyDescent="0.3">
      <c r="B890" s="420" t="s">
        <v>907</v>
      </c>
      <c r="C890" s="419" t="s">
        <v>115</v>
      </c>
      <c r="D890" s="40">
        <v>4</v>
      </c>
      <c r="E890" s="326">
        <v>180</v>
      </c>
      <c r="F890" s="48">
        <f t="shared" si="22"/>
        <v>720</v>
      </c>
    </row>
    <row r="893" spans="2:6" ht="14.4" x14ac:dyDescent="0.3">
      <c r="B893" s="325" t="s">
        <v>908</v>
      </c>
    </row>
    <row r="895" spans="2:6" ht="14.4" x14ac:dyDescent="0.3">
      <c r="B895" t="s">
        <v>909</v>
      </c>
      <c r="C895" s="419" t="s">
        <v>115</v>
      </c>
      <c r="D895" s="40">
        <v>4</v>
      </c>
      <c r="E895" s="326">
        <v>1800</v>
      </c>
      <c r="F895" s="48">
        <f t="shared" ref="F895" si="23">E895*D895</f>
        <v>7200</v>
      </c>
    </row>
    <row r="896" spans="2:6" ht="14.4" x14ac:dyDescent="0.3">
      <c r="B896" t="s">
        <v>909</v>
      </c>
      <c r="C896" s="419" t="s">
        <v>115</v>
      </c>
      <c r="D896" s="40">
        <v>2</v>
      </c>
      <c r="E896" s="326">
        <v>1801</v>
      </c>
      <c r="F896" s="48">
        <f>E896*D896</f>
        <v>3602</v>
      </c>
    </row>
    <row r="900" spans="3:6" x14ac:dyDescent="0.2">
      <c r="C900" s="548" t="s">
        <v>910</v>
      </c>
      <c r="D900" s="548"/>
      <c r="E900" s="548"/>
    </row>
    <row r="901" spans="3:6" x14ac:dyDescent="0.2">
      <c r="C901" s="548"/>
      <c r="D901" s="548"/>
      <c r="E901" s="548"/>
      <c r="F901" s="41">
        <f>SUM(F15:F900)</f>
        <v>562924.65774711256</v>
      </c>
    </row>
    <row r="902" spans="3:6" x14ac:dyDescent="0.2">
      <c r="C902" s="548"/>
      <c r="D902" s="548"/>
      <c r="E902" s="548"/>
    </row>
    <row r="904" spans="3:6" x14ac:dyDescent="0.2">
      <c r="E904" s="392" t="s">
        <v>911</v>
      </c>
      <c r="F904" s="393">
        <v>1.1499999999999999</v>
      </c>
    </row>
    <row r="905" spans="3:6" x14ac:dyDescent="0.2">
      <c r="E905" s="392" t="s">
        <v>912</v>
      </c>
      <c r="F905" s="41">
        <v>3650</v>
      </c>
    </row>
    <row r="907" spans="3:6" x14ac:dyDescent="0.2">
      <c r="C907" s="548" t="s">
        <v>14</v>
      </c>
      <c r="D907" s="548"/>
      <c r="E907" s="548"/>
    </row>
    <row r="908" spans="3:6" x14ac:dyDescent="0.2">
      <c r="C908" s="548"/>
      <c r="D908" s="548"/>
      <c r="E908" s="548"/>
      <c r="F908" s="41">
        <f>F901*F904+F905</f>
        <v>651013.3564091794</v>
      </c>
    </row>
    <row r="909" spans="3:6" x14ac:dyDescent="0.2">
      <c r="C909" s="548"/>
      <c r="D909" s="548"/>
      <c r="E909" s="548"/>
    </row>
    <row r="913" spans="2:12" ht="10.8" thickBot="1" x14ac:dyDescent="0.25"/>
    <row r="914" spans="2:12" s="120" customFormat="1" ht="15" thickBot="1" x14ac:dyDescent="0.35">
      <c r="B914" s="173" t="s">
        <v>913</v>
      </c>
      <c r="C914" s="121"/>
      <c r="D914" s="122"/>
      <c r="E914" s="125"/>
      <c r="F914" s="125"/>
      <c r="G914" s="125"/>
      <c r="H914" s="124"/>
      <c r="K914" s="196"/>
    </row>
    <row r="915" spans="2:12" s="120" customFormat="1" ht="14.4" x14ac:dyDescent="0.3">
      <c r="B915" s="126"/>
      <c r="C915" s="193" t="s">
        <v>914</v>
      </c>
      <c r="D915" s="193" t="s">
        <v>102</v>
      </c>
      <c r="E915" s="194"/>
      <c r="F915" s="194"/>
      <c r="G915" s="125"/>
      <c r="H915" s="124"/>
      <c r="K915" s="196"/>
    </row>
    <row r="916" spans="2:12" s="120" customFormat="1" ht="14.4" x14ac:dyDescent="0.3">
      <c r="B916" s="427" t="s">
        <v>915</v>
      </c>
      <c r="C916" s="196">
        <f>C920</f>
        <v>1192</v>
      </c>
      <c r="D916" s="196" t="s">
        <v>149</v>
      </c>
      <c r="E916" s="125"/>
      <c r="F916" s="125"/>
      <c r="G916" s="125"/>
      <c r="H916" s="124"/>
      <c r="K916" s="196"/>
    </row>
    <row r="917" spans="2:12" s="120" customFormat="1" ht="14.4" x14ac:dyDescent="0.3">
      <c r="B917" s="336" t="s">
        <v>916</v>
      </c>
      <c r="C917" s="196">
        <v>0</v>
      </c>
      <c r="D917" s="196" t="s">
        <v>149</v>
      </c>
      <c r="E917" s="125"/>
      <c r="F917" s="125"/>
      <c r="G917" s="125"/>
      <c r="H917" s="124"/>
      <c r="K917" s="196"/>
    </row>
    <row r="918" spans="2:12" s="120" customFormat="1" ht="14.4" x14ac:dyDescent="0.3">
      <c r="B918" s="336" t="s">
        <v>917</v>
      </c>
      <c r="C918" s="196">
        <v>0</v>
      </c>
      <c r="D918" s="196" t="s">
        <v>154</v>
      </c>
      <c r="E918" s="125"/>
      <c r="F918" s="125"/>
      <c r="G918" s="125"/>
      <c r="H918" s="124"/>
      <c r="K918" s="196"/>
    </row>
    <row r="919" spans="2:12" s="120" customFormat="1" ht="14.4" x14ac:dyDescent="0.3">
      <c r="B919" s="336" t="s">
        <v>918</v>
      </c>
      <c r="C919" s="196">
        <v>0</v>
      </c>
      <c r="D919" s="196" t="s">
        <v>149</v>
      </c>
      <c r="E919" s="125"/>
      <c r="F919" s="125"/>
      <c r="G919" s="125"/>
      <c r="H919" s="124"/>
      <c r="K919" s="196"/>
    </row>
    <row r="920" spans="2:12" s="120" customFormat="1" ht="14.4" x14ac:dyDescent="0.3">
      <c r="B920" s="427" t="s">
        <v>919</v>
      </c>
      <c r="C920" s="428">
        <f>SUM(D173:D177)+SUM(D360:D370)+D715+D728+D730+SUM(D808:D825)+D787</f>
        <v>1192</v>
      </c>
      <c r="D920" s="196" t="s">
        <v>149</v>
      </c>
      <c r="E920" s="125"/>
      <c r="F920" s="125"/>
      <c r="G920" s="125"/>
      <c r="H920" s="124"/>
      <c r="K920" s="196"/>
    </row>
    <row r="921" spans="2:12" s="120" customFormat="1" ht="14.4" x14ac:dyDescent="0.3">
      <c r="B921" s="427" t="s">
        <v>920</v>
      </c>
      <c r="C921" s="338"/>
      <c r="D921" s="196" t="s">
        <v>149</v>
      </c>
      <c r="E921" s="125"/>
      <c r="F921" s="125"/>
      <c r="G921" s="125"/>
      <c r="H921" s="124"/>
      <c r="K921" s="196"/>
    </row>
    <row r="922" spans="2:12" s="120" customFormat="1" ht="14.4" x14ac:dyDescent="0.3">
      <c r="B922" s="427" t="s">
        <v>921</v>
      </c>
      <c r="C922" s="339">
        <v>0.1</v>
      </c>
      <c r="D922" s="196" t="s">
        <v>149</v>
      </c>
      <c r="F922" s="125"/>
      <c r="G922" s="125"/>
      <c r="H922" s="124"/>
      <c r="K922" s="196"/>
    </row>
    <row r="923" spans="2:12" s="120" customFormat="1" ht="14.4" x14ac:dyDescent="0.3">
      <c r="B923" s="427" t="s">
        <v>922</v>
      </c>
      <c r="C923" s="339"/>
      <c r="D923" s="196" t="s">
        <v>149</v>
      </c>
      <c r="E923" s="429">
        <f>C923/(C920+C921)</f>
        <v>0</v>
      </c>
      <c r="F923" s="125"/>
      <c r="G923" s="125"/>
      <c r="H923" s="124"/>
      <c r="K923" s="196"/>
    </row>
    <row r="924" spans="2:12" s="120" customFormat="1" ht="14.4" x14ac:dyDescent="0.3">
      <c r="B924" s="427" t="s">
        <v>923</v>
      </c>
      <c r="C924" s="339"/>
      <c r="D924" s="196" t="s">
        <v>149</v>
      </c>
      <c r="E924" s="429">
        <f>C924/(C920+C921)</f>
        <v>0</v>
      </c>
      <c r="F924" s="125"/>
      <c r="G924" s="125"/>
      <c r="H924" s="124"/>
      <c r="K924" s="196"/>
    </row>
    <row r="925" spans="2:12" s="120" customFormat="1" ht="14.4" x14ac:dyDescent="0.3">
      <c r="B925" s="427" t="s">
        <v>924</v>
      </c>
      <c r="C925" s="339"/>
      <c r="D925" s="196" t="s">
        <v>149</v>
      </c>
      <c r="E925" s="429">
        <f>C925/(C920+C921)</f>
        <v>0</v>
      </c>
      <c r="F925" s="125"/>
      <c r="G925" s="125"/>
      <c r="H925" s="124"/>
      <c r="K925" s="196"/>
    </row>
    <row r="926" spans="2:12" s="120" customFormat="1" ht="14.4" x14ac:dyDescent="0.3">
      <c r="B926" s="336"/>
      <c r="F926" s="125"/>
      <c r="G926" s="125"/>
      <c r="H926" s="124"/>
      <c r="K926" s="196"/>
    </row>
    <row r="927" spans="2:12" s="120" customFormat="1" ht="14.4" x14ac:dyDescent="0.3">
      <c r="B927" s="126"/>
      <c r="E927" s="125"/>
      <c r="F927" s="125"/>
      <c r="G927" s="125"/>
      <c r="H927" s="124"/>
      <c r="K927" s="196"/>
    </row>
    <row r="928" spans="2:12" s="340" customFormat="1" ht="72" x14ac:dyDescent="0.25">
      <c r="B928" s="341"/>
      <c r="C928" s="342" t="s">
        <v>32</v>
      </c>
      <c r="D928" s="342" t="s">
        <v>925</v>
      </c>
      <c r="E928" s="125" t="s">
        <v>926</v>
      </c>
      <c r="F928" s="430" t="s">
        <v>927</v>
      </c>
      <c r="G928" s="431" t="s">
        <v>928</v>
      </c>
      <c r="H928" s="343" t="s">
        <v>929</v>
      </c>
      <c r="I928" s="344" t="s">
        <v>930</v>
      </c>
      <c r="J928" s="344" t="s">
        <v>931</v>
      </c>
      <c r="K928" s="344" t="s">
        <v>932</v>
      </c>
      <c r="L928" s="431" t="s">
        <v>933</v>
      </c>
    </row>
    <row r="929" spans="2:15" s="120" customFormat="1" ht="14.4" x14ac:dyDescent="0.3">
      <c r="B929" s="336" t="str">
        <f>B920</f>
        <v>L/M of Inground Pipe (Average Depth)</v>
      </c>
      <c r="C929" s="345">
        <v>0.95</v>
      </c>
      <c r="D929" s="345">
        <v>0.6</v>
      </c>
      <c r="E929" s="337">
        <f>C920</f>
        <v>1192</v>
      </c>
      <c r="F929" s="432">
        <v>1.3</v>
      </c>
      <c r="G929" s="346">
        <f>C922</f>
        <v>0.1</v>
      </c>
      <c r="H929" s="199">
        <f>(C929*D929*E929)*F929-(C929*D929*E929*G929)</f>
        <v>815.32799999999997</v>
      </c>
      <c r="I929" s="347"/>
      <c r="J929" s="347"/>
      <c r="K929" s="348"/>
    </row>
    <row r="930" spans="2:15" s="120" customFormat="1" ht="14.4" x14ac:dyDescent="0.3">
      <c r="B930" s="427" t="str">
        <f>B921</f>
        <v>L/M of Inground Pipe (Deeper Than Average Depth)</v>
      </c>
      <c r="C930" s="345">
        <v>1.1000000000000001</v>
      </c>
      <c r="D930" s="345">
        <v>0.5</v>
      </c>
      <c r="E930" s="337">
        <f>C921</f>
        <v>0</v>
      </c>
      <c r="F930" s="432">
        <v>1.3</v>
      </c>
      <c r="G930" s="345">
        <v>0</v>
      </c>
      <c r="H930" s="199">
        <f>(C930*D930*E930)*F930</f>
        <v>0</v>
      </c>
      <c r="I930" s="347"/>
      <c r="J930" s="347"/>
      <c r="K930" s="348"/>
    </row>
    <row r="931" spans="2:15" s="120" customFormat="1" ht="14.4" x14ac:dyDescent="0.3">
      <c r="B931" s="427" t="s">
        <v>934</v>
      </c>
      <c r="C931" s="345">
        <v>0.35</v>
      </c>
      <c r="D931" s="346">
        <f>D929</f>
        <v>0.6</v>
      </c>
      <c r="E931" s="346">
        <f>E929</f>
        <v>1192</v>
      </c>
      <c r="F931" s="432">
        <v>0</v>
      </c>
      <c r="G931" s="346">
        <f>C922</f>
        <v>0.1</v>
      </c>
      <c r="H931" s="199"/>
      <c r="I931" s="199">
        <f>(C931*D931*E931)-(C931*D931*E931*G931)</f>
        <v>225.28799999999998</v>
      </c>
      <c r="J931" s="199"/>
      <c r="K931" s="348"/>
    </row>
    <row r="932" spans="2:15" s="120" customFormat="1" ht="14.4" x14ac:dyDescent="0.3">
      <c r="B932" s="427" t="s">
        <v>935</v>
      </c>
      <c r="C932" s="345">
        <v>0.2</v>
      </c>
      <c r="D932" s="346">
        <f>D930</f>
        <v>0.5</v>
      </c>
      <c r="E932" s="349">
        <f>E930</f>
        <v>0</v>
      </c>
      <c r="F932" s="432">
        <v>0</v>
      </c>
      <c r="G932" s="346">
        <f>G930</f>
        <v>0</v>
      </c>
      <c r="H932" s="199"/>
      <c r="I932" s="199">
        <f>(C932*D932*E932)-(C932*D932*E932*G932)</f>
        <v>0</v>
      </c>
      <c r="J932" s="199"/>
      <c r="K932" s="348"/>
    </row>
    <row r="933" spans="2:15" s="120" customFormat="1" ht="14.4" x14ac:dyDescent="0.3">
      <c r="B933" s="427" t="s">
        <v>936</v>
      </c>
      <c r="C933" s="346">
        <f>C929</f>
        <v>0.95</v>
      </c>
      <c r="D933" s="346">
        <f>D929</f>
        <v>0.6</v>
      </c>
      <c r="E933" s="349">
        <f>E929</f>
        <v>1192</v>
      </c>
      <c r="F933" s="432">
        <v>1.3</v>
      </c>
      <c r="G933" s="346">
        <f>C922</f>
        <v>0.1</v>
      </c>
      <c r="H933" s="199"/>
      <c r="I933" s="199"/>
      <c r="J933" s="199">
        <f>(C933*D933*E933*F933)-(C933*D933*E933*G933)-I931</f>
        <v>590.04</v>
      </c>
      <c r="K933" s="348"/>
    </row>
    <row r="934" spans="2:15" s="120" customFormat="1" ht="14.4" x14ac:dyDescent="0.3">
      <c r="B934" s="427" t="s">
        <v>937</v>
      </c>
      <c r="C934" s="346">
        <f>C930</f>
        <v>1.1000000000000001</v>
      </c>
      <c r="D934" s="346">
        <f t="shared" ref="D934:E934" si="24">D930</f>
        <v>0.5</v>
      </c>
      <c r="E934" s="346">
        <f t="shared" si="24"/>
        <v>0</v>
      </c>
      <c r="F934" s="432">
        <v>1.3</v>
      </c>
      <c r="G934" s="346">
        <f>G930</f>
        <v>0</v>
      </c>
      <c r="H934" s="199"/>
      <c r="I934" s="199"/>
      <c r="J934" s="199">
        <f>(C934*D934*E934*F934)-(C934*D934*E934*G934)-I932</f>
        <v>0</v>
      </c>
      <c r="K934" s="348"/>
    </row>
    <row r="935" spans="2:15" s="120" customFormat="1" ht="15" thickBot="1" x14ac:dyDescent="0.35">
      <c r="B935" s="336"/>
      <c r="C935" s="348"/>
      <c r="D935" s="348"/>
      <c r="E935" s="348"/>
      <c r="F935" s="433"/>
      <c r="G935" s="199"/>
      <c r="H935" s="348"/>
      <c r="I935" s="347"/>
      <c r="J935" s="347"/>
      <c r="K935" s="199" t="s">
        <v>938</v>
      </c>
      <c r="L935" s="350" t="s">
        <v>939</v>
      </c>
      <c r="M935" s="350" t="s">
        <v>940</v>
      </c>
    </row>
    <row r="936" spans="2:15" s="120" customFormat="1" ht="15" thickBot="1" x14ac:dyDescent="0.35">
      <c r="B936" s="336"/>
      <c r="C936" s="348"/>
      <c r="D936" s="348"/>
      <c r="E936" s="348"/>
      <c r="F936" s="433"/>
      <c r="G936" s="199"/>
      <c r="H936" s="351">
        <f>SUM(H929:H935)</f>
        <v>815.32799999999997</v>
      </c>
      <c r="I936" s="351">
        <f>SUM(I929:I935)</f>
        <v>225.28799999999998</v>
      </c>
      <c r="J936" s="351">
        <f>SUM(J929:J935)</f>
        <v>590.04</v>
      </c>
      <c r="K936" s="352">
        <f>H936-J936</f>
        <v>225.28800000000001</v>
      </c>
      <c r="L936" s="353">
        <v>15</v>
      </c>
      <c r="M936" s="354">
        <f>K936*L936</f>
        <v>3379.32</v>
      </c>
      <c r="O936" s="192"/>
    </row>
    <row r="937" spans="2:15" s="120" customFormat="1" ht="14.4" x14ac:dyDescent="0.3">
      <c r="B937" s="336"/>
      <c r="C937" s="196"/>
      <c r="D937" s="196"/>
      <c r="E937" s="196"/>
      <c r="F937" s="433"/>
      <c r="G937" s="199"/>
      <c r="H937" s="124"/>
      <c r="K937" s="196"/>
      <c r="O937" s="347"/>
    </row>
    <row r="938" spans="2:15" s="120" customFormat="1" ht="14.4" x14ac:dyDescent="0.3">
      <c r="B938" s="336"/>
      <c r="C938" s="196"/>
      <c r="D938" s="196"/>
      <c r="E938" s="196"/>
      <c r="F938" s="433"/>
      <c r="G938" s="199"/>
      <c r="H938" s="124"/>
      <c r="K938" s="196"/>
      <c r="O938" s="347"/>
    </row>
    <row r="939" spans="2:15" s="120" customFormat="1" ht="14.4" x14ac:dyDescent="0.3">
      <c r="B939" s="336"/>
      <c r="C939" s="196"/>
      <c r="D939" s="196"/>
      <c r="E939" s="196"/>
      <c r="F939" s="433"/>
      <c r="G939" s="199"/>
      <c r="H939" s="124"/>
      <c r="K939" s="196"/>
      <c r="O939" s="347"/>
    </row>
    <row r="940" spans="2:15" s="120" customFormat="1" ht="14.4" x14ac:dyDescent="0.3">
      <c r="B940" s="336"/>
      <c r="C940" s="196"/>
      <c r="D940" s="196"/>
      <c r="E940" s="196"/>
      <c r="F940" s="433"/>
      <c r="G940" s="199"/>
      <c r="H940" s="124"/>
      <c r="K940" s="196"/>
      <c r="O940" s="347"/>
    </row>
    <row r="941" spans="2:15" s="120" customFormat="1" ht="7.2" customHeight="1" x14ac:dyDescent="0.3">
      <c r="B941" s="355"/>
      <c r="C941" s="232"/>
      <c r="D941" s="232"/>
      <c r="E941" s="232"/>
      <c r="F941" s="233"/>
      <c r="G941" s="233"/>
      <c r="H941" s="234"/>
      <c r="I941" s="232"/>
      <c r="K941" s="196"/>
    </row>
    <row r="942" spans="2:15" s="120" customFormat="1" ht="14.4" x14ac:dyDescent="0.3">
      <c r="B942" s="126" t="s">
        <v>941</v>
      </c>
      <c r="C942" s="196" t="s">
        <v>942</v>
      </c>
      <c r="D942" s="196" t="s">
        <v>914</v>
      </c>
      <c r="E942" s="125" t="s">
        <v>943</v>
      </c>
      <c r="F942" s="120" t="s">
        <v>911</v>
      </c>
      <c r="G942" s="194" t="s">
        <v>943</v>
      </c>
      <c r="H942" s="200" t="s">
        <v>944</v>
      </c>
      <c r="K942" s="196"/>
    </row>
    <row r="943" spans="2:15" s="120" customFormat="1" ht="14.4" x14ac:dyDescent="0.3">
      <c r="B943" s="336"/>
      <c r="C943" s="196">
        <v>0.1</v>
      </c>
      <c r="D943" s="339"/>
      <c r="E943" s="196">
        <f>D943*C943</f>
        <v>0</v>
      </c>
      <c r="F943" s="433">
        <v>1.1000000000000001</v>
      </c>
      <c r="G943" s="198">
        <f>E943*F943</f>
        <v>0</v>
      </c>
      <c r="H943" s="124">
        <f>G943*E968</f>
        <v>0</v>
      </c>
      <c r="I943" s="195"/>
      <c r="K943" s="196"/>
    </row>
    <row r="944" spans="2:15" s="324" customFormat="1" ht="14.4" x14ac:dyDescent="0.3">
      <c r="C944" s="328"/>
      <c r="D944" s="328"/>
      <c r="E944" s="326"/>
      <c r="F944" s="326"/>
    </row>
    <row r="945" spans="2:18" s="324" customFormat="1" ht="15" thickBot="1" x14ac:dyDescent="0.35">
      <c r="C945" s="328"/>
      <c r="D945" s="328"/>
      <c r="E945" s="326"/>
      <c r="F945" s="326"/>
    </row>
    <row r="946" spans="2:18" s="324" customFormat="1" ht="15" thickBot="1" x14ac:dyDescent="0.35">
      <c r="B946" s="173" t="s">
        <v>945</v>
      </c>
      <c r="C946" s="121"/>
      <c r="D946" s="122"/>
      <c r="E946" s="125"/>
      <c r="F946" s="125"/>
      <c r="G946" s="125"/>
      <c r="H946" s="124"/>
      <c r="I946" s="120"/>
      <c r="J946" s="120"/>
      <c r="K946" s="120"/>
      <c r="L946" s="120"/>
      <c r="M946" s="120"/>
      <c r="N946" s="120"/>
      <c r="O946" s="120"/>
      <c r="P946" s="120"/>
    </row>
    <row r="947" spans="2:18" s="324" customFormat="1" ht="15" thickBot="1" x14ac:dyDescent="0.35">
      <c r="B947" s="192"/>
      <c r="C947" s="120"/>
      <c r="D947" s="120"/>
      <c r="E947" s="125"/>
      <c r="F947" s="125"/>
      <c r="G947" s="125"/>
      <c r="H947" s="124"/>
      <c r="I947" s="120"/>
      <c r="J947" s="120"/>
      <c r="K947" s="120"/>
      <c r="L947" s="120"/>
      <c r="M947" s="342">
        <v>1.05</v>
      </c>
      <c r="N947" s="120"/>
      <c r="O947" s="120"/>
      <c r="P947" s="120"/>
    </row>
    <row r="948" spans="2:18" s="356" customFormat="1" ht="29.4" thickBot="1" x14ac:dyDescent="0.3">
      <c r="B948" s="357" t="s">
        <v>354</v>
      </c>
      <c r="C948" s="350" t="s">
        <v>946</v>
      </c>
      <c r="D948" s="350" t="s">
        <v>102</v>
      </c>
      <c r="E948" s="194" t="s">
        <v>939</v>
      </c>
      <c r="F948" s="194" t="s">
        <v>947</v>
      </c>
      <c r="G948" s="125"/>
      <c r="H948" s="125"/>
      <c r="I948" s="350" t="s">
        <v>938</v>
      </c>
      <c r="J948" s="344" t="s">
        <v>928</v>
      </c>
      <c r="K948" s="350" t="s">
        <v>948</v>
      </c>
      <c r="L948" s="350" t="s">
        <v>940</v>
      </c>
      <c r="M948" s="350" t="s">
        <v>911</v>
      </c>
      <c r="N948" s="358" t="s">
        <v>23</v>
      </c>
      <c r="O948" s="434" t="s">
        <v>949</v>
      </c>
      <c r="P948" s="431" t="s">
        <v>950</v>
      </c>
      <c r="Q948" s="435" t="s">
        <v>951</v>
      </c>
    </row>
    <row r="949" spans="2:18" s="324" customFormat="1" ht="15" thickBot="1" x14ac:dyDescent="0.35">
      <c r="B949" s="120" t="s">
        <v>952</v>
      </c>
      <c r="C949" s="359">
        <v>0.20300000000000001</v>
      </c>
      <c r="D949" s="360" t="s">
        <v>953</v>
      </c>
      <c r="E949" s="361">
        <f>E961</f>
        <v>62</v>
      </c>
      <c r="F949" s="361">
        <f>E949*C949</f>
        <v>12.586</v>
      </c>
      <c r="G949" s="125"/>
      <c r="H949" s="124"/>
      <c r="I949" s="362">
        <f>C949*(C920+C921)</f>
        <v>241.97600000000003</v>
      </c>
      <c r="J949" s="346">
        <f>C922</f>
        <v>0.1</v>
      </c>
      <c r="K949" s="363">
        <f>I949-(I949*J949)</f>
        <v>217.77840000000003</v>
      </c>
      <c r="L949" s="195">
        <f>K949*E949</f>
        <v>13502.260800000002</v>
      </c>
      <c r="M949" s="326">
        <f>(L949*M947)-L949</f>
        <v>675.11304000000018</v>
      </c>
      <c r="N949" s="364">
        <f>L949*M947</f>
        <v>14177.373840000002</v>
      </c>
      <c r="O949" s="195">
        <f>N949*E923</f>
        <v>0</v>
      </c>
      <c r="P949" s="120"/>
      <c r="Q949" s="326"/>
      <c r="R949" s="326"/>
    </row>
    <row r="950" spans="2:18" s="324" customFormat="1" ht="14.4" x14ac:dyDescent="0.3">
      <c r="B950" s="120" t="s">
        <v>952</v>
      </c>
      <c r="C950" s="359">
        <v>0.14000000000000001</v>
      </c>
      <c r="D950" s="196" t="s">
        <v>954</v>
      </c>
      <c r="E950" s="125">
        <f>E961</f>
        <v>62</v>
      </c>
      <c r="F950" s="125">
        <f>(E950*C950)*1.95</f>
        <v>16.926000000000002</v>
      </c>
      <c r="G950" s="125"/>
      <c r="H950" s="124"/>
      <c r="I950" s="120"/>
      <c r="J950" s="120"/>
      <c r="L950" s="195"/>
      <c r="N950" s="365"/>
      <c r="O950" s="120"/>
      <c r="P950" s="120"/>
    </row>
    <row r="951" spans="2:18" s="324" customFormat="1" ht="14.4" x14ac:dyDescent="0.3">
      <c r="B951" s="120" t="s">
        <v>955</v>
      </c>
      <c r="C951" s="359">
        <v>0.45</v>
      </c>
      <c r="D951" s="196" t="s">
        <v>953</v>
      </c>
      <c r="E951" s="125">
        <f>E962</f>
        <v>62</v>
      </c>
      <c r="F951" s="125">
        <f>E951*C951</f>
        <v>27.900000000000002</v>
      </c>
      <c r="G951" s="125"/>
      <c r="H951" s="124"/>
      <c r="I951" s="120">
        <v>0</v>
      </c>
      <c r="J951" s="120"/>
      <c r="L951" s="195">
        <f>I951*E951</f>
        <v>0</v>
      </c>
      <c r="N951" s="366">
        <f>L951*$L$297</f>
        <v>0</v>
      </c>
      <c r="O951" s="120"/>
      <c r="P951" s="120"/>
    </row>
    <row r="952" spans="2:18" s="324" customFormat="1" ht="15" thickBot="1" x14ac:dyDescent="0.35">
      <c r="B952" s="120" t="s">
        <v>956</v>
      </c>
      <c r="C952" s="120">
        <v>0</v>
      </c>
      <c r="D952" s="196" t="s">
        <v>953</v>
      </c>
      <c r="E952" s="125">
        <f>E963</f>
        <v>25</v>
      </c>
      <c r="F952" s="125">
        <f t="shared" ref="F952:F957" si="25">E952*C952</f>
        <v>0</v>
      </c>
      <c r="G952" s="125"/>
      <c r="H952" s="124"/>
      <c r="I952" s="120">
        <v>0</v>
      </c>
      <c r="J952" s="120"/>
      <c r="L952" s="195">
        <f>I952*E952</f>
        <v>0</v>
      </c>
      <c r="N952" s="366">
        <f>L952*$L$297</f>
        <v>0</v>
      </c>
      <c r="O952" s="120"/>
      <c r="P952" s="120"/>
    </row>
    <row r="953" spans="2:18" s="324" customFormat="1" ht="15" thickBot="1" x14ac:dyDescent="0.35">
      <c r="B953" s="120" t="s">
        <v>957</v>
      </c>
      <c r="C953" s="359">
        <v>0.22500000000000001</v>
      </c>
      <c r="D953" s="360" t="s">
        <v>953</v>
      </c>
      <c r="E953" s="361">
        <f>E964</f>
        <v>62</v>
      </c>
      <c r="F953" s="361">
        <f t="shared" si="25"/>
        <v>13.950000000000001</v>
      </c>
      <c r="G953" s="125"/>
      <c r="H953" s="124"/>
      <c r="I953" s="362">
        <f>C953*(C920+C921)</f>
        <v>268.2</v>
      </c>
      <c r="J953" s="346">
        <f>C922</f>
        <v>0.1</v>
      </c>
      <c r="K953" s="363">
        <f>I953-(I953*J953)</f>
        <v>241.38</v>
      </c>
      <c r="L953" s="195">
        <f>K953*E953</f>
        <v>14965.56</v>
      </c>
      <c r="M953" s="326">
        <f>(L953*M947)-L953</f>
        <v>748.27800000000025</v>
      </c>
      <c r="N953" s="364">
        <f>L953*M947</f>
        <v>15713.838</v>
      </c>
      <c r="O953" s="120"/>
      <c r="P953" s="195">
        <f>N953*E924</f>
        <v>0</v>
      </c>
      <c r="Q953" s="326">
        <f>N953*E925</f>
        <v>0</v>
      </c>
    </row>
    <row r="954" spans="2:18" s="324" customFormat="1" ht="14.4" x14ac:dyDescent="0.3">
      <c r="B954" s="120" t="s">
        <v>957</v>
      </c>
      <c r="C954" s="359">
        <v>0.14000000000000001</v>
      </c>
      <c r="D954" s="196" t="s">
        <v>954</v>
      </c>
      <c r="E954" s="125">
        <f>E964</f>
        <v>62</v>
      </c>
      <c r="F954" s="125">
        <f>(E954*C954)*1.5</f>
        <v>13.020000000000003</v>
      </c>
      <c r="G954" s="125"/>
      <c r="H954" s="124"/>
      <c r="I954" s="120"/>
      <c r="J954" s="120"/>
      <c r="L954" s="195"/>
      <c r="N954" s="365"/>
      <c r="O954" s="120"/>
      <c r="P954" s="120"/>
    </row>
    <row r="955" spans="2:18" s="324" customFormat="1" ht="14.4" x14ac:dyDescent="0.3">
      <c r="B955" s="120" t="s">
        <v>958</v>
      </c>
      <c r="C955" s="359">
        <v>0.36</v>
      </c>
      <c r="D955" s="196" t="s">
        <v>953</v>
      </c>
      <c r="E955" s="125">
        <f>F965</f>
        <v>27</v>
      </c>
      <c r="F955" s="125">
        <f t="shared" si="25"/>
        <v>9.7199999999999989</v>
      </c>
      <c r="G955" s="125"/>
      <c r="H955" s="124"/>
      <c r="I955" s="120">
        <f>C919*C955</f>
        <v>0</v>
      </c>
      <c r="J955" s="120"/>
      <c r="L955" s="195">
        <f>I955*E955</f>
        <v>0</v>
      </c>
      <c r="N955" s="366">
        <f>L955*$L$297</f>
        <v>0</v>
      </c>
      <c r="O955" s="120"/>
      <c r="P955" s="120"/>
    </row>
    <row r="956" spans="2:18" s="324" customFormat="1" ht="14.4" x14ac:dyDescent="0.3">
      <c r="B956" s="120" t="s">
        <v>959</v>
      </c>
      <c r="C956" s="359">
        <v>0.36</v>
      </c>
      <c r="D956" s="196" t="s">
        <v>953</v>
      </c>
      <c r="E956" s="125">
        <f>F966</f>
        <v>30</v>
      </c>
      <c r="F956" s="125">
        <f t="shared" si="25"/>
        <v>10.799999999999999</v>
      </c>
      <c r="G956" s="125"/>
      <c r="H956" s="124"/>
      <c r="I956" s="120">
        <f>C956*C919</f>
        <v>0</v>
      </c>
      <c r="J956" s="120"/>
      <c r="L956" s="195">
        <f>I956*E956</f>
        <v>0</v>
      </c>
      <c r="N956" s="366">
        <f>L956*$L$297</f>
        <v>0</v>
      </c>
      <c r="O956" s="120"/>
      <c r="P956" s="120"/>
    </row>
    <row r="957" spans="2:18" s="324" customFormat="1" ht="15" thickBot="1" x14ac:dyDescent="0.35">
      <c r="B957" s="120" t="s">
        <v>960</v>
      </c>
      <c r="C957" s="359">
        <v>0.3</v>
      </c>
      <c r="D957" s="196" t="s">
        <v>954</v>
      </c>
      <c r="E957" s="125">
        <f>N967</f>
        <v>0</v>
      </c>
      <c r="F957" s="125">
        <f t="shared" si="25"/>
        <v>0</v>
      </c>
      <c r="G957" s="125"/>
      <c r="H957" s="124"/>
      <c r="I957" s="120">
        <f>C957*C917</f>
        <v>0</v>
      </c>
      <c r="J957" s="120"/>
      <c r="L957" s="195">
        <f>E957*I957</f>
        <v>0</v>
      </c>
      <c r="N957" s="367">
        <f>L957*$L$297</f>
        <v>0</v>
      </c>
      <c r="O957" s="120"/>
      <c r="P957" s="120"/>
    </row>
    <row r="958" spans="2:18" s="324" customFormat="1" ht="15" thickBot="1" x14ac:dyDescent="0.35">
      <c r="B958" s="120"/>
      <c r="C958" s="120"/>
      <c r="D958" s="196"/>
      <c r="E958" s="368"/>
      <c r="F958" s="368"/>
      <c r="G958" s="125"/>
      <c r="H958" s="124"/>
      <c r="I958" s="120"/>
      <c r="J958" s="120"/>
      <c r="K958" s="120"/>
      <c r="L958" s="120"/>
      <c r="M958" s="120"/>
      <c r="N958" s="120"/>
      <c r="O958" s="120"/>
      <c r="P958" s="120"/>
    </row>
    <row r="959" spans="2:18" s="324" customFormat="1" ht="14.4" x14ac:dyDescent="0.3">
      <c r="B959" s="123"/>
      <c r="C959" s="369"/>
      <c r="D959" s="370"/>
      <c r="E959" s="371" t="s">
        <v>961</v>
      </c>
      <c r="F959" s="372" t="s">
        <v>962</v>
      </c>
      <c r="G959" s="124"/>
      <c r="H959" s="125"/>
      <c r="I959" s="125"/>
      <c r="J959" s="125"/>
      <c r="K959" s="125"/>
      <c r="L959" s="125"/>
      <c r="M959" s="125"/>
      <c r="N959" s="125"/>
      <c r="O959" s="125"/>
    </row>
    <row r="960" spans="2:18" s="324" customFormat="1" ht="15" thickBot="1" x14ac:dyDescent="0.35">
      <c r="B960" s="373" t="s">
        <v>354</v>
      </c>
      <c r="C960" s="374"/>
      <c r="D960" s="375" t="s">
        <v>102</v>
      </c>
      <c r="E960" s="376" t="s">
        <v>939</v>
      </c>
      <c r="F960" s="376" t="s">
        <v>939</v>
      </c>
      <c r="G960" s="377"/>
      <c r="H960" s="125"/>
      <c r="I960" s="124"/>
      <c r="J960" s="125"/>
      <c r="K960" s="124"/>
      <c r="L960" s="125"/>
      <c r="M960" s="124"/>
      <c r="N960" s="125"/>
      <c r="O960" s="124"/>
    </row>
    <row r="961" spans="2:15" s="324" customFormat="1" ht="14.4" x14ac:dyDescent="0.3">
      <c r="B961" s="120" t="s">
        <v>952</v>
      </c>
      <c r="C961" s="196"/>
      <c r="D961" s="378" t="s">
        <v>963</v>
      </c>
      <c r="E961" s="379">
        <v>62</v>
      </c>
      <c r="F961" s="380">
        <v>31</v>
      </c>
      <c r="G961" s="124"/>
      <c r="H961" s="125"/>
      <c r="I961" s="124"/>
      <c r="J961" s="125"/>
      <c r="K961" s="124"/>
      <c r="L961" s="125"/>
      <c r="M961" s="124"/>
      <c r="N961" s="125"/>
      <c r="O961" s="124"/>
    </row>
    <row r="962" spans="2:15" s="324" customFormat="1" ht="14.4" x14ac:dyDescent="0.3">
      <c r="B962" s="120" t="s">
        <v>955</v>
      </c>
      <c r="C962" s="196"/>
      <c r="D962" s="378" t="s">
        <v>963</v>
      </c>
      <c r="E962" s="379">
        <v>62</v>
      </c>
      <c r="F962" s="381">
        <v>39</v>
      </c>
      <c r="G962" s="124"/>
      <c r="H962" s="125"/>
      <c r="I962" s="124"/>
      <c r="J962" s="125"/>
      <c r="K962" s="124"/>
      <c r="L962" s="125"/>
      <c r="M962" s="124"/>
      <c r="N962" s="125"/>
      <c r="O962" s="124"/>
    </row>
    <row r="963" spans="2:15" s="324" customFormat="1" ht="14.4" x14ac:dyDescent="0.3">
      <c r="B963" s="120" t="s">
        <v>956</v>
      </c>
      <c r="C963" s="196"/>
      <c r="D963" s="378" t="s">
        <v>963</v>
      </c>
      <c r="E963" s="382">
        <v>25</v>
      </c>
      <c r="F963" s="381">
        <v>29</v>
      </c>
      <c r="G963" s="124"/>
      <c r="H963" s="125"/>
      <c r="I963" s="124"/>
      <c r="J963" s="436"/>
      <c r="K963" s="124"/>
      <c r="L963" s="125"/>
      <c r="M963" s="124"/>
      <c r="N963" s="125"/>
      <c r="O963" s="124"/>
    </row>
    <row r="964" spans="2:15" s="324" customFormat="1" ht="14.4" x14ac:dyDescent="0.3">
      <c r="B964" s="120" t="s">
        <v>957</v>
      </c>
      <c r="C964" s="196"/>
      <c r="D964" s="378" t="s">
        <v>963</v>
      </c>
      <c r="E964" s="379">
        <v>62</v>
      </c>
      <c r="F964" s="381">
        <v>26</v>
      </c>
      <c r="G964" s="124"/>
      <c r="H964" s="125"/>
      <c r="I964" s="124"/>
      <c r="J964" s="125"/>
      <c r="K964" s="348"/>
      <c r="L964" s="436"/>
      <c r="M964" s="124"/>
      <c r="N964" s="125"/>
      <c r="O964" s="124"/>
    </row>
    <row r="965" spans="2:15" s="324" customFormat="1" ht="14.4" x14ac:dyDescent="0.3">
      <c r="B965" s="120" t="s">
        <v>958</v>
      </c>
      <c r="C965" s="196"/>
      <c r="D965" s="378" t="s">
        <v>963</v>
      </c>
      <c r="E965" s="382">
        <v>48</v>
      </c>
      <c r="F965" s="381">
        <v>27</v>
      </c>
      <c r="G965" s="124"/>
      <c r="H965" s="125"/>
      <c r="I965" s="124"/>
      <c r="J965" s="125"/>
      <c r="K965" s="348"/>
      <c r="L965" s="436"/>
      <c r="M965" s="124"/>
      <c r="N965" s="125"/>
      <c r="O965" s="124"/>
    </row>
    <row r="966" spans="2:15" s="324" customFormat="1" ht="14.4" x14ac:dyDescent="0.3">
      <c r="B966" s="120" t="s">
        <v>959</v>
      </c>
      <c r="C966" s="196"/>
      <c r="D966" s="378" t="s">
        <v>963</v>
      </c>
      <c r="E966" s="382">
        <v>50</v>
      </c>
      <c r="F966" s="381">
        <v>30</v>
      </c>
      <c r="G966" s="124"/>
      <c r="H966" s="125"/>
      <c r="I966" s="124"/>
      <c r="J966" s="125"/>
      <c r="K966" s="348"/>
      <c r="L966" s="436"/>
      <c r="M966" s="124"/>
      <c r="N966" s="125"/>
      <c r="O966" s="124"/>
    </row>
    <row r="967" spans="2:15" s="324" customFormat="1" ht="14.4" x14ac:dyDescent="0.3">
      <c r="B967" s="120" t="s">
        <v>964</v>
      </c>
      <c r="C967" s="196"/>
      <c r="D967" s="378" t="s">
        <v>965</v>
      </c>
      <c r="E967" s="383">
        <v>168</v>
      </c>
      <c r="F967" s="381">
        <v>0</v>
      </c>
      <c r="G967" s="124"/>
      <c r="H967" s="125"/>
      <c r="I967" s="124"/>
      <c r="J967" s="125"/>
      <c r="K967" s="124"/>
      <c r="L967" s="125"/>
      <c r="M967" s="124"/>
      <c r="N967" s="125"/>
      <c r="O967" s="124"/>
    </row>
    <row r="968" spans="2:15" s="324" customFormat="1" ht="15" thickBot="1" x14ac:dyDescent="0.35">
      <c r="B968" s="120" t="s">
        <v>966</v>
      </c>
      <c r="C968" s="348"/>
      <c r="D968" s="378" t="s">
        <v>965</v>
      </c>
      <c r="E968" s="384">
        <v>153</v>
      </c>
      <c r="F968" s="384">
        <v>0</v>
      </c>
      <c r="G968" s="124"/>
      <c r="H968" s="125"/>
      <c r="I968" s="124"/>
      <c r="J968" s="125"/>
      <c r="K968" s="348"/>
      <c r="L968" s="436"/>
      <c r="M968" s="124"/>
      <c r="N968" s="125"/>
      <c r="O968" s="124"/>
    </row>
  </sheetData>
  <mergeCells count="6">
    <mergeCell ref="J14:P14"/>
    <mergeCell ref="C900:E902"/>
    <mergeCell ref="C907:E909"/>
    <mergeCell ref="A6:F6"/>
    <mergeCell ref="D14:E14"/>
    <mergeCell ref="B9:G9"/>
  </mergeCells>
  <phoneticPr fontId="9" type="noConversion"/>
  <printOptions gridLines="1"/>
  <pageMargins left="0.46" right="0.42" top="0.37" bottom="0.4" header="0.39" footer="0.38"/>
  <pageSetup paperSize="8" scale="80" orientation="portrait" horizontalDpi="1200" verticalDpi="12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C218C-1E60-42D1-95E7-AE540380C0C4}">
  <sheetPr>
    <tabColor theme="7"/>
  </sheetPr>
  <dimension ref="A1:R913"/>
  <sheetViews>
    <sheetView topLeftCell="A894" zoomScale="115" zoomScaleNormal="115" workbookViewId="0">
      <selection activeCell="D841" sqref="D841"/>
    </sheetView>
  </sheetViews>
  <sheetFormatPr defaultColWidth="9.109375" defaultRowHeight="10.199999999999999" x14ac:dyDescent="0.2"/>
  <cols>
    <col min="1" max="1" width="8.109375" style="38" customWidth="1"/>
    <col min="2" max="2" width="72.109375" style="38" customWidth="1"/>
    <col min="3" max="3" width="23.5546875" style="40" customWidth="1"/>
    <col min="4" max="4" width="10.44140625" style="40" customWidth="1"/>
    <col min="5" max="5" width="17.33203125" style="41" customWidth="1"/>
    <col min="6" max="6" width="14.109375" style="41" customWidth="1"/>
    <col min="7"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23"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v>3</v>
      </c>
      <c r="E18" s="48">
        <f>'LabourProject Rates_Master'!$E$37</f>
        <v>2650.394536340852</v>
      </c>
      <c r="F18" s="48">
        <f t="shared" si="0"/>
        <v>7951.1836090225561</v>
      </c>
      <c r="K18" s="149" t="s">
        <v>143</v>
      </c>
      <c r="L18" s="189">
        <v>0.15</v>
      </c>
      <c r="M18" s="40">
        <v>1.1499999999999999</v>
      </c>
    </row>
    <row r="19" spans="1:13" s="40" customFormat="1" x14ac:dyDescent="0.2">
      <c r="A19" s="42"/>
      <c r="B19" s="38" t="str">
        <f>'LabourProject Rates_Master'!$B$43</f>
        <v>Crew #2 - InGround Water/Fire</v>
      </c>
      <c r="C19" s="40" t="s">
        <v>93</v>
      </c>
      <c r="D19" s="333">
        <v>3</v>
      </c>
      <c r="E19" s="48">
        <f>'LabourProject Rates_Master'!$E$44</f>
        <v>2650.394536340852</v>
      </c>
      <c r="F19" s="48">
        <f t="shared" si="0"/>
        <v>7951.1836090225561</v>
      </c>
      <c r="K19" s="149" t="s">
        <v>144</v>
      </c>
      <c r="L19" s="189">
        <v>0.2</v>
      </c>
      <c r="M19" s="40">
        <v>1.2</v>
      </c>
    </row>
    <row r="20" spans="1:13" s="40" customFormat="1" x14ac:dyDescent="0.2">
      <c r="A20" s="42"/>
      <c r="B20" s="38" t="str">
        <f>'LabourProject Rates_Master'!B51</f>
        <v>Crew #3 - Above Ground Drainage</v>
      </c>
      <c r="C20" s="40" t="s">
        <v>93</v>
      </c>
      <c r="D20" s="333">
        <v>2</v>
      </c>
      <c r="E20" s="48">
        <f>'LabourProject Rates_Master'!E52</f>
        <v>2650.394536340852</v>
      </c>
      <c r="F20" s="48">
        <f t="shared" si="0"/>
        <v>5300.7890726817041</v>
      </c>
      <c r="K20" s="149"/>
      <c r="L20" s="189"/>
    </row>
    <row r="21" spans="1:13" s="40" customFormat="1" x14ac:dyDescent="0.2">
      <c r="A21" s="42"/>
      <c r="B21" s="38" t="str">
        <f>'LabourProject Rates_Master'!B59</f>
        <v>Crew #4 - Above Ground WATER/FIRE</v>
      </c>
      <c r="C21" s="40" t="s">
        <v>93</v>
      </c>
      <c r="D21" s="333">
        <v>2</v>
      </c>
      <c r="E21" s="48">
        <f>'LabourProject Rates_Master'!E60</f>
        <v>2650.394536340852</v>
      </c>
      <c r="F21" s="48">
        <f t="shared" si="0"/>
        <v>5300.7890726817041</v>
      </c>
      <c r="K21" s="149"/>
      <c r="L21" s="189"/>
    </row>
    <row r="22" spans="1:13" s="40" customFormat="1" x14ac:dyDescent="0.2">
      <c r="A22" s="42"/>
      <c r="B22" s="38" t="str">
        <f>'LabourProject Rates_Master'!B67</f>
        <v>Crew #5 - Above Ground FitOff / Misc</v>
      </c>
      <c r="C22" s="40" t="s">
        <v>93</v>
      </c>
      <c r="D22" s="333">
        <v>2</v>
      </c>
      <c r="E22" s="48">
        <f>'LabourProject Rates_Master'!E68</f>
        <v>2650.394536340852</v>
      </c>
      <c r="F22" s="48">
        <f t="shared" si="0"/>
        <v>5300.7890726817041</v>
      </c>
      <c r="K22" s="149"/>
      <c r="L22" s="189"/>
    </row>
    <row r="23" spans="1:13" s="40" customFormat="1" x14ac:dyDescent="0.2">
      <c r="A23" s="42"/>
      <c r="B23" s="38" t="str">
        <f>'LabourProject Rates_Master'!B75</f>
        <v>Crew #6 - DEMO</v>
      </c>
      <c r="C23" s="40" t="s">
        <v>93</v>
      </c>
      <c r="D23" s="333">
        <v>2</v>
      </c>
      <c r="E23" s="48">
        <f>'LabourProject Rates_Master'!E76</f>
        <v>1709.2298078529657</v>
      </c>
      <c r="F23" s="48">
        <f t="shared" si="0"/>
        <v>3418.4596157059314</v>
      </c>
      <c r="K23" s="149"/>
      <c r="L23" s="189"/>
    </row>
    <row r="24" spans="1:13" s="40" customFormat="1" ht="6.6" customHeight="1" x14ac:dyDescent="0.2">
      <c r="A24" s="42"/>
      <c r="B24" s="38"/>
      <c r="E24" s="311"/>
      <c r="F24" s="41"/>
    </row>
    <row r="25" spans="1:13" s="40" customFormat="1" x14ac:dyDescent="0.2">
      <c r="A25" s="38"/>
      <c r="B25" s="191" t="s">
        <v>145</v>
      </c>
      <c r="C25" s="42"/>
      <c r="D25" s="42"/>
      <c r="E25" s="45"/>
      <c r="F25" s="48"/>
    </row>
    <row r="26" spans="1:13" s="40" customFormat="1" x14ac:dyDescent="0.2">
      <c r="A26" s="38"/>
      <c r="B26" s="38" t="str">
        <f>'LabourProject Rates_Master'!$B$14</f>
        <v>TRADESMAN_LEADING HAND</v>
      </c>
      <c r="C26" s="40" t="s">
        <v>146</v>
      </c>
      <c r="D26" s="40">
        <v>0</v>
      </c>
      <c r="E26" s="48">
        <f>'LabourProject Rates_Master'!$E$14</f>
        <v>123.11428571428571</v>
      </c>
      <c r="F26" s="48">
        <f t="shared" ref="F26:F30" si="1">E26*D26</f>
        <v>0</v>
      </c>
    </row>
    <row r="27" spans="1:13" s="40" customFormat="1" ht="11.4" customHeight="1" x14ac:dyDescent="0.2">
      <c r="A27" s="38"/>
      <c r="B27" s="38" t="str">
        <f>'LabourProject Rates_Master'!$B$23</f>
        <v>TRADESMAN_PLUMBER_OPERATOR</v>
      </c>
      <c r="C27" s="40" t="s">
        <v>146</v>
      </c>
      <c r="D27" s="40">
        <v>0</v>
      </c>
      <c r="E27" s="48">
        <f>'LabourProject Rates_Master'!$E$21</f>
        <v>94.116472848788632</v>
      </c>
      <c r="F27" s="48">
        <f t="shared" si="1"/>
        <v>0</v>
      </c>
    </row>
    <row r="28" spans="1:13" s="40" customFormat="1" ht="11.4" customHeight="1" x14ac:dyDescent="0.2">
      <c r="A28" s="42"/>
      <c r="B28" s="38" t="str">
        <f>'LabourProject Rates_Master'!$B$30</f>
        <v>T/A &amp; Apprentice</v>
      </c>
      <c r="C28" s="40" t="s">
        <v>146</v>
      </c>
      <c r="D28" s="40">
        <v>0</v>
      </c>
      <c r="E28" s="48">
        <f>'LabourProject Rates_Master'!$E$28</f>
        <v>76.806507936507941</v>
      </c>
      <c r="F28" s="48">
        <f t="shared" si="1"/>
        <v>0</v>
      </c>
    </row>
    <row r="29" spans="1:13" s="40" customFormat="1" ht="11.4" customHeight="1" x14ac:dyDescent="0.2">
      <c r="A29" s="42"/>
      <c r="B29" s="38" t="str">
        <f>'LabourProject Rates_Master'!$B$36</f>
        <v>Crew #1 - InGround Drainage</v>
      </c>
      <c r="C29" s="40" t="s">
        <v>146</v>
      </c>
      <c r="D29" s="40">
        <v>0</v>
      </c>
      <c r="E29" s="48">
        <f>'LabourProject Rates_Master'!$E$36</f>
        <v>265.03945363408519</v>
      </c>
      <c r="F29" s="48">
        <f t="shared" si="1"/>
        <v>0</v>
      </c>
    </row>
    <row r="30" spans="1:13" s="40" customFormat="1" x14ac:dyDescent="0.2">
      <c r="A30" s="42"/>
      <c r="B30" s="38" t="str">
        <f>'LabourProject Rates_Master'!$B$43</f>
        <v>Crew #2 - InGround Water/Fire</v>
      </c>
      <c r="C30" s="40" t="s">
        <v>146</v>
      </c>
      <c r="D30" s="40">
        <v>0</v>
      </c>
      <c r="E30" s="48">
        <f>'LabourProject Rates_Master'!$E$43</f>
        <v>265.03945363408519</v>
      </c>
      <c r="F30" s="48">
        <f t="shared" si="1"/>
        <v>0</v>
      </c>
    </row>
    <row r="31" spans="1:13" ht="7.5" customHeight="1" x14ac:dyDescent="0.2">
      <c r="E31" s="48"/>
    </row>
    <row r="32" spans="1:13" ht="10.8" thickBot="1" x14ac:dyDescent="0.25">
      <c r="A32" s="40"/>
      <c r="E32" s="48"/>
      <c r="F32" s="48"/>
    </row>
    <row r="33" spans="1:6" ht="10.8" thickBot="1" x14ac:dyDescent="0.25">
      <c r="A33" s="42"/>
      <c r="B33" s="386" t="s">
        <v>147</v>
      </c>
      <c r="C33" s="387"/>
      <c r="D33" s="387"/>
      <c r="E33" s="388"/>
      <c r="F33" s="388"/>
    </row>
    <row r="34" spans="1:6" x14ac:dyDescent="0.2">
      <c r="A34" s="40"/>
      <c r="B34" s="389" t="s">
        <v>148</v>
      </c>
      <c r="C34" s="387"/>
      <c r="D34" s="387"/>
      <c r="E34" s="388"/>
      <c r="F34" s="388"/>
    </row>
    <row r="35" spans="1:6" x14ac:dyDescent="0.2">
      <c r="A35" s="40"/>
      <c r="B35" s="390" t="str">
        <f>'Misc Subbie Rates_Master'!A49</f>
        <v>Asphalt Cutting</v>
      </c>
      <c r="C35" s="387" t="s">
        <v>149</v>
      </c>
      <c r="D35" s="391"/>
      <c r="E35" s="388">
        <f>'Misc Subbie Rates_Master'!D49+('Misc Subbie Rates_Master'!D49*$L$18)</f>
        <v>15.525</v>
      </c>
      <c r="F35" s="388">
        <f>E35*D35</f>
        <v>0</v>
      </c>
    </row>
    <row r="36" spans="1:6" x14ac:dyDescent="0.2">
      <c r="A36" s="40"/>
      <c r="B36" s="390" t="str">
        <f>'Misc Subbie Rates_Master'!A50</f>
        <v>Concrete Cutting</v>
      </c>
      <c r="C36" s="387" t="s">
        <v>149</v>
      </c>
      <c r="D36" s="387"/>
      <c r="E36" s="388">
        <f>'Misc Subbie Rates_Master'!D50+('Misc Subbie Rates_Master'!D50*$L$18)</f>
        <v>18.399999999999999</v>
      </c>
      <c r="F36" s="388">
        <f t="shared" ref="F36:F46" si="2">E36*D36</f>
        <v>0</v>
      </c>
    </row>
    <row r="37" spans="1:6" x14ac:dyDescent="0.2">
      <c r="A37" s="40"/>
      <c r="B37" s="390" t="s">
        <v>150</v>
      </c>
      <c r="C37" s="387" t="s">
        <v>115</v>
      </c>
      <c r="D37" s="387"/>
      <c r="E37" s="388">
        <f>'Misc Subbie Rates_Master'!D51+('Misc Subbie Rates_Master'!D51*$L$18)</f>
        <v>92</v>
      </c>
      <c r="F37" s="388">
        <f t="shared" si="2"/>
        <v>0</v>
      </c>
    </row>
    <row r="38" spans="1:6" x14ac:dyDescent="0.2">
      <c r="A38" s="40"/>
      <c r="B38" s="389" t="s">
        <v>151</v>
      </c>
      <c r="C38" s="387"/>
      <c r="D38" s="387"/>
      <c r="E38" s="388"/>
      <c r="F38" s="388"/>
    </row>
    <row r="39" spans="1:6" x14ac:dyDescent="0.2">
      <c r="A39" s="40"/>
      <c r="B39" s="390" t="str">
        <f>'Misc Subbie Rates_Master'!A56</f>
        <v>Road/Drveway Reinstate; 1mW x 150 Thck, N25/20/80, Incl Reinforcement</v>
      </c>
      <c r="C39" s="387" t="s">
        <v>149</v>
      </c>
      <c r="D39" s="387"/>
      <c r="E39" s="388">
        <f>'Misc Subbie Rates_Master'!D56</f>
        <v>145</v>
      </c>
      <c r="F39" s="388">
        <f t="shared" si="2"/>
        <v>0</v>
      </c>
    </row>
    <row r="40" spans="1:6" x14ac:dyDescent="0.2">
      <c r="A40" s="40"/>
      <c r="B40" s="390" t="str">
        <f>'Misc Subbie Rates_Master'!A57</f>
        <v>Kerb &amp; Channel - 1m Wide</v>
      </c>
      <c r="C40" s="387" t="s">
        <v>115</v>
      </c>
      <c r="D40" s="387"/>
      <c r="E40" s="388">
        <f>'Misc Subbie Rates_Master'!D57</f>
        <v>155</v>
      </c>
      <c r="F40" s="388">
        <f t="shared" si="2"/>
        <v>0</v>
      </c>
    </row>
    <row r="41" spans="1:6" x14ac:dyDescent="0.2">
      <c r="A41" s="40"/>
      <c r="B41" s="390" t="str">
        <f>'Misc Subbie Rates_Master'!A58</f>
        <v>Footpath - 1.5mW, N25/20/80, Incl Reinforcement</v>
      </c>
      <c r="C41" s="387" t="s">
        <v>152</v>
      </c>
      <c r="D41" s="387"/>
      <c r="E41" s="388">
        <f>'Misc Subbie Rates_Master'!D58</f>
        <v>180</v>
      </c>
      <c r="F41" s="388">
        <f t="shared" si="2"/>
        <v>0</v>
      </c>
    </row>
    <row r="42" spans="1:6" x14ac:dyDescent="0.2">
      <c r="A42" s="40"/>
      <c r="B42" s="390" t="str">
        <f>'Misc Subbie Rates_Master'!A59</f>
        <v>Footpath - 1.5mW, EXPOSED AGG, N25/20/80, Incl Reinforcement</v>
      </c>
      <c r="C42" s="387" t="s">
        <v>152</v>
      </c>
      <c r="D42" s="387"/>
      <c r="E42" s="388">
        <f>'Misc Subbie Rates_Master'!D59</f>
        <v>185</v>
      </c>
      <c r="F42" s="388">
        <f t="shared" si="2"/>
        <v>0</v>
      </c>
    </row>
    <row r="43" spans="1:6" x14ac:dyDescent="0.2">
      <c r="A43" s="40"/>
      <c r="B43" s="389" t="s">
        <v>153</v>
      </c>
      <c r="C43" s="387"/>
      <c r="D43" s="387"/>
      <c r="E43" s="388"/>
      <c r="F43" s="388"/>
    </row>
    <row r="44" spans="1:6" x14ac:dyDescent="0.2">
      <c r="A44" s="40"/>
      <c r="B44" s="390" t="str">
        <f>'Misc Subbie Rates_Master'!A64</f>
        <v xml:space="preserve">50mm Thck - Trench Reinstatement Through Road/Driveway </v>
      </c>
      <c r="C44" s="387" t="s">
        <v>154</v>
      </c>
      <c r="D44" s="387"/>
      <c r="E44" s="388">
        <f>'Misc Subbie Rates_Master'!D64</f>
        <v>97</v>
      </c>
      <c r="F44" s="388">
        <f t="shared" si="2"/>
        <v>0</v>
      </c>
    </row>
    <row r="45" spans="1:6" x14ac:dyDescent="0.2">
      <c r="A45" s="40"/>
      <c r="B45" s="390" t="str">
        <f>'Misc Subbie Rates_Master'!A65</f>
        <v xml:space="preserve">50mm Thck - 1.5-2m Wide Footpath reinstatements </v>
      </c>
      <c r="C45" s="387" t="s">
        <v>154</v>
      </c>
      <c r="D45" s="387"/>
      <c r="E45" s="388">
        <f>'Misc Subbie Rates_Master'!D65</f>
        <v>97</v>
      </c>
      <c r="F45" s="388">
        <f t="shared" si="2"/>
        <v>0</v>
      </c>
    </row>
    <row r="46" spans="1:6" x14ac:dyDescent="0.2">
      <c r="A46" s="40"/>
      <c r="B46" s="390" t="str">
        <f>'Misc Subbie Rates_Master'!A66</f>
        <v>Establishment Fee (1 per stage)</v>
      </c>
      <c r="C46" s="387" t="s">
        <v>155</v>
      </c>
      <c r="D46" s="387"/>
      <c r="E46" s="388">
        <f>'Misc Subbie Rates_Master'!D66</f>
        <v>5500</v>
      </c>
      <c r="F46" s="388">
        <f t="shared" si="2"/>
        <v>0</v>
      </c>
    </row>
    <row r="47" spans="1:6" ht="10.8" thickBot="1" x14ac:dyDescent="0.25">
      <c r="A47" s="40"/>
      <c r="E47" s="48"/>
      <c r="F47" s="48"/>
    </row>
    <row r="48" spans="1:6" ht="10.8" thickBot="1" x14ac:dyDescent="0.25">
      <c r="A48" s="42"/>
      <c r="B48" s="49" t="s">
        <v>156</v>
      </c>
      <c r="E48" s="48"/>
      <c r="F48" s="48"/>
    </row>
    <row r="49" spans="1:6" x14ac:dyDescent="0.2">
      <c r="A49" s="40"/>
      <c r="E49" s="48"/>
      <c r="F49" s="48"/>
    </row>
    <row r="50" spans="1:6" x14ac:dyDescent="0.2">
      <c r="B50" s="284" t="s">
        <v>157</v>
      </c>
      <c r="E50" s="48"/>
      <c r="F50" s="48"/>
    </row>
    <row r="51" spans="1:6" hidden="1" x14ac:dyDescent="0.2">
      <c r="B51" s="38" t="s">
        <v>158</v>
      </c>
      <c r="C51" s="40" t="s">
        <v>159</v>
      </c>
      <c r="E51" s="48">
        <f>'Misc Subbie Rates_Master'!D10</f>
        <v>100</v>
      </c>
      <c r="F51" s="48">
        <f>E51*D51</f>
        <v>0</v>
      </c>
    </row>
    <row r="52" spans="1:6" hidden="1" x14ac:dyDescent="0.2">
      <c r="B52" s="38" t="s">
        <v>160</v>
      </c>
      <c r="C52" s="40" t="s">
        <v>159</v>
      </c>
      <c r="E52" s="48">
        <f>'Misc Subbie Rates_Master'!D11</f>
        <v>115</v>
      </c>
      <c r="F52" s="48">
        <f t="shared" ref="F52:F69" si="3">E52*D52</f>
        <v>0</v>
      </c>
    </row>
    <row r="53" spans="1:6" hidden="1" x14ac:dyDescent="0.2">
      <c r="B53" s="38" t="s">
        <v>161</v>
      </c>
      <c r="C53" s="40" t="s">
        <v>159</v>
      </c>
      <c r="E53" s="48">
        <f>'Misc Subbie Rates_Master'!D12</f>
        <v>154</v>
      </c>
      <c r="F53" s="48">
        <f t="shared" si="3"/>
        <v>0</v>
      </c>
    </row>
    <row r="54" spans="1:6" hidden="1" x14ac:dyDescent="0.2">
      <c r="B54" s="38" t="s">
        <v>162</v>
      </c>
      <c r="C54" s="40" t="s">
        <v>159</v>
      </c>
      <c r="E54" s="48">
        <f>'Misc Subbie Rates_Master'!D13</f>
        <v>21</v>
      </c>
      <c r="F54" s="48">
        <f t="shared" si="3"/>
        <v>0</v>
      </c>
    </row>
    <row r="55" spans="1:6" hidden="1" x14ac:dyDescent="0.2">
      <c r="B55" s="38" t="s">
        <v>163</v>
      </c>
      <c r="C55" s="40" t="s">
        <v>159</v>
      </c>
      <c r="E55" s="48">
        <f>'Misc Subbie Rates_Master'!D14</f>
        <v>10</v>
      </c>
      <c r="F55" s="48">
        <f t="shared" si="3"/>
        <v>0</v>
      </c>
    </row>
    <row r="56" spans="1:6" hidden="1" x14ac:dyDescent="0.2">
      <c r="B56" s="38" t="s">
        <v>164</v>
      </c>
      <c r="C56" s="40" t="s">
        <v>159</v>
      </c>
      <c r="E56" s="48">
        <f>'Misc Subbie Rates_Master'!D15</f>
        <v>150</v>
      </c>
      <c r="F56" s="48">
        <f t="shared" si="3"/>
        <v>0</v>
      </c>
    </row>
    <row r="57" spans="1:6" hidden="1" x14ac:dyDescent="0.2">
      <c r="B57" s="38" t="s">
        <v>165</v>
      </c>
      <c r="C57" s="40" t="s">
        <v>159</v>
      </c>
      <c r="E57" s="48">
        <f>'Misc Subbie Rates_Master'!D16</f>
        <v>50</v>
      </c>
      <c r="F57" s="48">
        <f t="shared" si="3"/>
        <v>0</v>
      </c>
    </row>
    <row r="58" spans="1:6" hidden="1" x14ac:dyDescent="0.2">
      <c r="B58" s="38" t="s">
        <v>166</v>
      </c>
      <c r="C58" s="40" t="s">
        <v>159</v>
      </c>
      <c r="E58" s="48">
        <f>'Misc Subbie Rates_Master'!D17</f>
        <v>140</v>
      </c>
      <c r="F58" s="48">
        <f t="shared" si="3"/>
        <v>0</v>
      </c>
    </row>
    <row r="59" spans="1:6" hidden="1" x14ac:dyDescent="0.2">
      <c r="B59" s="38" t="s">
        <v>167</v>
      </c>
      <c r="C59" s="40" t="s">
        <v>159</v>
      </c>
      <c r="E59" s="48">
        <f>'Misc Subbie Rates_Master'!D18</f>
        <v>128</v>
      </c>
      <c r="F59" s="48">
        <f t="shared" si="3"/>
        <v>0</v>
      </c>
    </row>
    <row r="60" spans="1:6" hidden="1" x14ac:dyDescent="0.2">
      <c r="B60" s="38" t="s">
        <v>168</v>
      </c>
      <c r="C60" s="40" t="s">
        <v>159</v>
      </c>
      <c r="E60" s="48">
        <f>'Misc Subbie Rates_Master'!D19</f>
        <v>26</v>
      </c>
      <c r="F60" s="48">
        <f t="shared" si="3"/>
        <v>0</v>
      </c>
    </row>
    <row r="61" spans="1:6" hidden="1" x14ac:dyDescent="0.2">
      <c r="B61" s="38" t="s">
        <v>169</v>
      </c>
      <c r="C61" s="40" t="s">
        <v>159</v>
      </c>
      <c r="E61" s="48">
        <f>'Misc Subbie Rates_Master'!D20</f>
        <v>10</v>
      </c>
      <c r="F61" s="48">
        <f t="shared" si="3"/>
        <v>0</v>
      </c>
    </row>
    <row r="62" spans="1:6" hidden="1" x14ac:dyDescent="0.2">
      <c r="B62" s="38" t="s">
        <v>170</v>
      </c>
      <c r="C62" s="40" t="s">
        <v>159</v>
      </c>
      <c r="E62" s="48">
        <f>'Misc Subbie Rates_Master'!D21</f>
        <v>153</v>
      </c>
      <c r="F62" s="48">
        <f t="shared" si="3"/>
        <v>0</v>
      </c>
    </row>
    <row r="63" spans="1:6" hidden="1" x14ac:dyDescent="0.2">
      <c r="B63" s="38" t="s">
        <v>171</v>
      </c>
      <c r="C63" s="40" t="s">
        <v>159</v>
      </c>
      <c r="E63" s="48">
        <f>'Misc Subbie Rates_Master'!D22</f>
        <v>36</v>
      </c>
      <c r="F63" s="48">
        <f t="shared" si="3"/>
        <v>0</v>
      </c>
    </row>
    <row r="64" spans="1:6" hidden="1" x14ac:dyDescent="0.2">
      <c r="B64" s="38" t="s">
        <v>172</v>
      </c>
      <c r="C64" s="40" t="s">
        <v>159</v>
      </c>
      <c r="E64" s="48">
        <f>'Misc Subbie Rates_Master'!D23</f>
        <v>10</v>
      </c>
      <c r="F64" s="48">
        <f t="shared" si="3"/>
        <v>0</v>
      </c>
    </row>
    <row r="65" spans="1:6" hidden="1" x14ac:dyDescent="0.2">
      <c r="B65" s="38" t="s">
        <v>173</v>
      </c>
      <c r="C65" s="40" t="s">
        <v>159</v>
      </c>
      <c r="E65" s="48">
        <f>'Misc Subbie Rates_Master'!D24</f>
        <v>190</v>
      </c>
      <c r="F65" s="48">
        <f t="shared" si="3"/>
        <v>0</v>
      </c>
    </row>
    <row r="66" spans="1:6" hidden="1" x14ac:dyDescent="0.2">
      <c r="B66" s="38" t="s">
        <v>174</v>
      </c>
      <c r="C66" s="40" t="s">
        <v>159</v>
      </c>
      <c r="E66" s="48">
        <f>'Misc Subbie Rates_Master'!D25</f>
        <v>220</v>
      </c>
      <c r="F66" s="48">
        <f t="shared" si="3"/>
        <v>0</v>
      </c>
    </row>
    <row r="67" spans="1:6" hidden="1" x14ac:dyDescent="0.2">
      <c r="B67" s="38" t="s">
        <v>175</v>
      </c>
      <c r="C67" s="40" t="s">
        <v>159</v>
      </c>
      <c r="E67" s="48">
        <f>'Misc Subbie Rates_Master'!D26</f>
        <v>250</v>
      </c>
      <c r="F67" s="48">
        <f t="shared" si="3"/>
        <v>0</v>
      </c>
    </row>
    <row r="68" spans="1:6" hidden="1" x14ac:dyDescent="0.2">
      <c r="B68" s="38" t="s">
        <v>176</v>
      </c>
      <c r="C68" s="40" t="s">
        <v>159</v>
      </c>
      <c r="E68" s="48">
        <f>'Misc Subbie Rates_Master'!D27</f>
        <v>110</v>
      </c>
      <c r="F68" s="48">
        <f t="shared" si="3"/>
        <v>0</v>
      </c>
    </row>
    <row r="69" spans="1:6" hidden="1" x14ac:dyDescent="0.2">
      <c r="B69" s="38" t="s">
        <v>177</v>
      </c>
      <c r="C69" s="40" t="s">
        <v>159</v>
      </c>
      <c r="E69" s="48">
        <f>'Misc Subbie Rates_Master'!D28</f>
        <v>110</v>
      </c>
      <c r="F69" s="48">
        <f t="shared" si="3"/>
        <v>0</v>
      </c>
    </row>
    <row r="70" spans="1:6" x14ac:dyDescent="0.2">
      <c r="E70" s="48"/>
      <c r="F70" s="48"/>
    </row>
    <row r="71" spans="1:6" x14ac:dyDescent="0.2">
      <c r="B71" s="284" t="s">
        <v>178</v>
      </c>
      <c r="E71" s="48"/>
      <c r="F71" s="48"/>
    </row>
    <row r="72" spans="1:6" x14ac:dyDescent="0.2">
      <c r="A72" s="40"/>
      <c r="B72" s="201" t="s">
        <v>179</v>
      </c>
      <c r="C72" s="40" t="s">
        <v>93</v>
      </c>
      <c r="D72" s="40">
        <v>3</v>
      </c>
      <c r="E72" s="48">
        <f>'Equip&amp;HIRE_Master'!D4</f>
        <v>225.43333333333334</v>
      </c>
      <c r="F72" s="48">
        <f>E72*D72</f>
        <v>676.3</v>
      </c>
    </row>
    <row r="73" spans="1:6" x14ac:dyDescent="0.2">
      <c r="A73" s="40"/>
      <c r="B73" s="201" t="s">
        <v>180</v>
      </c>
      <c r="C73" s="40" t="s">
        <v>93</v>
      </c>
      <c r="E73" s="48">
        <f>'Equip&amp;HIRE_Master'!D5</f>
        <v>163.96666666666667</v>
      </c>
      <c r="F73" s="48">
        <f t="shared" ref="F73:F136" si="4">E73*D73</f>
        <v>0</v>
      </c>
    </row>
    <row r="74" spans="1:6" x14ac:dyDescent="0.2">
      <c r="A74" s="40"/>
      <c r="B74" s="201" t="s">
        <v>181</v>
      </c>
      <c r="C74" s="40" t="s">
        <v>93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182</v>
      </c>
      <c r="C76" s="40" t="s">
        <v>93</v>
      </c>
      <c r="D76" s="40">
        <v>3</v>
      </c>
      <c r="E76" s="48">
        <f>'Equip&amp;HIRE_Master'!D8</f>
        <v>137.14285714285714</v>
      </c>
      <c r="F76" s="48">
        <f t="shared" si="4"/>
        <v>411.42857142857144</v>
      </c>
    </row>
    <row r="77" spans="1:6" x14ac:dyDescent="0.2">
      <c r="A77" s="40"/>
      <c r="B77" s="201" t="s">
        <v>183</v>
      </c>
      <c r="C77" s="40" t="s">
        <v>93</v>
      </c>
      <c r="E77" s="48">
        <f>'Equip&amp;HIRE_Master'!D9</f>
        <v>0</v>
      </c>
      <c r="F77" s="48">
        <f t="shared" si="4"/>
        <v>0</v>
      </c>
    </row>
    <row r="78" spans="1:6" x14ac:dyDescent="0.2">
      <c r="A78" s="40"/>
      <c r="B78" s="201" t="s">
        <v>184</v>
      </c>
      <c r="C78" s="40" t="s">
        <v>93</v>
      </c>
      <c r="E78" s="48">
        <f>'Equip&amp;HIRE_Master'!D10</f>
        <v>238.66666666666666</v>
      </c>
      <c r="F78" s="48">
        <f t="shared" si="4"/>
        <v>0</v>
      </c>
    </row>
    <row r="79" spans="1:6" x14ac:dyDescent="0.2">
      <c r="A79" s="40"/>
      <c r="B79" s="201" t="s">
        <v>185</v>
      </c>
      <c r="C79" s="40" t="s">
        <v>93</v>
      </c>
      <c r="E79" s="48">
        <f>'Equip&amp;HIRE_Master'!D11</f>
        <v>261.16666666666669</v>
      </c>
      <c r="F79" s="48">
        <f t="shared" si="4"/>
        <v>0</v>
      </c>
    </row>
    <row r="80" spans="1:6" x14ac:dyDescent="0.2">
      <c r="A80" s="40"/>
      <c r="B80" s="201" t="s">
        <v>186</v>
      </c>
      <c r="C80" s="40" t="s">
        <v>93</v>
      </c>
      <c r="E80" s="48">
        <f>'Equip&amp;HIRE_Master'!D12</f>
        <v>0</v>
      </c>
      <c r="F80" s="48">
        <f t="shared" si="4"/>
        <v>0</v>
      </c>
    </row>
    <row r="81" spans="1:6" x14ac:dyDescent="0.2">
      <c r="A81" s="40"/>
      <c r="B81" s="201" t="s">
        <v>187</v>
      </c>
      <c r="C81" s="40" t="s">
        <v>93</v>
      </c>
      <c r="E81" s="48">
        <f>'Equip&amp;HIRE_Master'!D13</f>
        <v>317.2</v>
      </c>
      <c r="F81" s="48">
        <f t="shared" si="4"/>
        <v>0</v>
      </c>
    </row>
    <row r="82" spans="1:6" x14ac:dyDescent="0.2">
      <c r="A82" s="40"/>
      <c r="B82" s="201" t="s">
        <v>188</v>
      </c>
      <c r="C82" s="40" t="s">
        <v>93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189</v>
      </c>
      <c r="C84" s="40" t="s">
        <v>93</v>
      </c>
      <c r="E84" s="48">
        <f>'Equip&amp;HIRE_Master'!D16</f>
        <v>0</v>
      </c>
      <c r="F84" s="48">
        <f t="shared" si="4"/>
        <v>0</v>
      </c>
    </row>
    <row r="85" spans="1:6" x14ac:dyDescent="0.2">
      <c r="A85" s="40"/>
      <c r="B85" s="201" t="s">
        <v>190</v>
      </c>
      <c r="C85" s="40" t="s">
        <v>93</v>
      </c>
      <c r="E85" s="48">
        <f>'Equip&amp;HIRE_Master'!D17</f>
        <v>32.74</v>
      </c>
      <c r="F85" s="48">
        <f t="shared" si="4"/>
        <v>0</v>
      </c>
    </row>
    <row r="86" spans="1:6" x14ac:dyDescent="0.2">
      <c r="A86" s="40"/>
      <c r="B86" s="201" t="s">
        <v>191</v>
      </c>
      <c r="C86" s="40" t="s">
        <v>93</v>
      </c>
      <c r="E86" s="48">
        <f>'Equip&amp;HIRE_Master'!D18</f>
        <v>0</v>
      </c>
      <c r="F86" s="48">
        <f t="shared" si="4"/>
        <v>0</v>
      </c>
    </row>
    <row r="87" spans="1:6" x14ac:dyDescent="0.2">
      <c r="A87" s="40"/>
      <c r="B87" s="201" t="s">
        <v>192</v>
      </c>
      <c r="C87" s="40" t="s">
        <v>93</v>
      </c>
      <c r="E87" s="48">
        <f>'Equip&amp;HIRE_Master'!D19</f>
        <v>40.380000000000003</v>
      </c>
      <c r="F87" s="48">
        <f t="shared" si="4"/>
        <v>0</v>
      </c>
    </row>
    <row r="88" spans="1:6" x14ac:dyDescent="0.2">
      <c r="A88" s="40"/>
      <c r="B88" s="201" t="s">
        <v>193</v>
      </c>
      <c r="C88" s="40" t="s">
        <v>93</v>
      </c>
      <c r="E88" s="48">
        <f>'Equip&amp;HIRE_Master'!D20</f>
        <v>123.33</v>
      </c>
      <c r="F88" s="48">
        <f t="shared" si="4"/>
        <v>0</v>
      </c>
    </row>
    <row r="89" spans="1:6" x14ac:dyDescent="0.2">
      <c r="A89" s="40"/>
      <c r="B89" s="201" t="s">
        <v>194</v>
      </c>
      <c r="C89" s="40" t="s">
        <v>93</v>
      </c>
      <c r="E89" s="48">
        <f>'Equip&amp;HIRE_Master'!D21</f>
        <v>165.89</v>
      </c>
      <c r="F89" s="48">
        <f t="shared" si="4"/>
        <v>0</v>
      </c>
    </row>
    <row r="90" spans="1:6" x14ac:dyDescent="0.2">
      <c r="A90" s="40"/>
      <c r="B90" s="201" t="s">
        <v>195</v>
      </c>
      <c r="C90" s="40" t="s">
        <v>93</v>
      </c>
      <c r="E90" s="48">
        <f>'Equip&amp;HIRE_Master'!D22</f>
        <v>165.89</v>
      </c>
      <c r="F90" s="48">
        <f t="shared" si="4"/>
        <v>0</v>
      </c>
    </row>
    <row r="91" spans="1:6" x14ac:dyDescent="0.2">
      <c r="A91" s="40"/>
      <c r="B91" s="201" t="s">
        <v>196</v>
      </c>
      <c r="C91" s="40" t="s">
        <v>93</v>
      </c>
      <c r="E91" s="48">
        <f>'Equip&amp;HIRE_Master'!D23</f>
        <v>0</v>
      </c>
      <c r="F91" s="48">
        <f t="shared" si="4"/>
        <v>0</v>
      </c>
    </row>
    <row r="92" spans="1:6" x14ac:dyDescent="0.2">
      <c r="A92" s="40"/>
      <c r="B92" s="201" t="s">
        <v>197</v>
      </c>
      <c r="C92" s="40" t="s">
        <v>93</v>
      </c>
      <c r="E92" s="48">
        <f>'Equip&amp;HIRE_Master'!D24</f>
        <v>203</v>
      </c>
      <c r="F92" s="48">
        <f t="shared" si="4"/>
        <v>0</v>
      </c>
    </row>
    <row r="93" spans="1:6" x14ac:dyDescent="0.2">
      <c r="A93" s="40"/>
      <c r="B93" s="201" t="s">
        <v>198</v>
      </c>
      <c r="E93" s="48">
        <f>'Equip&amp;HIRE_Master'!D25</f>
        <v>0</v>
      </c>
      <c r="F93" s="48">
        <f t="shared" si="4"/>
        <v>0</v>
      </c>
    </row>
    <row r="94" spans="1:6" x14ac:dyDescent="0.2">
      <c r="A94" s="40"/>
      <c r="B94" s="201" t="s">
        <v>199</v>
      </c>
      <c r="E94" s="48">
        <f>'Equip&amp;HIRE_Master'!D26</f>
        <v>0</v>
      </c>
      <c r="F94" s="48">
        <f t="shared" si="4"/>
        <v>0</v>
      </c>
    </row>
    <row r="95" spans="1:6" ht="4.95" customHeight="1" x14ac:dyDescent="0.2">
      <c r="A95" s="40"/>
      <c r="B95" s="201"/>
      <c r="E95" s="48">
        <f>'Equip&amp;HIRE_Master'!D27</f>
        <v>0</v>
      </c>
      <c r="F95" s="48">
        <f t="shared" si="4"/>
        <v>0</v>
      </c>
    </row>
    <row r="96" spans="1:6" x14ac:dyDescent="0.2">
      <c r="A96" s="40"/>
      <c r="B96" s="201" t="s">
        <v>200</v>
      </c>
      <c r="C96" s="40" t="s">
        <v>93</v>
      </c>
      <c r="E96" s="48">
        <f>'Equip&amp;HIRE_Master'!D28</f>
        <v>205</v>
      </c>
      <c r="F96" s="48">
        <f t="shared" si="4"/>
        <v>0</v>
      </c>
    </row>
    <row r="97" spans="1:6" x14ac:dyDescent="0.2">
      <c r="A97" s="40"/>
      <c r="B97" s="201" t="s">
        <v>201</v>
      </c>
      <c r="C97" s="40" t="s">
        <v>93</v>
      </c>
      <c r="E97" s="48">
        <f>'Equip&amp;HIRE_Master'!D29</f>
        <v>166.98</v>
      </c>
      <c r="F97" s="48">
        <f t="shared" si="4"/>
        <v>0</v>
      </c>
    </row>
    <row r="98" spans="1:6" x14ac:dyDescent="0.2">
      <c r="A98" s="40"/>
      <c r="B98" s="201" t="s">
        <v>202</v>
      </c>
      <c r="C98" s="40" t="s">
        <v>93</v>
      </c>
      <c r="E98" s="48">
        <f>'Equip&amp;HIRE_Master'!D30</f>
        <v>171.42857142857142</v>
      </c>
      <c r="F98" s="48">
        <f t="shared" si="4"/>
        <v>0</v>
      </c>
    </row>
    <row r="99" spans="1:6" ht="4.2" customHeight="1" x14ac:dyDescent="0.2">
      <c r="A99" s="40"/>
      <c r="B99" s="201"/>
      <c r="E99" s="48">
        <f>'Equip&amp;HIRE_Master'!D31</f>
        <v>0</v>
      </c>
      <c r="F99" s="48">
        <f t="shared" si="4"/>
        <v>0</v>
      </c>
    </row>
    <row r="100" spans="1:6" x14ac:dyDescent="0.2">
      <c r="A100" s="40"/>
      <c r="B100" s="201" t="s">
        <v>203</v>
      </c>
      <c r="C100" s="40" t="s">
        <v>93</v>
      </c>
      <c r="E100" s="48">
        <f>'Equip&amp;HIRE_Master'!D32</f>
        <v>0</v>
      </c>
      <c r="F100" s="48">
        <f t="shared" si="4"/>
        <v>0</v>
      </c>
    </row>
    <row r="101" spans="1:6" x14ac:dyDescent="0.2">
      <c r="A101" s="40"/>
      <c r="B101" s="201" t="s">
        <v>204</v>
      </c>
      <c r="C101" s="40" t="s">
        <v>93</v>
      </c>
      <c r="D101" s="40">
        <v>3</v>
      </c>
      <c r="E101" s="48">
        <f>'Equip&amp;HIRE_Master'!D33</f>
        <v>34.285714285714285</v>
      </c>
      <c r="F101" s="48">
        <f t="shared" si="4"/>
        <v>102.85714285714286</v>
      </c>
    </row>
    <row r="102" spans="1:6" x14ac:dyDescent="0.2">
      <c r="A102" s="40"/>
      <c r="B102" s="201" t="s">
        <v>205</v>
      </c>
      <c r="C102" s="40" t="s">
        <v>93</v>
      </c>
      <c r="E102" s="48">
        <f>'Equip&amp;HIRE_Master'!D34</f>
        <v>165</v>
      </c>
      <c r="F102" s="48">
        <f t="shared" si="4"/>
        <v>0</v>
      </c>
    </row>
    <row r="103" spans="1:6" x14ac:dyDescent="0.2">
      <c r="A103" s="40"/>
      <c r="B103" s="201" t="s">
        <v>206</v>
      </c>
      <c r="C103" s="40" t="s">
        <v>93</v>
      </c>
      <c r="E103" s="48">
        <f>'Equip&amp;HIRE_Master'!D35</f>
        <v>0</v>
      </c>
      <c r="F103" s="48">
        <f t="shared" si="4"/>
        <v>0</v>
      </c>
    </row>
    <row r="104" spans="1:6" x14ac:dyDescent="0.2">
      <c r="A104" s="40"/>
      <c r="B104" s="201" t="s">
        <v>207</v>
      </c>
      <c r="C104" s="40" t="s">
        <v>93</v>
      </c>
      <c r="E104" s="48">
        <f>'Equip&amp;HIRE_Master'!D36</f>
        <v>0</v>
      </c>
      <c r="F104" s="48">
        <f t="shared" si="4"/>
        <v>0</v>
      </c>
    </row>
    <row r="105" spans="1:6" x14ac:dyDescent="0.2">
      <c r="A105" s="40"/>
      <c r="B105" s="201" t="s">
        <v>208</v>
      </c>
      <c r="C105" s="40" t="s">
        <v>93</v>
      </c>
      <c r="E105" s="48">
        <f>'Equip&amp;HIRE_Master'!D37</f>
        <v>0</v>
      </c>
      <c r="F105" s="48">
        <f t="shared" si="4"/>
        <v>0</v>
      </c>
    </row>
    <row r="106" spans="1:6" x14ac:dyDescent="0.2">
      <c r="A106" s="40"/>
      <c r="B106" s="201" t="s">
        <v>209</v>
      </c>
      <c r="C106" s="40" t="s">
        <v>93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210</v>
      </c>
      <c r="C108" s="40" t="s">
        <v>93</v>
      </c>
      <c r="E108" s="48">
        <f>'Equip&amp;HIRE_Master'!D40</f>
        <v>5.46</v>
      </c>
      <c r="F108" s="48">
        <f t="shared" si="4"/>
        <v>0</v>
      </c>
    </row>
    <row r="109" spans="1:6" x14ac:dyDescent="0.2">
      <c r="A109" s="40"/>
      <c r="B109" s="201" t="s">
        <v>211</v>
      </c>
      <c r="C109" s="40" t="s">
        <v>93</v>
      </c>
      <c r="E109" s="48">
        <f>'Equip&amp;HIRE_Master'!D41</f>
        <v>23</v>
      </c>
      <c r="F109" s="48">
        <f t="shared" si="4"/>
        <v>0</v>
      </c>
    </row>
    <row r="110" spans="1:6" x14ac:dyDescent="0.2">
      <c r="A110" s="40"/>
      <c r="B110" s="201" t="s">
        <v>212</v>
      </c>
      <c r="C110" s="40" t="s">
        <v>93</v>
      </c>
      <c r="E110" s="48">
        <f>'Equip&amp;HIRE_Master'!D42</f>
        <v>23</v>
      </c>
      <c r="F110" s="48">
        <f t="shared" si="4"/>
        <v>0</v>
      </c>
    </row>
    <row r="111" spans="1:6" hidden="1" x14ac:dyDescent="0.2">
      <c r="A111" s="40"/>
      <c r="B111" s="201" t="s">
        <v>213</v>
      </c>
      <c r="C111" s="40" t="s">
        <v>93</v>
      </c>
      <c r="E111" s="48">
        <f>'Equip&amp;HIRE_Master'!D43</f>
        <v>0</v>
      </c>
      <c r="F111" s="48">
        <f t="shared" si="4"/>
        <v>0</v>
      </c>
    </row>
    <row r="112" spans="1:6" hidden="1" x14ac:dyDescent="0.2">
      <c r="A112" s="40"/>
      <c r="B112" s="201" t="s">
        <v>214</v>
      </c>
      <c r="C112" s="40" t="s">
        <v>93</v>
      </c>
      <c r="E112" s="48">
        <f>'Equip&amp;HIRE_Master'!D44</f>
        <v>0</v>
      </c>
      <c r="F112" s="48">
        <f t="shared" si="4"/>
        <v>0</v>
      </c>
    </row>
    <row r="113" spans="1:6" hidden="1" x14ac:dyDescent="0.2">
      <c r="A113" s="40"/>
      <c r="B113" s="201" t="s">
        <v>215</v>
      </c>
      <c r="C113" s="40" t="s">
        <v>93</v>
      </c>
      <c r="E113" s="48">
        <f>'Equip&amp;HIRE_Master'!D45</f>
        <v>0</v>
      </c>
      <c r="F113" s="48">
        <f t="shared" si="4"/>
        <v>0</v>
      </c>
    </row>
    <row r="114" spans="1:6" hidden="1" x14ac:dyDescent="0.2">
      <c r="A114" s="40"/>
      <c r="B114" s="201" t="s">
        <v>216</v>
      </c>
      <c r="C114" s="40" t="s">
        <v>93</v>
      </c>
      <c r="E114" s="48">
        <f>'Equip&amp;HIRE_Master'!D46</f>
        <v>0</v>
      </c>
      <c r="F114" s="48">
        <f t="shared" si="4"/>
        <v>0</v>
      </c>
    </row>
    <row r="115" spans="1:6" hidden="1" x14ac:dyDescent="0.2">
      <c r="A115" s="40"/>
      <c r="B115" s="201" t="s">
        <v>217</v>
      </c>
      <c r="C115" s="40" t="s">
        <v>93</v>
      </c>
      <c r="E115" s="48">
        <f>'Equip&amp;HIRE_Master'!D47</f>
        <v>0</v>
      </c>
      <c r="F115" s="48">
        <f t="shared" si="4"/>
        <v>0</v>
      </c>
    </row>
    <row r="116" spans="1:6" hidden="1" x14ac:dyDescent="0.2">
      <c r="A116" s="40"/>
      <c r="B116" s="201" t="s">
        <v>218</v>
      </c>
      <c r="C116" s="40" t="s">
        <v>93</v>
      </c>
      <c r="E116" s="48">
        <f>'Equip&amp;HIRE_Master'!D48</f>
        <v>0</v>
      </c>
      <c r="F116" s="48">
        <f t="shared" si="4"/>
        <v>0</v>
      </c>
    </row>
    <row r="117" spans="1:6" hidden="1" x14ac:dyDescent="0.2">
      <c r="A117" s="40"/>
      <c r="B117" s="201" t="s">
        <v>219</v>
      </c>
      <c r="C117" s="40" t="s">
        <v>93</v>
      </c>
      <c r="E117" s="48">
        <f>'Equip&amp;HIRE_Master'!D49</f>
        <v>0</v>
      </c>
      <c r="F117" s="48">
        <f t="shared" si="4"/>
        <v>0</v>
      </c>
    </row>
    <row r="118" spans="1:6" hidden="1" x14ac:dyDescent="0.2">
      <c r="A118" s="40"/>
      <c r="B118" s="201" t="s">
        <v>220</v>
      </c>
      <c r="C118" s="40" t="s">
        <v>93</v>
      </c>
      <c r="E118" s="48">
        <f>'Equip&amp;HIRE_Master'!D50</f>
        <v>0</v>
      </c>
      <c r="F118" s="48">
        <f t="shared" si="4"/>
        <v>0</v>
      </c>
    </row>
    <row r="119" spans="1:6" hidden="1" x14ac:dyDescent="0.2">
      <c r="A119" s="40"/>
      <c r="B119" s="201" t="s">
        <v>221</v>
      </c>
      <c r="C119" s="40" t="s">
        <v>93</v>
      </c>
      <c r="E119" s="48">
        <f>'Equip&amp;HIRE_Master'!D51</f>
        <v>0</v>
      </c>
      <c r="F119" s="48">
        <f t="shared" si="4"/>
        <v>0</v>
      </c>
    </row>
    <row r="120" spans="1:6" hidden="1" x14ac:dyDescent="0.2">
      <c r="A120" s="40"/>
      <c r="B120" s="201" t="s">
        <v>222</v>
      </c>
      <c r="C120" s="40" t="s">
        <v>93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223</v>
      </c>
      <c r="C122" s="40" t="s">
        <v>93</v>
      </c>
      <c r="E122" s="48">
        <f>'Equip&amp;HIRE_Master'!D54</f>
        <v>0</v>
      </c>
      <c r="F122" s="48">
        <f t="shared" si="4"/>
        <v>0</v>
      </c>
    </row>
    <row r="123" spans="1:6" x14ac:dyDescent="0.2">
      <c r="A123" s="40"/>
      <c r="B123" s="201" t="s">
        <v>224</v>
      </c>
      <c r="C123" s="40" t="s">
        <v>225</v>
      </c>
      <c r="E123" s="48">
        <f>'Equip&amp;HIRE_Master'!D55</f>
        <v>230</v>
      </c>
      <c r="F123" s="48">
        <f t="shared" si="4"/>
        <v>0</v>
      </c>
    </row>
    <row r="124" spans="1:6" x14ac:dyDescent="0.2">
      <c r="A124" s="40"/>
      <c r="B124" s="201" t="s">
        <v>226</v>
      </c>
      <c r="C124" s="40" t="s">
        <v>227</v>
      </c>
      <c r="E124" s="48">
        <f>'Equip&amp;HIRE_Master'!D56</f>
        <v>309</v>
      </c>
      <c r="F124" s="48">
        <f t="shared" si="4"/>
        <v>0</v>
      </c>
    </row>
    <row r="125" spans="1:6" x14ac:dyDescent="0.2">
      <c r="A125" s="40"/>
      <c r="B125" s="201" t="s">
        <v>228</v>
      </c>
      <c r="C125" s="40" t="s">
        <v>229</v>
      </c>
      <c r="E125" s="48">
        <f>'Equip&amp;HIRE_Master'!D57</f>
        <v>35</v>
      </c>
      <c r="F125" s="48">
        <f t="shared" si="4"/>
        <v>0</v>
      </c>
    </row>
    <row r="126" spans="1:6" x14ac:dyDescent="0.2">
      <c r="A126" s="40"/>
      <c r="B126" s="201" t="s">
        <v>230</v>
      </c>
      <c r="C126" s="40" t="s">
        <v>231</v>
      </c>
      <c r="E126" s="48">
        <f>'Equip&amp;HIRE_Master'!D58</f>
        <v>229.9</v>
      </c>
      <c r="F126" s="48">
        <f t="shared" si="4"/>
        <v>0</v>
      </c>
    </row>
    <row r="127" spans="1:6" x14ac:dyDescent="0.2">
      <c r="A127" s="40"/>
      <c r="B127" s="201" t="s">
        <v>232</v>
      </c>
      <c r="C127" s="40" t="s">
        <v>231</v>
      </c>
      <c r="E127" s="48">
        <f>'Equip&amp;HIRE_Master'!D59</f>
        <v>239.8</v>
      </c>
      <c r="F127" s="48">
        <f t="shared" si="4"/>
        <v>0</v>
      </c>
    </row>
    <row r="128" spans="1:6" x14ac:dyDescent="0.2">
      <c r="A128" s="40"/>
      <c r="B128" s="201" t="s">
        <v>233</v>
      </c>
      <c r="C128" s="40" t="s">
        <v>227</v>
      </c>
      <c r="E128" s="48">
        <f>'Equip&amp;HIRE_Master'!D60</f>
        <v>309</v>
      </c>
      <c r="F128" s="48">
        <f t="shared" si="4"/>
        <v>0</v>
      </c>
    </row>
    <row r="129" spans="1:6" x14ac:dyDescent="0.2">
      <c r="A129" s="40"/>
      <c r="B129" s="201" t="s">
        <v>234</v>
      </c>
      <c r="C129" s="40" t="s">
        <v>229</v>
      </c>
      <c r="E129" s="48">
        <f>'Equip&amp;HIRE_Master'!D61</f>
        <v>35</v>
      </c>
      <c r="F129" s="48">
        <f t="shared" si="4"/>
        <v>0</v>
      </c>
    </row>
    <row r="130" spans="1:6" x14ac:dyDescent="0.2">
      <c r="A130" s="40"/>
      <c r="B130" s="201" t="s">
        <v>235</v>
      </c>
      <c r="C130" s="40" t="s">
        <v>93</v>
      </c>
      <c r="E130" s="48">
        <f>'Equip&amp;HIRE_Master'!D62</f>
        <v>295.77</v>
      </c>
      <c r="F130" s="48">
        <f t="shared" si="4"/>
        <v>0</v>
      </c>
    </row>
    <row r="131" spans="1:6" x14ac:dyDescent="0.2">
      <c r="A131" s="40"/>
      <c r="B131" s="201" t="s">
        <v>236</v>
      </c>
      <c r="C131" s="40" t="s">
        <v>93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237</v>
      </c>
      <c r="C133" s="40" t="s">
        <v>93</v>
      </c>
      <c r="E133" s="48">
        <f>'Equip&amp;HIRE_Master'!D65</f>
        <v>0</v>
      </c>
      <c r="F133" s="48">
        <f t="shared" si="4"/>
        <v>0</v>
      </c>
    </row>
    <row r="134" spans="1:6" x14ac:dyDescent="0.2">
      <c r="A134" s="40"/>
      <c r="B134" s="201" t="s">
        <v>238</v>
      </c>
      <c r="C134" s="40" t="s">
        <v>239</v>
      </c>
      <c r="E134" s="48">
        <f>'Equip&amp;HIRE_Master'!D66</f>
        <v>180</v>
      </c>
      <c r="F134" s="48">
        <f t="shared" si="4"/>
        <v>0</v>
      </c>
    </row>
    <row r="135" spans="1:6" x14ac:dyDescent="0.2">
      <c r="A135" s="40"/>
      <c r="B135" s="201" t="s">
        <v>240</v>
      </c>
      <c r="C135" s="40" t="s">
        <v>239</v>
      </c>
      <c r="E135" s="48">
        <f>'Equip&amp;HIRE_Master'!D67</f>
        <v>125</v>
      </c>
      <c r="F135" s="48">
        <f t="shared" si="4"/>
        <v>0</v>
      </c>
    </row>
    <row r="136" spans="1:6" x14ac:dyDescent="0.2">
      <c r="A136" s="40"/>
      <c r="B136" s="201" t="s">
        <v>241</v>
      </c>
      <c r="C136" s="40" t="s">
        <v>239</v>
      </c>
      <c r="E136" s="48">
        <f>'Equip&amp;HIRE_Master'!D68</f>
        <v>160</v>
      </c>
      <c r="F136" s="48">
        <f t="shared" si="4"/>
        <v>0</v>
      </c>
    </row>
    <row r="137" spans="1:6" x14ac:dyDescent="0.2">
      <c r="A137" s="40"/>
      <c r="B137" s="201" t="s">
        <v>242</v>
      </c>
      <c r="C137" s="40" t="s">
        <v>239</v>
      </c>
      <c r="E137" s="48">
        <f>'Equip&amp;HIRE_Master'!D69</f>
        <v>200</v>
      </c>
      <c r="F137" s="48">
        <f t="shared" ref="F137" si="5">E137*D137</f>
        <v>0</v>
      </c>
    </row>
    <row r="138" spans="1:6" x14ac:dyDescent="0.2">
      <c r="A138" s="40"/>
      <c r="E138" s="48"/>
      <c r="F138" s="48"/>
    </row>
    <row r="139" spans="1:6" x14ac:dyDescent="0.2">
      <c r="A139" s="40"/>
      <c r="B139" s="201" t="s">
        <v>244</v>
      </c>
      <c r="C139" s="40" t="s">
        <v>229</v>
      </c>
      <c r="D139" s="40">
        <v>0.5</v>
      </c>
      <c r="E139" s="48">
        <v>1850</v>
      </c>
      <c r="F139" s="48">
        <f t="shared" ref="F139" si="6">E139*D139</f>
        <v>925</v>
      </c>
    </row>
    <row r="140" spans="1:6" ht="10.8" thickBot="1" x14ac:dyDescent="0.25">
      <c r="A140" s="40"/>
      <c r="E140" s="48"/>
      <c r="F140" s="48"/>
    </row>
    <row r="141" spans="1:6" ht="10.8" thickBot="1" x14ac:dyDescent="0.25">
      <c r="A141" s="42"/>
      <c r="B141" s="49" t="s">
        <v>245</v>
      </c>
      <c r="E141" s="48"/>
      <c r="F141" s="48"/>
    </row>
    <row r="142" spans="1:6" x14ac:dyDescent="0.2">
      <c r="E142" s="48"/>
      <c r="F142" s="48"/>
    </row>
    <row r="143" spans="1:6" x14ac:dyDescent="0.2">
      <c r="B143" s="38" t="s">
        <v>246</v>
      </c>
      <c r="C143" s="40" t="s">
        <v>115</v>
      </c>
      <c r="E143" s="48">
        <f>'Misc Subbie Rates_Master'!D35</f>
        <v>180</v>
      </c>
      <c r="F143" s="48">
        <f>E143*D143</f>
        <v>0</v>
      </c>
    </row>
    <row r="144" spans="1:6" x14ac:dyDescent="0.2">
      <c r="B144" s="38" t="s">
        <v>247</v>
      </c>
      <c r="C144" s="40" t="s">
        <v>115</v>
      </c>
      <c r="E144" s="48">
        <f>'Misc Subbie Rates_Master'!D42</f>
        <v>130</v>
      </c>
      <c r="F144" s="48">
        <f t="shared" ref="F144:F151" si="7">E144*D144</f>
        <v>0</v>
      </c>
    </row>
    <row r="145" spans="1:6" x14ac:dyDescent="0.2">
      <c r="B145" s="38" t="s">
        <v>248</v>
      </c>
      <c r="C145" s="40" t="s">
        <v>115</v>
      </c>
      <c r="E145" s="48">
        <f>'Misc Subbie Rates_Master'!D72</f>
        <v>115</v>
      </c>
      <c r="F145" s="48">
        <f t="shared" si="7"/>
        <v>0</v>
      </c>
    </row>
    <row r="146" spans="1:6" x14ac:dyDescent="0.2">
      <c r="B146" s="38" t="s">
        <v>249</v>
      </c>
      <c r="C146" s="40" t="s">
        <v>115</v>
      </c>
      <c r="E146" s="48">
        <f>'Misc Subbie Rates_Master'!D73</f>
        <v>90</v>
      </c>
      <c r="F146" s="48">
        <f t="shared" si="7"/>
        <v>0</v>
      </c>
    </row>
    <row r="147" spans="1:6" x14ac:dyDescent="0.2">
      <c r="C147" s="40" t="s">
        <v>115</v>
      </c>
      <c r="E147" s="48"/>
      <c r="F147" s="48">
        <f t="shared" si="7"/>
        <v>0</v>
      </c>
    </row>
    <row r="148" spans="1:6" x14ac:dyDescent="0.2">
      <c r="C148" s="40" t="s">
        <v>115</v>
      </c>
      <c r="E148" s="48"/>
      <c r="F148" s="48">
        <f t="shared" si="7"/>
        <v>0</v>
      </c>
    </row>
    <row r="149" spans="1:6" x14ac:dyDescent="0.2">
      <c r="B149" s="284" t="s">
        <v>250</v>
      </c>
      <c r="C149" s="40" t="s">
        <v>115</v>
      </c>
      <c r="E149" s="48"/>
      <c r="F149" s="48">
        <f t="shared" si="7"/>
        <v>0</v>
      </c>
    </row>
    <row r="150" spans="1:6" x14ac:dyDescent="0.2">
      <c r="B150" s="1" t="s">
        <v>251</v>
      </c>
      <c r="C150" s="40" t="s">
        <v>115</v>
      </c>
      <c r="E150" s="48">
        <f>'Misc Subbie Rates_Master'!D84</f>
        <v>1945</v>
      </c>
      <c r="F150" s="48">
        <f t="shared" si="7"/>
        <v>0</v>
      </c>
    </row>
    <row r="151" spans="1:6" x14ac:dyDescent="0.2">
      <c r="B151" s="38" t="s">
        <v>252</v>
      </c>
      <c r="C151" s="40" t="s">
        <v>115</v>
      </c>
      <c r="D151" s="40">
        <v>1</v>
      </c>
      <c r="E151" s="48">
        <f>'Misc Subbie Rates_Master'!D86</f>
        <v>350</v>
      </c>
      <c r="F151" s="48">
        <f t="shared" si="7"/>
        <v>350</v>
      </c>
    </row>
    <row r="152" spans="1:6" x14ac:dyDescent="0.2">
      <c r="E152" s="48"/>
      <c r="F152" s="48"/>
    </row>
    <row r="153" spans="1:6" ht="10.8" thickBot="1" x14ac:dyDescent="0.25">
      <c r="E153" s="48"/>
      <c r="F153" s="48"/>
    </row>
    <row r="154" spans="1:6" ht="10.8" thickBot="1" x14ac:dyDescent="0.25">
      <c r="A154" s="42"/>
      <c r="B154" s="49" t="s">
        <v>253</v>
      </c>
      <c r="E154" s="48"/>
      <c r="F154" s="48"/>
    </row>
    <row r="155" spans="1:6" x14ac:dyDescent="0.2">
      <c r="E155" s="48"/>
      <c r="F155" s="48"/>
    </row>
    <row r="156" spans="1:6" hidden="1" x14ac:dyDescent="0.2">
      <c r="B156" s="38" t="str">
        <f>'Material Rates_Master'!A185</f>
        <v>Bedding / Fill Sand</v>
      </c>
      <c r="C156" s="40" t="str">
        <f>'Material Rates_Master'!B185</f>
        <v>m3</v>
      </c>
      <c r="E156" s="48">
        <f>'Material Rates_Master'!D185</f>
        <v>39.75</v>
      </c>
      <c r="F156" s="48">
        <f>E156*D156</f>
        <v>0</v>
      </c>
    </row>
    <row r="157" spans="1:6" hidden="1" x14ac:dyDescent="0.2">
      <c r="B157" s="38" t="str">
        <f>'Material Rates_Master'!A186</f>
        <v>CBR 45/2.5 Roadbase</v>
      </c>
      <c r="C157" s="40" t="str">
        <f>'Material Rates_Master'!B186</f>
        <v>m3</v>
      </c>
      <c r="E157" s="48">
        <f>'Material Rates_Master'!D186</f>
        <v>41.9</v>
      </c>
      <c r="F157" s="48">
        <f t="shared" ref="F157:F164" si="8">E157*D157</f>
        <v>0</v>
      </c>
    </row>
    <row r="158" spans="1:6" hidden="1" x14ac:dyDescent="0.2">
      <c r="B158" s="38" t="str">
        <f>'Material Rates_Master'!A187</f>
        <v>Turf Underlay/Topsoil</v>
      </c>
      <c r="C158" s="40" t="str">
        <f>'Material Rates_Master'!B187</f>
        <v>m3</v>
      </c>
      <c r="E158" s="48">
        <f>'Material Rates_Master'!D187</f>
        <v>45.25</v>
      </c>
      <c r="F158" s="48">
        <f t="shared" si="8"/>
        <v>0</v>
      </c>
    </row>
    <row r="159" spans="1:6" hidden="1" x14ac:dyDescent="0.2">
      <c r="B159" s="38" t="str">
        <f>'Material Rates_Master'!A188</f>
        <v>Standard Garden Woodchip</v>
      </c>
      <c r="C159" s="40" t="str">
        <f>'Material Rates_Master'!B188</f>
        <v>m3</v>
      </c>
      <c r="E159" s="48">
        <f>'Material Rates_Master'!D188</f>
        <v>87</v>
      </c>
      <c r="F159" s="48">
        <f t="shared" si="8"/>
        <v>0</v>
      </c>
    </row>
    <row r="160" spans="1:6" hidden="1" x14ac:dyDescent="0.2">
      <c r="B160" s="38" t="str">
        <f>'Material Rates_Master'!A189</f>
        <v>Turf - Standard Couch or Similar</v>
      </c>
      <c r="C160" s="40" t="str">
        <f>'Material Rates_Master'!B189</f>
        <v>Slab (.5m2)</v>
      </c>
      <c r="E160" s="48">
        <f>'Material Rates_Master'!D189</f>
        <v>6.48</v>
      </c>
      <c r="F160" s="48">
        <f t="shared" si="8"/>
        <v>0</v>
      </c>
    </row>
    <row r="161" spans="1:10" ht="4.2" hidden="1" customHeight="1" x14ac:dyDescent="0.2">
      <c r="E161" s="48"/>
      <c r="F161" s="48"/>
    </row>
    <row r="162" spans="1:10" hidden="1" x14ac:dyDescent="0.2">
      <c r="B162" s="38" t="str">
        <f>'Material Rates_Master'!A193</f>
        <v>Cement Stabalized Sand (3-5%)</v>
      </c>
      <c r="C162" s="40" t="str">
        <f>'Material Rates_Master'!B193</f>
        <v>m3</v>
      </c>
      <c r="E162" s="48">
        <f>'Material Rates_Master'!D193</f>
        <v>169</v>
      </c>
      <c r="F162" s="48">
        <f t="shared" si="8"/>
        <v>0</v>
      </c>
    </row>
    <row r="163" spans="1:10" hidden="1" x14ac:dyDescent="0.2">
      <c r="B163" s="38" t="str">
        <f>'Material Rates_Master'!A194</f>
        <v>Exposed Agg Concrete - Standard/Cheapest Exposed Agg Stone</v>
      </c>
      <c r="C163" s="40" t="str">
        <f>'Material Rates_Master'!B194</f>
        <v>m3</v>
      </c>
      <c r="E163" s="48">
        <f>'Material Rates_Master'!D194</f>
        <v>252</v>
      </c>
      <c r="F163" s="48">
        <f t="shared" si="8"/>
        <v>0</v>
      </c>
    </row>
    <row r="164" spans="1:10" hidden="1" x14ac:dyDescent="0.2">
      <c r="B164" s="38" t="str">
        <f>'Material Rates_Master'!A195</f>
        <v>N25 20mm 80 Slump Concrete</v>
      </c>
      <c r="C164" s="40" t="str">
        <f>'Material Rates_Master'!B195</f>
        <v>m3</v>
      </c>
      <c r="E164" s="48">
        <f>'Material Rates_Master'!D195</f>
        <v>263</v>
      </c>
      <c r="F164" s="48">
        <f t="shared" si="8"/>
        <v>0</v>
      </c>
    </row>
    <row r="165" spans="1:10" hidden="1" x14ac:dyDescent="0.2">
      <c r="E165" s="48"/>
      <c r="F165" s="48"/>
    </row>
    <row r="166" spans="1:10" hidden="1" x14ac:dyDescent="0.2">
      <c r="B166" s="38" t="s">
        <v>254</v>
      </c>
      <c r="C166" s="40" t="s">
        <v>115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255</v>
      </c>
      <c r="E169" s="48"/>
      <c r="F169" s="48"/>
    </row>
    <row r="170" spans="1:10" x14ac:dyDescent="0.2">
      <c r="E170" s="48"/>
      <c r="F170" s="48"/>
    </row>
    <row r="171" spans="1:10" ht="13.2" x14ac:dyDescent="0.2">
      <c r="A171" s="40"/>
      <c r="B171" s="300" t="s">
        <v>256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257</v>
      </c>
      <c r="C172" s="40" t="str">
        <f>'Material Rates_Master'!B6</f>
        <v>m</v>
      </c>
      <c r="D172" s="240"/>
      <c r="E172" s="48">
        <f>'Material Rates_Master'!D6*$M$16</f>
        <v>35.143999999999998</v>
      </c>
      <c r="F172" s="48">
        <f t="shared" si="10"/>
        <v>0</v>
      </c>
      <c r="H172" s="20"/>
    </row>
    <row r="173" spans="1:10" x14ac:dyDescent="0.2">
      <c r="A173" s="40"/>
      <c r="B173" s="300" t="s">
        <v>258</v>
      </c>
      <c r="C173" s="40" t="str">
        <f>'Material Rates_Master'!B7</f>
        <v>m</v>
      </c>
      <c r="D173" s="37"/>
      <c r="E173" s="48">
        <f>'Material Rates_Master'!D7*$M$16</f>
        <v>16.993549999999999</v>
      </c>
      <c r="F173" s="48">
        <f t="shared" si="10"/>
        <v>0</v>
      </c>
      <c r="H173" s="20"/>
    </row>
    <row r="174" spans="1:10" x14ac:dyDescent="0.2">
      <c r="A174" s="40"/>
      <c r="B174" s="300" t="s">
        <v>260</v>
      </c>
      <c r="C174" s="40" t="str">
        <f>'Material Rates_Master'!B8</f>
        <v>m</v>
      </c>
      <c r="D174" s="37"/>
      <c r="E174" s="48">
        <f>'Material Rates_Master'!D8*$M$16</f>
        <v>1.6779419999999998</v>
      </c>
      <c r="F174" s="48">
        <f t="shared" si="10"/>
        <v>0</v>
      </c>
      <c r="H174" s="20"/>
    </row>
    <row r="175" spans="1:10" ht="4.2" customHeight="1" x14ac:dyDescent="0.2">
      <c r="A175" s="40"/>
      <c r="B175" s="300"/>
      <c r="E175" s="48">
        <f>'Material Rates_Master'!D9*$M$16</f>
        <v>0</v>
      </c>
      <c r="F175" s="48"/>
      <c r="H175" s="20"/>
    </row>
    <row r="176" spans="1:10" x14ac:dyDescent="0.2">
      <c r="A176" s="40"/>
      <c r="B176" s="300" t="s">
        <v>261</v>
      </c>
      <c r="C176" s="40" t="str">
        <f>'Material Rates_Master'!B10</f>
        <v>ea</v>
      </c>
      <c r="D176" s="240"/>
      <c r="E176" s="48">
        <f>'Material Rates_Master'!D10*$M$16</f>
        <v>60.802799999999998</v>
      </c>
      <c r="F176" s="48">
        <f t="shared" si="10"/>
        <v>0</v>
      </c>
      <c r="H176" s="20"/>
    </row>
    <row r="177" spans="1:8" x14ac:dyDescent="0.2">
      <c r="A177" s="40"/>
      <c r="B177" s="300" t="s">
        <v>262</v>
      </c>
      <c r="C177" s="40" t="str">
        <f>'Material Rates_Master'!B11</f>
        <v>ea</v>
      </c>
      <c r="D177" s="37"/>
      <c r="E177" s="48">
        <f>'Material Rates_Master'!D11*$M$16</f>
        <v>35.493599999999994</v>
      </c>
      <c r="F177" s="48">
        <f t="shared" si="10"/>
        <v>0</v>
      </c>
      <c r="H177" s="20"/>
    </row>
    <row r="178" spans="1:8" x14ac:dyDescent="0.2">
      <c r="A178" s="40"/>
      <c r="B178" s="300" t="s">
        <v>263</v>
      </c>
      <c r="C178" s="40" t="str">
        <f>'Material Rates_Master'!B12</f>
        <v>ea</v>
      </c>
      <c r="D178" s="240">
        <v>1</v>
      </c>
      <c r="E178" s="48">
        <f>'Material Rates_Master'!D12*$M$16</f>
        <v>19.471799999999998</v>
      </c>
      <c r="F178" s="48">
        <f t="shared" si="10"/>
        <v>19.471799999999998</v>
      </c>
      <c r="H178" s="20"/>
    </row>
    <row r="179" spans="1:8" x14ac:dyDescent="0.2">
      <c r="A179" s="40"/>
      <c r="B179" s="300" t="s">
        <v>264</v>
      </c>
      <c r="C179" s="40" t="str">
        <f>'Material Rates_Master'!B13</f>
        <v>ea</v>
      </c>
      <c r="D179" s="240"/>
      <c r="E179" s="48">
        <f>'Material Rates_Master'!D13*$M$16</f>
        <v>150.64079999999998</v>
      </c>
      <c r="F179" s="48">
        <f t="shared" si="10"/>
        <v>0</v>
      </c>
      <c r="H179" s="20"/>
    </row>
    <row r="180" spans="1:8" x14ac:dyDescent="0.2">
      <c r="A180" s="40"/>
      <c r="B180" s="300" t="s">
        <v>265</v>
      </c>
      <c r="C180" s="40" t="str">
        <f>'Material Rates_Master'!B14</f>
        <v>ea</v>
      </c>
      <c r="D180" s="240"/>
      <c r="E180" s="48">
        <f>'Material Rates_Master'!D14*$M$16</f>
        <v>135.1986</v>
      </c>
      <c r="F180" s="48">
        <f t="shared" si="10"/>
        <v>0</v>
      </c>
      <c r="H180" s="20"/>
    </row>
    <row r="181" spans="1:8" x14ac:dyDescent="0.2">
      <c r="A181" s="40"/>
      <c r="B181" s="300" t="s">
        <v>266</v>
      </c>
      <c r="C181" s="40" t="str">
        <f>'Material Rates_Master'!B15</f>
        <v>ea</v>
      </c>
      <c r="D181" s="240"/>
      <c r="E181" s="48">
        <f>'Material Rates_Master'!D15*$M$16</f>
        <v>61.672199999999989</v>
      </c>
      <c r="F181" s="48">
        <f t="shared" si="10"/>
        <v>0</v>
      </c>
      <c r="H181" s="20"/>
    </row>
    <row r="182" spans="1:8" x14ac:dyDescent="0.2">
      <c r="A182" s="40"/>
      <c r="B182" s="300" t="s">
        <v>267</v>
      </c>
      <c r="C182" s="40" t="str">
        <f>'Material Rates_Master'!B16</f>
        <v>ea</v>
      </c>
      <c r="D182" s="240"/>
      <c r="E182" s="48">
        <f>'Material Rates_Master'!D16*$M$16</f>
        <v>150.64079999999998</v>
      </c>
      <c r="F182" s="48">
        <f t="shared" si="10"/>
        <v>0</v>
      </c>
      <c r="H182" s="20"/>
    </row>
    <row r="183" spans="1:8" x14ac:dyDescent="0.2">
      <c r="A183" s="40"/>
      <c r="B183" s="300" t="s">
        <v>268</v>
      </c>
      <c r="C183" s="40" t="str">
        <f>'Material Rates_Master'!B17</f>
        <v>ea</v>
      </c>
      <c r="D183" s="240"/>
      <c r="E183" s="48">
        <f>'Material Rates_Master'!D17*$M$16</f>
        <v>134.9778</v>
      </c>
      <c r="F183" s="48">
        <f t="shared" si="10"/>
        <v>0</v>
      </c>
      <c r="H183" s="20"/>
    </row>
    <row r="184" spans="1:8" x14ac:dyDescent="0.2">
      <c r="A184" s="40"/>
      <c r="B184" s="300" t="s">
        <v>269</v>
      </c>
      <c r="C184" s="40" t="str">
        <f>'Material Rates_Master'!B18</f>
        <v>ea</v>
      </c>
      <c r="D184" s="240"/>
      <c r="E184" s="48">
        <f>'Material Rates_Master'!D18*$M$16</f>
        <v>61.61699999999999</v>
      </c>
      <c r="F184" s="48">
        <f t="shared" si="10"/>
        <v>0</v>
      </c>
      <c r="H184" s="20"/>
    </row>
    <row r="185" spans="1:8" x14ac:dyDescent="0.2">
      <c r="A185" s="40"/>
      <c r="B185" s="300" t="s">
        <v>270</v>
      </c>
      <c r="C185" s="40" t="str">
        <f>'Material Rates_Master'!B19</f>
        <v>ea</v>
      </c>
      <c r="D185" s="240"/>
      <c r="E185" s="48">
        <f>'Material Rates_Master'!D19*$M$16</f>
        <v>151.45499999999998</v>
      </c>
      <c r="F185" s="48">
        <f t="shared" si="10"/>
        <v>0</v>
      </c>
      <c r="H185" s="20"/>
    </row>
    <row r="186" spans="1:8" x14ac:dyDescent="0.2">
      <c r="A186" s="40"/>
      <c r="B186" s="300" t="s">
        <v>271</v>
      </c>
      <c r="C186" s="40" t="str">
        <f>'Material Rates_Master'!B20</f>
        <v>ea</v>
      </c>
      <c r="D186" s="240"/>
      <c r="E186" s="48">
        <f>'Material Rates_Master'!D20*$M$16</f>
        <v>157.7064</v>
      </c>
      <c r="F186" s="48">
        <f t="shared" si="10"/>
        <v>0</v>
      </c>
      <c r="H186" s="20"/>
    </row>
    <row r="187" spans="1:8" x14ac:dyDescent="0.2">
      <c r="A187" s="40"/>
      <c r="B187" s="300" t="s">
        <v>272</v>
      </c>
      <c r="C187" s="40" t="str">
        <f>'Material Rates_Master'!B21</f>
        <v>ea</v>
      </c>
      <c r="D187" s="240"/>
      <c r="E187" s="48">
        <f>'Material Rates_Master'!D21*$M$16</f>
        <v>67.964999999999989</v>
      </c>
      <c r="F187" s="48">
        <f t="shared" si="10"/>
        <v>0</v>
      </c>
      <c r="H187" s="20"/>
    </row>
    <row r="188" spans="1:8" x14ac:dyDescent="0.2">
      <c r="A188" s="40"/>
      <c r="B188" s="300" t="s">
        <v>273</v>
      </c>
      <c r="C188" s="40" t="str">
        <f>'Material Rates_Master'!B22</f>
        <v>ea</v>
      </c>
      <c r="D188" s="240"/>
      <c r="E188" s="48">
        <f>'Material Rates_Master'!D22*$M$16</f>
        <v>289.0686</v>
      </c>
      <c r="F188" s="48">
        <f t="shared" si="10"/>
        <v>0</v>
      </c>
      <c r="H188" s="20"/>
    </row>
    <row r="189" spans="1:8" x14ac:dyDescent="0.2">
      <c r="A189" s="40"/>
      <c r="B189" s="300" t="s">
        <v>274</v>
      </c>
      <c r="C189" s="40" t="str">
        <f>'Material Rates_Master'!B23</f>
        <v>ea</v>
      </c>
      <c r="D189" s="240">
        <v>1</v>
      </c>
      <c r="E189" s="48">
        <f>'Material Rates_Master'!D23*$M$16</f>
        <v>301.4196</v>
      </c>
      <c r="F189" s="48">
        <f t="shared" si="10"/>
        <v>301.4196</v>
      </c>
      <c r="H189" s="20"/>
    </row>
    <row r="190" spans="1:8" x14ac:dyDescent="0.2">
      <c r="A190" s="40"/>
      <c r="B190" s="300" t="s">
        <v>275</v>
      </c>
      <c r="C190" s="40" t="str">
        <f>'Material Rates_Master'!B24</f>
        <v>ea</v>
      </c>
      <c r="D190" s="240"/>
      <c r="E190" s="48">
        <f>'Material Rates_Master'!D24*$M$16</f>
        <v>168.53939999999997</v>
      </c>
      <c r="F190" s="48">
        <f t="shared" si="10"/>
        <v>0</v>
      </c>
      <c r="H190" s="20"/>
    </row>
    <row r="191" spans="1:8" x14ac:dyDescent="0.2">
      <c r="A191" s="40"/>
      <c r="B191" s="300" t="s">
        <v>276</v>
      </c>
      <c r="C191" s="40" t="str">
        <f>'Material Rates_Master'!B25</f>
        <v>ea</v>
      </c>
      <c r="D191" s="240"/>
      <c r="E191" s="48">
        <f>'Material Rates_Master'!D25*$M$16</f>
        <v>173.35559999999998</v>
      </c>
      <c r="F191" s="48">
        <f t="shared" si="10"/>
        <v>0</v>
      </c>
      <c r="H191" s="20"/>
    </row>
    <row r="192" spans="1:8" x14ac:dyDescent="0.2">
      <c r="A192" s="40"/>
      <c r="B192" s="300" t="s">
        <v>277</v>
      </c>
      <c r="C192" s="40" t="str">
        <f>'Material Rates_Master'!B26</f>
        <v>ea</v>
      </c>
      <c r="D192" s="240">
        <v>1</v>
      </c>
      <c r="E192" s="48">
        <f>'Material Rates_Master'!D26*$M$16</f>
        <v>82.938000000000002</v>
      </c>
      <c r="F192" s="48">
        <f t="shared" si="10"/>
        <v>82.938000000000002</v>
      </c>
      <c r="H192" s="20"/>
    </row>
    <row r="193" spans="1:8" x14ac:dyDescent="0.2">
      <c r="A193" s="40"/>
      <c r="B193" s="300" t="s">
        <v>279</v>
      </c>
      <c r="C193" s="40" t="str">
        <f>'Material Rates_Master'!B27</f>
        <v>ea</v>
      </c>
      <c r="D193" s="240"/>
      <c r="E193" s="48">
        <f>'Material Rates_Master'!D27*$M$16</f>
        <v>472.44299999999998</v>
      </c>
      <c r="F193" s="48">
        <f t="shared" si="10"/>
        <v>0</v>
      </c>
      <c r="H193" s="20"/>
    </row>
    <row r="194" spans="1:8" x14ac:dyDescent="0.2">
      <c r="A194" s="40"/>
      <c r="B194" s="300" t="s">
        <v>280</v>
      </c>
      <c r="C194" s="40" t="str">
        <f>'Material Rates_Master'!B28</f>
        <v>ea</v>
      </c>
      <c r="D194" s="240"/>
      <c r="E194" s="48">
        <f>'Material Rates_Master'!D28*$M$16</f>
        <v>179.08260000000001</v>
      </c>
      <c r="F194" s="48">
        <f t="shared" si="10"/>
        <v>0</v>
      </c>
      <c r="H194" s="20"/>
    </row>
    <row r="195" spans="1:8" x14ac:dyDescent="0.2">
      <c r="A195" s="40"/>
      <c r="B195" s="300" t="s">
        <v>281</v>
      </c>
      <c r="C195" s="40" t="str">
        <f>'Material Rates_Master'!B29</f>
        <v>ea</v>
      </c>
      <c r="D195" s="240"/>
      <c r="E195" s="48">
        <f>'Material Rates_Master'!D29*$M$16</f>
        <v>127.88459999999999</v>
      </c>
      <c r="F195" s="48">
        <f t="shared" si="10"/>
        <v>0</v>
      </c>
      <c r="H195" s="20"/>
    </row>
    <row r="196" spans="1:8" x14ac:dyDescent="0.2">
      <c r="A196" s="40"/>
      <c r="B196" s="300" t="s">
        <v>282</v>
      </c>
      <c r="C196" s="40" t="str">
        <f>'Material Rates_Master'!B30</f>
        <v>ea</v>
      </c>
      <c r="D196" s="240"/>
      <c r="E196" s="48">
        <f>'Material Rates_Master'!D30*$M$16</f>
        <v>432.20219999999995</v>
      </c>
      <c r="F196" s="48">
        <f t="shared" si="10"/>
        <v>0</v>
      </c>
      <c r="H196" s="20"/>
    </row>
    <row r="197" spans="1:8" x14ac:dyDescent="0.2">
      <c r="A197" s="40"/>
      <c r="B197" s="300" t="s">
        <v>283</v>
      </c>
      <c r="C197" s="40" t="str">
        <f>'Material Rates_Master'!B31</f>
        <v>ea</v>
      </c>
      <c r="D197" s="240">
        <v>1</v>
      </c>
      <c r="E197" s="48">
        <f>'Material Rates_Master'!D31*$M$16</f>
        <v>281.67180000000002</v>
      </c>
      <c r="F197" s="48">
        <f t="shared" si="10"/>
        <v>281.67180000000002</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284</v>
      </c>
      <c r="C199" s="40" t="str">
        <f>'Material Rates_Master'!B33</f>
        <v>ea</v>
      </c>
      <c r="E199" s="48">
        <f>'Material Rates_Master'!D33*$M$16</f>
        <v>435.67979999999994</v>
      </c>
      <c r="F199" s="48">
        <f t="shared" si="10"/>
        <v>0</v>
      </c>
      <c r="H199" s="20"/>
    </row>
    <row r="200" spans="1:8" x14ac:dyDescent="0.2">
      <c r="A200" s="40"/>
      <c r="B200" s="1" t="s">
        <v>285</v>
      </c>
      <c r="C200" s="40" t="str">
        <f>'Material Rates_Master'!B34</f>
        <v>ea</v>
      </c>
      <c r="E200" s="48">
        <f>'Material Rates_Master'!D34*$M$16</f>
        <v>277.97339999999997</v>
      </c>
      <c r="F200" s="48">
        <f t="shared" si="10"/>
        <v>0</v>
      </c>
      <c r="H200" s="20"/>
    </row>
    <row r="201" spans="1:8" x14ac:dyDescent="0.2">
      <c r="A201" s="40"/>
      <c r="B201" s="300" t="s">
        <v>286</v>
      </c>
      <c r="C201" s="40" t="str">
        <f>'Material Rates_Master'!B35</f>
        <v>ea</v>
      </c>
      <c r="D201" s="240"/>
      <c r="E201" s="48">
        <f>'Material Rates_Master'!D35*$M$16</f>
        <v>94.5852</v>
      </c>
      <c r="F201" s="48">
        <f t="shared" si="10"/>
        <v>0</v>
      </c>
      <c r="H201" s="20"/>
    </row>
    <row r="202" spans="1:8" x14ac:dyDescent="0.2">
      <c r="A202" s="40"/>
      <c r="B202" s="300" t="s">
        <v>287</v>
      </c>
      <c r="C202" s="40" t="str">
        <f>'Material Rates_Master'!B36</f>
        <v>ea</v>
      </c>
      <c r="D202" s="240"/>
      <c r="E202" s="48">
        <f>'Material Rates_Master'!D36*$M$16</f>
        <v>88.954799999999977</v>
      </c>
      <c r="F202" s="48">
        <f t="shared" si="10"/>
        <v>0</v>
      </c>
      <c r="H202" s="20"/>
    </row>
    <row r="203" spans="1:8" x14ac:dyDescent="0.2">
      <c r="A203" s="40"/>
      <c r="B203" s="300" t="s">
        <v>288</v>
      </c>
      <c r="C203" s="40" t="str">
        <f>'Material Rates_Master'!B37</f>
        <v>ea</v>
      </c>
      <c r="D203" s="240"/>
      <c r="E203" s="48">
        <f>'Material Rates_Master'!D37*$M$16</f>
        <v>53.488799999999991</v>
      </c>
      <c r="F203" s="48">
        <f t="shared" si="10"/>
        <v>0</v>
      </c>
      <c r="H203" s="20"/>
    </row>
    <row r="204" spans="1:8" x14ac:dyDescent="0.2">
      <c r="A204" s="40"/>
      <c r="B204" s="300" t="s">
        <v>289</v>
      </c>
      <c r="C204" s="40" t="str">
        <f>'Material Rates_Master'!B38</f>
        <v>ea</v>
      </c>
      <c r="D204" s="240"/>
      <c r="E204" s="48">
        <f>'Material Rates_Master'!D38*$M$16</f>
        <v>118.91459999999999</v>
      </c>
      <c r="F204" s="48">
        <f t="shared" si="10"/>
        <v>0</v>
      </c>
      <c r="H204" s="20"/>
    </row>
    <row r="205" spans="1:8" x14ac:dyDescent="0.2">
      <c r="A205" s="40"/>
      <c r="B205" s="300" t="s">
        <v>290</v>
      </c>
      <c r="C205" s="40" t="str">
        <f>'Material Rates_Master'!B39</f>
        <v>ea</v>
      </c>
      <c r="D205" s="240"/>
      <c r="E205" s="48">
        <f>'Material Rates_Master'!D39*$M$16</f>
        <v>93.991799999999998</v>
      </c>
      <c r="F205" s="48">
        <f t="shared" si="10"/>
        <v>0</v>
      </c>
      <c r="H205" s="20"/>
    </row>
    <row r="206" spans="1:8" x14ac:dyDescent="0.2">
      <c r="A206" s="40"/>
      <c r="B206" s="300" t="s">
        <v>291</v>
      </c>
      <c r="C206" s="40" t="str">
        <f>'Material Rates_Master'!B40</f>
        <v>ea</v>
      </c>
      <c r="D206" s="240"/>
      <c r="E206" s="48">
        <f>'Material Rates_Master'!D40*$M$16</f>
        <v>43.676999999999992</v>
      </c>
      <c r="F206" s="48">
        <f t="shared" si="10"/>
        <v>0</v>
      </c>
      <c r="H206" s="20"/>
    </row>
    <row r="207" spans="1:8" x14ac:dyDescent="0.2">
      <c r="A207" s="40"/>
      <c r="B207" s="300" t="s">
        <v>292</v>
      </c>
      <c r="C207" s="40" t="str">
        <f>'Material Rates_Master'!B41</f>
        <v>ea</v>
      </c>
      <c r="D207" s="240"/>
      <c r="E207" s="48">
        <f>'Material Rates_Master'!D41*$M$16</f>
        <v>176.14319999999998</v>
      </c>
      <c r="F207" s="48">
        <f t="shared" si="10"/>
        <v>0</v>
      </c>
      <c r="H207" s="20"/>
    </row>
    <row r="208" spans="1:8" x14ac:dyDescent="0.2">
      <c r="A208" s="40"/>
      <c r="B208" s="300" t="s">
        <v>293</v>
      </c>
      <c r="C208" s="40" t="str">
        <f>'Material Rates_Master'!B42</f>
        <v>ea</v>
      </c>
      <c r="D208" s="240"/>
      <c r="E208" s="48">
        <f>'Material Rates_Master'!D42*$M$16</f>
        <v>157.62359999999998</v>
      </c>
      <c r="F208" s="48">
        <f t="shared" si="10"/>
        <v>0</v>
      </c>
      <c r="H208" s="20"/>
    </row>
    <row r="209" spans="1:8" x14ac:dyDescent="0.2">
      <c r="A209" s="40"/>
      <c r="B209" s="300" t="s">
        <v>294</v>
      </c>
      <c r="C209" s="40" t="str">
        <f>'Material Rates_Master'!B43</f>
        <v>ea</v>
      </c>
      <c r="D209" s="240"/>
      <c r="E209" s="48">
        <f>'Material Rates_Master'!D43*$M$16</f>
        <v>52.798799999999993</v>
      </c>
      <c r="F209" s="48">
        <f t="shared" si="10"/>
        <v>0</v>
      </c>
      <c r="H209" s="20"/>
    </row>
    <row r="210" spans="1:8" x14ac:dyDescent="0.2">
      <c r="A210" s="40"/>
      <c r="B210" s="300" t="s">
        <v>295</v>
      </c>
      <c r="C210" s="40" t="str">
        <f>'Material Rates_Master'!B44</f>
        <v>ea</v>
      </c>
      <c r="D210" s="240"/>
      <c r="E210" s="48">
        <f>'Material Rates_Master'!D44*$M$16</f>
        <v>253.20239999999995</v>
      </c>
      <c r="F210" s="48">
        <f t="shared" si="10"/>
        <v>0</v>
      </c>
      <c r="H210" s="20"/>
    </row>
    <row r="211" spans="1:8" x14ac:dyDescent="0.2">
      <c r="A211" s="40"/>
      <c r="B211" s="300" t="s">
        <v>296</v>
      </c>
      <c r="C211" s="40" t="str">
        <f>'Material Rates_Master'!B45</f>
        <v>ea</v>
      </c>
      <c r="D211" s="240"/>
      <c r="E211" s="48">
        <f>'Material Rates_Master'!D45*$M$16</f>
        <v>265.55340000000001</v>
      </c>
      <c r="F211" s="48">
        <f t="shared" si="10"/>
        <v>0</v>
      </c>
      <c r="H211" s="20"/>
    </row>
    <row r="212" spans="1:8" x14ac:dyDescent="0.2">
      <c r="A212" s="40"/>
      <c r="B212" s="300" t="s">
        <v>297</v>
      </c>
      <c r="C212" s="40" t="str">
        <f>'Material Rates_Master'!B46</f>
        <v>ea</v>
      </c>
      <c r="D212" s="240"/>
      <c r="E212" s="48">
        <f>'Material Rates_Master'!D46*$M$16</f>
        <v>256.27979999999997</v>
      </c>
      <c r="F212" s="48">
        <f t="shared" si="10"/>
        <v>0</v>
      </c>
      <c r="H212" s="20"/>
    </row>
    <row r="213" spans="1:8" x14ac:dyDescent="0.2">
      <c r="A213" s="40"/>
      <c r="B213" s="300" t="s">
        <v>298</v>
      </c>
      <c r="C213" s="40" t="str">
        <f>'Material Rates_Master'!B47</f>
        <v>ea</v>
      </c>
      <c r="D213" s="240"/>
      <c r="E213" s="48">
        <f>'Material Rates_Master'!D47*$M$16</f>
        <v>77.059200000000004</v>
      </c>
      <c r="F213" s="48">
        <f t="shared" si="10"/>
        <v>0</v>
      </c>
      <c r="H213" s="20"/>
    </row>
    <row r="214" spans="1:8" x14ac:dyDescent="0.2">
      <c r="A214" s="40"/>
      <c r="B214" s="300" t="s">
        <v>299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302</v>
      </c>
      <c r="C216" s="40" t="str">
        <f>'Material Rates_Master'!B50</f>
        <v>ea</v>
      </c>
      <c r="D216" s="240"/>
      <c r="E216" s="48">
        <f>'Material Rates_Master'!D50</f>
        <v>679.41</v>
      </c>
      <c r="F216" s="48">
        <f t="shared" si="10"/>
        <v>0</v>
      </c>
    </row>
    <row r="217" spans="1:8" x14ac:dyDescent="0.2">
      <c r="A217" s="40"/>
      <c r="B217" s="300" t="s">
        <v>303</v>
      </c>
      <c r="C217" s="40" t="str">
        <f>'Material Rates_Master'!B51</f>
        <v>ea</v>
      </c>
      <c r="D217" s="240"/>
      <c r="E217" s="48">
        <f>'Material Rates_Master'!D51</f>
        <v>323.52999999999997</v>
      </c>
      <c r="F217" s="48">
        <f t="shared" si="10"/>
        <v>0</v>
      </c>
    </row>
    <row r="218" spans="1:8" x14ac:dyDescent="0.2">
      <c r="A218" s="40"/>
      <c r="B218" s="300" t="s">
        <v>304</v>
      </c>
      <c r="C218" s="40" t="str">
        <f>'Material Rates_Master'!B52</f>
        <v>ea</v>
      </c>
      <c r="D218" s="240"/>
      <c r="E218" s="48">
        <f>'Material Rates_Master'!D52</f>
        <v>202.94</v>
      </c>
      <c r="F218" s="48">
        <f t="shared" si="10"/>
        <v>0</v>
      </c>
    </row>
    <row r="219" spans="1:8" x14ac:dyDescent="0.2">
      <c r="A219" s="40"/>
      <c r="B219" s="300" t="s">
        <v>305</v>
      </c>
      <c r="C219" s="40" t="str">
        <f>'Material Rates_Master'!B53</f>
        <v>ea</v>
      </c>
      <c r="D219" s="240"/>
      <c r="E219" s="48">
        <f>'Material Rates_Master'!D53</f>
        <v>136.94</v>
      </c>
      <c r="F219" s="48">
        <f t="shared" si="10"/>
        <v>0</v>
      </c>
    </row>
    <row r="220" spans="1:8" x14ac:dyDescent="0.2">
      <c r="A220" s="40"/>
      <c r="B220" s="300" t="s">
        <v>306</v>
      </c>
      <c r="C220" s="40" t="str">
        <f>'Material Rates_Master'!B54</f>
        <v>ea</v>
      </c>
      <c r="D220" s="240"/>
      <c r="E220" s="48">
        <f>'Material Rates_Master'!D54</f>
        <v>123.53</v>
      </c>
      <c r="F220" s="48">
        <f t="shared" si="10"/>
        <v>0</v>
      </c>
    </row>
    <row r="221" spans="1:8" x14ac:dyDescent="0.2">
      <c r="A221" s="40"/>
      <c r="B221" s="300" t="s">
        <v>307</v>
      </c>
      <c r="C221" s="40" t="str">
        <f>'Material Rates_Master'!B55</f>
        <v>ea</v>
      </c>
      <c r="D221" s="240"/>
      <c r="E221" s="48">
        <f>'Material Rates_Master'!D55</f>
        <v>98.82</v>
      </c>
      <c r="F221" s="48">
        <f t="shared" si="10"/>
        <v>0</v>
      </c>
    </row>
    <row r="222" spans="1:8" ht="4.95" customHeight="1" x14ac:dyDescent="0.2">
      <c r="A222" s="40"/>
      <c r="B222" s="300"/>
      <c r="C222" s="40">
        <f>'Material Rates_Master'!B56</f>
        <v>0</v>
      </c>
      <c r="E222" s="48">
        <f>'Material Rates_Master'!D56</f>
        <v>0</v>
      </c>
      <c r="F222" s="48">
        <f t="shared" si="10"/>
        <v>0</v>
      </c>
    </row>
    <row r="223" spans="1:8" x14ac:dyDescent="0.2">
      <c r="A223" s="40"/>
      <c r="B223" s="300" t="s">
        <v>308</v>
      </c>
      <c r="C223" s="40" t="str">
        <f>'Material Rates_Master'!B57</f>
        <v>ea</v>
      </c>
      <c r="D223" s="240"/>
      <c r="E223" s="48">
        <f>'Material Rates_Master'!D57</f>
        <v>291.18</v>
      </c>
      <c r="F223" s="48">
        <f t="shared" si="10"/>
        <v>0</v>
      </c>
    </row>
    <row r="224" spans="1:8" x14ac:dyDescent="0.2">
      <c r="A224" s="40"/>
      <c r="B224" s="300" t="s">
        <v>309</v>
      </c>
      <c r="C224" s="40" t="str">
        <f>'Material Rates_Master'!B58</f>
        <v>ea</v>
      </c>
      <c r="D224" s="240"/>
      <c r="E224" s="48">
        <f>'Material Rates_Master'!D58</f>
        <v>330</v>
      </c>
      <c r="F224" s="48">
        <f t="shared" si="10"/>
        <v>0</v>
      </c>
    </row>
    <row r="225" spans="1:6" x14ac:dyDescent="0.2">
      <c r="A225" s="40"/>
      <c r="B225" s="300" t="s">
        <v>310</v>
      </c>
      <c r="C225" s="40" t="str">
        <f>'Material Rates_Master'!B59</f>
        <v>ea</v>
      </c>
      <c r="D225" s="240"/>
      <c r="E225" s="48">
        <f>'Material Rates_Master'!D59</f>
        <v>156</v>
      </c>
      <c r="F225" s="48">
        <f t="shared" si="10"/>
        <v>0</v>
      </c>
    </row>
    <row r="226" spans="1:6" x14ac:dyDescent="0.2">
      <c r="A226" s="40"/>
      <c r="B226" s="300" t="s">
        <v>311</v>
      </c>
      <c r="C226" s="40" t="str">
        <f>'Material Rates_Master'!B60</f>
        <v>ea</v>
      </c>
      <c r="D226" s="240"/>
      <c r="E226" s="48">
        <f>'Material Rates_Master'!D60</f>
        <v>106.24</v>
      </c>
      <c r="F226" s="48">
        <f t="shared" si="10"/>
        <v>0</v>
      </c>
    </row>
    <row r="227" spans="1:6" x14ac:dyDescent="0.2">
      <c r="A227" s="40"/>
      <c r="B227" s="300" t="s">
        <v>312</v>
      </c>
      <c r="C227" s="40" t="str">
        <f>'Material Rates_Master'!B61</f>
        <v>ea</v>
      </c>
      <c r="D227" s="240"/>
      <c r="E227" s="48">
        <f>'Material Rates_Master'!D61</f>
        <v>70.59</v>
      </c>
      <c r="F227" s="48">
        <f t="shared" si="10"/>
        <v>0</v>
      </c>
    </row>
    <row r="228" spans="1:6" x14ac:dyDescent="0.2">
      <c r="A228" s="40"/>
      <c r="B228" s="300" t="s">
        <v>313</v>
      </c>
      <c r="C228" s="40" t="str">
        <f>'Material Rates_Master'!B62</f>
        <v>ea</v>
      </c>
      <c r="D228" s="240"/>
      <c r="E228" s="48">
        <f>'Material Rates_Master'!D62</f>
        <v>516.35</v>
      </c>
      <c r="F228" s="48">
        <f t="shared" si="10"/>
        <v>0</v>
      </c>
    </row>
    <row r="229" spans="1:6" x14ac:dyDescent="0.2">
      <c r="A229" s="40"/>
      <c r="B229" s="300" t="s">
        <v>314</v>
      </c>
      <c r="C229" s="40" t="str">
        <f>'Material Rates_Master'!B63</f>
        <v>ea</v>
      </c>
      <c r="D229" s="240"/>
      <c r="E229" s="48">
        <f>'Material Rates_Master'!D63</f>
        <v>198.88</v>
      </c>
      <c r="F229" s="48">
        <f t="shared" si="10"/>
        <v>0</v>
      </c>
    </row>
    <row r="230" spans="1:6" x14ac:dyDescent="0.2">
      <c r="A230" s="40"/>
      <c r="B230" s="300" t="s">
        <v>315</v>
      </c>
      <c r="C230" s="40" t="str">
        <f>'Material Rates_Master'!B64</f>
        <v>ea</v>
      </c>
      <c r="D230" s="240"/>
      <c r="E230" s="48">
        <f>'Material Rates_Master'!D64</f>
        <v>108.71</v>
      </c>
      <c r="F230" s="48">
        <f t="shared" si="10"/>
        <v>0</v>
      </c>
    </row>
    <row r="231" spans="1:6" x14ac:dyDescent="0.2">
      <c r="A231" s="40"/>
      <c r="B231" s="300" t="s">
        <v>316</v>
      </c>
      <c r="C231" s="40" t="str">
        <f>'Material Rates_Master'!B65</f>
        <v>ea</v>
      </c>
      <c r="D231" s="240"/>
      <c r="E231" s="48">
        <f>'Material Rates_Master'!D65</f>
        <v>672.65</v>
      </c>
      <c r="F231" s="48">
        <f t="shared" si="10"/>
        <v>0</v>
      </c>
    </row>
    <row r="232" spans="1:6" x14ac:dyDescent="0.2">
      <c r="A232" s="40"/>
      <c r="B232" s="300" t="s">
        <v>317</v>
      </c>
      <c r="C232" s="40" t="str">
        <f>'Material Rates_Master'!B66</f>
        <v>ea</v>
      </c>
      <c r="D232" s="240"/>
      <c r="E232" s="48">
        <f>'Material Rates_Master'!D66</f>
        <v>228.24</v>
      </c>
      <c r="F232" s="48">
        <f t="shared" si="10"/>
        <v>0</v>
      </c>
    </row>
    <row r="233" spans="1:6" x14ac:dyDescent="0.2">
      <c r="A233" s="40"/>
      <c r="B233" s="300" t="s">
        <v>318</v>
      </c>
      <c r="C233" s="40" t="str">
        <f>'Material Rates_Master'!B67</f>
        <v>ea</v>
      </c>
      <c r="D233" s="240"/>
      <c r="E233" s="48">
        <f>'Material Rates_Master'!D67</f>
        <v>128.24</v>
      </c>
      <c r="F233" s="48">
        <f t="shared" si="10"/>
        <v>0</v>
      </c>
    </row>
    <row r="234" spans="1:6" x14ac:dyDescent="0.2">
      <c r="A234" s="40"/>
      <c r="B234" s="300" t="s">
        <v>319</v>
      </c>
      <c r="C234" s="40" t="str">
        <f>'Material Rates_Master'!B68</f>
        <v>ea</v>
      </c>
      <c r="D234" s="240"/>
      <c r="E234" s="48">
        <f>'Material Rates_Master'!D68</f>
        <v>536.76</v>
      </c>
      <c r="F234" s="48">
        <f t="shared" si="10"/>
        <v>0</v>
      </c>
    </row>
    <row r="235" spans="1:6" x14ac:dyDescent="0.2">
      <c r="A235" s="40"/>
      <c r="B235" s="300" t="s">
        <v>320</v>
      </c>
      <c r="C235" s="40" t="str">
        <f>'Material Rates_Master'!B69</f>
        <v>ea</v>
      </c>
      <c r="D235" s="240"/>
      <c r="E235" s="48">
        <f>'Material Rates_Master'!D69</f>
        <v>576.47</v>
      </c>
      <c r="F235" s="48">
        <f t="shared" ref="F235:F298" si="11">E235*D235</f>
        <v>0</v>
      </c>
    </row>
    <row r="236" spans="1:6" x14ac:dyDescent="0.2">
      <c r="A236" s="40"/>
      <c r="B236" s="300" t="s">
        <v>321</v>
      </c>
      <c r="C236" s="40" t="str">
        <f>'Material Rates_Master'!B70</f>
        <v>ea</v>
      </c>
      <c r="D236" s="240"/>
      <c r="E236" s="48">
        <f>'Material Rates_Master'!D70</f>
        <v>198.82</v>
      </c>
      <c r="F236" s="48">
        <f t="shared" si="11"/>
        <v>0</v>
      </c>
    </row>
    <row r="237" spans="1:6" x14ac:dyDescent="0.2">
      <c r="A237" s="40"/>
      <c r="B237" s="300" t="s">
        <v>322</v>
      </c>
      <c r="C237" s="40" t="str">
        <f>'Material Rates_Master'!B71</f>
        <v>ea</v>
      </c>
      <c r="D237" s="240"/>
      <c r="E237" s="48">
        <f>'Material Rates_Master'!D71</f>
        <v>898.82</v>
      </c>
      <c r="F237" s="48">
        <f t="shared" si="11"/>
        <v>0</v>
      </c>
    </row>
    <row r="238" spans="1:6" x14ac:dyDescent="0.2">
      <c r="A238" s="40"/>
      <c r="B238" s="300" t="s">
        <v>323</v>
      </c>
      <c r="C238" s="40" t="str">
        <f>'Material Rates_Master'!B72</f>
        <v>ea</v>
      </c>
      <c r="D238" s="240"/>
      <c r="E238" s="48">
        <f>'Material Rates_Master'!D72</f>
        <v>640</v>
      </c>
      <c r="F238" s="48">
        <f t="shared" si="11"/>
        <v>0</v>
      </c>
    </row>
    <row r="239" spans="1:6" x14ac:dyDescent="0.2">
      <c r="A239" s="40"/>
      <c r="B239" s="300" t="s">
        <v>324</v>
      </c>
      <c r="C239" s="40" t="str">
        <f>'Material Rates_Master'!B73</f>
        <v>ea</v>
      </c>
      <c r="D239" s="240"/>
      <c r="E239" s="48">
        <f>'Material Rates_Master'!D73</f>
        <v>355.29</v>
      </c>
      <c r="F239" s="48">
        <f t="shared" si="11"/>
        <v>0</v>
      </c>
    </row>
    <row r="240" spans="1:6" x14ac:dyDescent="0.2">
      <c r="A240" s="40"/>
      <c r="B240" s="300" t="s">
        <v>325</v>
      </c>
      <c r="C240" s="40" t="str">
        <f>'Material Rates_Master'!B74</f>
        <v>ea</v>
      </c>
      <c r="D240" s="240"/>
      <c r="E240" s="48">
        <f>'Material Rates_Master'!D74</f>
        <v>534.41</v>
      </c>
      <c r="F240" s="48">
        <f t="shared" si="11"/>
        <v>0</v>
      </c>
    </row>
    <row r="241" spans="1:6" x14ac:dyDescent="0.2">
      <c r="A241" s="40"/>
      <c r="B241" s="300" t="s">
        <v>326</v>
      </c>
      <c r="C241" s="40" t="str">
        <f>'Material Rates_Master'!B75</f>
        <v>ea</v>
      </c>
      <c r="D241" s="240"/>
      <c r="E241" s="48">
        <f>'Material Rates_Master'!D75</f>
        <v>280</v>
      </c>
      <c r="F241" s="48">
        <f t="shared" si="11"/>
        <v>0</v>
      </c>
    </row>
    <row r="242" spans="1:6" x14ac:dyDescent="0.2">
      <c r="A242" s="40"/>
      <c r="B242" s="300" t="s">
        <v>327</v>
      </c>
      <c r="C242" s="40" t="str">
        <f>'Material Rates_Master'!B76</f>
        <v>ea</v>
      </c>
      <c r="D242" s="240"/>
      <c r="E242" s="48">
        <f>'Material Rates_Master'!D76</f>
        <v>236.47</v>
      </c>
      <c r="F242" s="48">
        <f t="shared" si="11"/>
        <v>0</v>
      </c>
    </row>
    <row r="243" spans="1:6" x14ac:dyDescent="0.2">
      <c r="A243" s="40"/>
      <c r="B243" s="300" t="s">
        <v>328</v>
      </c>
      <c r="C243" s="40" t="str">
        <f>'Material Rates_Master'!B77</f>
        <v>ea</v>
      </c>
      <c r="D243" s="240"/>
      <c r="E243" s="48">
        <f>'Material Rates_Master'!D77</f>
        <v>178.8</v>
      </c>
      <c r="F243" s="48">
        <f t="shared" si="11"/>
        <v>0</v>
      </c>
    </row>
    <row r="244" spans="1:6" x14ac:dyDescent="0.2">
      <c r="A244" s="40"/>
      <c r="B244" s="300" t="s">
        <v>329</v>
      </c>
      <c r="C244" s="40" t="str">
        <f>'Material Rates_Master'!B78</f>
        <v>ea</v>
      </c>
      <c r="D244" s="240"/>
      <c r="E244" s="48">
        <f>'Material Rates_Master'!D78</f>
        <v>362.35</v>
      </c>
      <c r="F244" s="48">
        <f t="shared" si="11"/>
        <v>0</v>
      </c>
    </row>
    <row r="245" spans="1:6" x14ac:dyDescent="0.2">
      <c r="A245" s="40"/>
      <c r="B245" s="300" t="s">
        <v>330</v>
      </c>
      <c r="C245" s="40" t="str">
        <f>'Material Rates_Master'!B79</f>
        <v>ea</v>
      </c>
      <c r="D245" s="240"/>
      <c r="E245" s="48">
        <f>'Material Rates_Master'!D79</f>
        <v>144.71</v>
      </c>
      <c r="F245" s="48">
        <f t="shared" si="11"/>
        <v>0</v>
      </c>
    </row>
    <row r="246" spans="1:6" x14ac:dyDescent="0.2">
      <c r="A246" s="40"/>
      <c r="B246" s="300" t="s">
        <v>331</v>
      </c>
      <c r="C246" s="40" t="str">
        <f>'Material Rates_Master'!B80</f>
        <v>ea</v>
      </c>
      <c r="D246" s="240"/>
      <c r="E246" s="48">
        <f>'Material Rates_Master'!D80</f>
        <v>135.88</v>
      </c>
      <c r="F246" s="48">
        <f t="shared" si="11"/>
        <v>0</v>
      </c>
    </row>
    <row r="247" spans="1:6" x14ac:dyDescent="0.2">
      <c r="A247" s="40"/>
      <c r="B247" s="300" t="s">
        <v>332</v>
      </c>
      <c r="C247" s="40" t="str">
        <f>'Material Rates_Master'!B81</f>
        <v>ea</v>
      </c>
      <c r="D247" s="240"/>
      <c r="E247" s="48">
        <f>'Material Rates_Master'!D81</f>
        <v>76.47</v>
      </c>
      <c r="F247" s="48">
        <f t="shared" si="11"/>
        <v>0</v>
      </c>
    </row>
    <row r="248" spans="1:6" x14ac:dyDescent="0.2">
      <c r="A248" s="40"/>
      <c r="B248" s="300" t="s">
        <v>333</v>
      </c>
      <c r="C248" s="40" t="str">
        <f>'Material Rates_Master'!B82</f>
        <v>ea</v>
      </c>
      <c r="D248" s="240"/>
      <c r="E248" s="48">
        <f>'Material Rates_Master'!D82</f>
        <v>67.650000000000006</v>
      </c>
      <c r="F248" s="48">
        <f t="shared" si="11"/>
        <v>0</v>
      </c>
    </row>
    <row r="249" spans="1:6" x14ac:dyDescent="0.2">
      <c r="A249" s="40"/>
      <c r="B249" s="300" t="s">
        <v>334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335</v>
      </c>
      <c r="C251" s="40" t="str">
        <f>'Material Rates_Master'!B85</f>
        <v>ea</v>
      </c>
      <c r="D251" s="240"/>
      <c r="E251" s="48">
        <f>'Material Rates_Master'!D85</f>
        <v>67.06</v>
      </c>
      <c r="F251" s="48">
        <f t="shared" si="11"/>
        <v>0</v>
      </c>
    </row>
    <row r="252" spans="1:6" x14ac:dyDescent="0.2">
      <c r="A252" s="40"/>
      <c r="B252" s="300" t="s">
        <v>336</v>
      </c>
      <c r="C252" s="40" t="str">
        <f>'Material Rates_Master'!B86</f>
        <v>ea</v>
      </c>
      <c r="D252" s="240"/>
      <c r="E252" s="48">
        <f>'Material Rates_Master'!D86</f>
        <v>46.71</v>
      </c>
      <c r="F252" s="48">
        <f t="shared" si="11"/>
        <v>0</v>
      </c>
    </row>
    <row r="253" spans="1:6" x14ac:dyDescent="0.2">
      <c r="A253" s="40"/>
      <c r="B253" s="300" t="s">
        <v>337</v>
      </c>
      <c r="C253" s="40" t="str">
        <f>'Material Rates_Master'!B87</f>
        <v>ea</v>
      </c>
      <c r="D253" s="240"/>
      <c r="E253" s="48">
        <f>'Material Rates_Master'!D87</f>
        <v>60</v>
      </c>
      <c r="F253" s="48">
        <f t="shared" si="11"/>
        <v>0</v>
      </c>
    </row>
    <row r="254" spans="1:6" x14ac:dyDescent="0.2">
      <c r="A254" s="40"/>
      <c r="B254" s="300" t="s">
        <v>338</v>
      </c>
      <c r="C254" s="40" t="str">
        <f>'Material Rates_Master'!B88</f>
        <v>ea</v>
      </c>
      <c r="D254" s="240"/>
      <c r="E254" s="48">
        <f>'Material Rates_Master'!D88</f>
        <v>42.35</v>
      </c>
      <c r="F254" s="48">
        <f t="shared" si="11"/>
        <v>0</v>
      </c>
    </row>
    <row r="255" spans="1:6" x14ac:dyDescent="0.2">
      <c r="A255" s="40"/>
      <c r="B255" s="300" t="s">
        <v>339</v>
      </c>
      <c r="C255" s="40" t="str">
        <f>'Material Rates_Master'!B89</f>
        <v>ea</v>
      </c>
      <c r="D255" s="240"/>
      <c r="E255" s="48">
        <f>'Material Rates_Master'!D89</f>
        <v>24.71</v>
      </c>
      <c r="F255" s="48">
        <f t="shared" si="11"/>
        <v>0</v>
      </c>
    </row>
    <row r="256" spans="1:6" x14ac:dyDescent="0.2">
      <c r="A256" s="40"/>
      <c r="B256" s="300" t="s">
        <v>340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341</v>
      </c>
      <c r="C258" s="40" t="str">
        <f>'Material Rates_Master'!B92</f>
        <v>ea</v>
      </c>
      <c r="D258" s="240"/>
      <c r="E258" s="48">
        <f>'Material Rates_Master'!D92</f>
        <v>108.71</v>
      </c>
      <c r="F258" s="48">
        <f t="shared" si="11"/>
        <v>0</v>
      </c>
    </row>
    <row r="259" spans="1:6" x14ac:dyDescent="0.2">
      <c r="A259" s="40"/>
      <c r="B259" s="300" t="s">
        <v>342</v>
      </c>
      <c r="C259" s="40" t="str">
        <f>'Material Rates_Master'!B93</f>
        <v>ea</v>
      </c>
      <c r="D259" s="240"/>
      <c r="E259" s="48">
        <f>'Material Rates_Master'!D93</f>
        <v>87.06</v>
      </c>
      <c r="F259" s="48">
        <f t="shared" si="11"/>
        <v>0</v>
      </c>
    </row>
    <row r="260" spans="1:6" x14ac:dyDescent="0.2">
      <c r="A260" s="40"/>
      <c r="B260" s="300" t="s">
        <v>343</v>
      </c>
      <c r="C260" s="40" t="str">
        <f>'Material Rates_Master'!B94</f>
        <v>ea</v>
      </c>
      <c r="D260" s="240"/>
      <c r="E260" s="48">
        <f>'Material Rates_Master'!D94</f>
        <v>305.88</v>
      </c>
      <c r="F260" s="48">
        <f t="shared" si="11"/>
        <v>0</v>
      </c>
    </row>
    <row r="261" spans="1:6" x14ac:dyDescent="0.2">
      <c r="A261" s="40"/>
      <c r="B261" s="300" t="s">
        <v>344</v>
      </c>
      <c r="C261" s="40" t="str">
        <f>'Material Rates_Master'!B95</f>
        <v>ea</v>
      </c>
      <c r="D261" s="240"/>
      <c r="E261" s="48">
        <f>'Material Rates_Master'!D95</f>
        <v>182.35</v>
      </c>
      <c r="F261" s="48">
        <f t="shared" si="11"/>
        <v>0</v>
      </c>
    </row>
    <row r="262" spans="1:6" x14ac:dyDescent="0.2">
      <c r="A262" s="40"/>
      <c r="B262" s="300" t="s">
        <v>345</v>
      </c>
      <c r="C262" s="40" t="str">
        <f>'Material Rates_Master'!B96</f>
        <v>ea</v>
      </c>
      <c r="D262" s="240"/>
      <c r="E262" s="48">
        <f>'Material Rates_Master'!D96</f>
        <v>229.41</v>
      </c>
      <c r="F262" s="48">
        <f t="shared" si="11"/>
        <v>0</v>
      </c>
    </row>
    <row r="263" spans="1:6" x14ac:dyDescent="0.2">
      <c r="A263" s="40"/>
      <c r="B263" s="300" t="s">
        <v>346</v>
      </c>
      <c r="C263" s="40" t="str">
        <f>'Material Rates_Master'!B97</f>
        <v>ea</v>
      </c>
      <c r="D263" s="240"/>
      <c r="E263" s="48">
        <f>'Material Rates_Master'!D97</f>
        <v>152.94</v>
      </c>
      <c r="F263" s="48">
        <f t="shared" si="11"/>
        <v>0</v>
      </c>
    </row>
    <row r="264" spans="1:6" x14ac:dyDescent="0.2">
      <c r="A264" s="40"/>
      <c r="B264" s="300" t="s">
        <v>347</v>
      </c>
      <c r="C264" s="40" t="str">
        <f>'Material Rates_Master'!B98</f>
        <v>ea</v>
      </c>
      <c r="D264" s="240"/>
      <c r="E264" s="48">
        <f>'Material Rates_Master'!D98</f>
        <v>690</v>
      </c>
      <c r="F264" s="48">
        <f t="shared" si="11"/>
        <v>0</v>
      </c>
    </row>
    <row r="265" spans="1:6" x14ac:dyDescent="0.2">
      <c r="A265" s="40"/>
      <c r="B265" s="300" t="s">
        <v>348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349</v>
      </c>
      <c r="C267" s="40" t="str">
        <f>'Material Rates_Master'!B101</f>
        <v>ea</v>
      </c>
      <c r="D267" s="240"/>
      <c r="E267" s="48">
        <f>'Material Rates_Master'!D101</f>
        <v>90</v>
      </c>
      <c r="F267" s="48">
        <f t="shared" si="11"/>
        <v>0</v>
      </c>
    </row>
    <row r="268" spans="1:6" x14ac:dyDescent="0.2">
      <c r="A268" s="40"/>
      <c r="B268" s="300" t="s">
        <v>350</v>
      </c>
      <c r="C268" s="40" t="str">
        <f>'Material Rates_Master'!B102</f>
        <v>ea</v>
      </c>
      <c r="D268" s="240"/>
      <c r="E268" s="48">
        <f>'Material Rates_Master'!D102</f>
        <v>13.5</v>
      </c>
      <c r="F268" s="48">
        <f t="shared" si="11"/>
        <v>0</v>
      </c>
    </row>
    <row r="269" spans="1:6" x14ac:dyDescent="0.2">
      <c r="A269" s="40"/>
      <c r="B269" s="300" t="s">
        <v>351</v>
      </c>
      <c r="C269" s="40" t="str">
        <f>'Material Rates_Master'!B103</f>
        <v>ea</v>
      </c>
      <c r="D269" s="240"/>
      <c r="E269" s="48">
        <f>'Material Rates_Master'!D103</f>
        <v>27.14</v>
      </c>
      <c r="F269" s="48">
        <f t="shared" si="11"/>
        <v>0</v>
      </c>
    </row>
    <row r="270" spans="1:6" x14ac:dyDescent="0.2">
      <c r="A270" s="40"/>
      <c r="B270" s="300" t="s">
        <v>352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353</v>
      </c>
      <c r="E272" s="48"/>
      <c r="F272" s="48">
        <f t="shared" si="11"/>
        <v>0</v>
      </c>
    </row>
    <row r="273" spans="1:6" x14ac:dyDescent="0.2">
      <c r="A273" s="40"/>
      <c r="B273" s="301" t="s">
        <v>354</v>
      </c>
      <c r="C273" s="40" t="str">
        <f>'Material Rates_Master'!B107</f>
        <v>Unit</v>
      </c>
      <c r="E273" s="48"/>
      <c r="F273" s="48"/>
    </row>
    <row r="274" spans="1:6" x14ac:dyDescent="0.2">
      <c r="A274" s="40"/>
      <c r="B274" s="300" t="s">
        <v>355</v>
      </c>
      <c r="C274" s="40" t="str">
        <f>'Material Rates_Master'!B108</f>
        <v>m</v>
      </c>
      <c r="D274" s="37"/>
      <c r="E274" s="48">
        <f>'Material Rates_Master'!D108</f>
        <v>43.846153846153847</v>
      </c>
      <c r="F274" s="48">
        <f t="shared" si="11"/>
        <v>0</v>
      </c>
    </row>
    <row r="275" spans="1:6" x14ac:dyDescent="0.2">
      <c r="A275" s="40"/>
      <c r="B275" s="300" t="s">
        <v>356</v>
      </c>
      <c r="C275" s="40" t="str">
        <f>'Material Rates_Master'!B109</f>
        <v>m</v>
      </c>
      <c r="D275" s="37"/>
      <c r="E275" s="48">
        <f>'Material Rates_Master'!D109</f>
        <v>28.46153846153846</v>
      </c>
      <c r="F275" s="48">
        <f t="shared" si="11"/>
        <v>0</v>
      </c>
    </row>
    <row r="276" spans="1:6" x14ac:dyDescent="0.2">
      <c r="A276" s="40"/>
      <c r="B276" s="300" t="s">
        <v>357</v>
      </c>
      <c r="C276" s="40" t="str">
        <f>'Material Rates_Master'!B110</f>
        <v>m</v>
      </c>
      <c r="D276" s="37"/>
      <c r="E276" s="48">
        <f>'Material Rates_Master'!D110</f>
        <v>106.24166666666667</v>
      </c>
      <c r="F276" s="48">
        <f t="shared" si="11"/>
        <v>0</v>
      </c>
    </row>
    <row r="277" spans="1:6" x14ac:dyDescent="0.2">
      <c r="A277" s="40"/>
      <c r="B277" s="300" t="s">
        <v>358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359</v>
      </c>
      <c r="C279" s="40" t="str">
        <f>'Material Rates_Master'!B113</f>
        <v>ea</v>
      </c>
      <c r="D279" s="37"/>
      <c r="E279" s="48">
        <f>'Material Rates_Master'!D113</f>
        <v>12.83</v>
      </c>
      <c r="F279" s="48">
        <f t="shared" si="11"/>
        <v>0</v>
      </c>
    </row>
    <row r="280" spans="1:6" x14ac:dyDescent="0.2">
      <c r="A280" s="40"/>
      <c r="B280" s="300" t="s">
        <v>360</v>
      </c>
      <c r="C280" s="40" t="str">
        <f>'Material Rates_Master'!B114</f>
        <v>ea</v>
      </c>
      <c r="D280" s="37"/>
      <c r="E280" s="48">
        <f>'Material Rates_Master'!D114</f>
        <v>7.55</v>
      </c>
      <c r="F280" s="48">
        <f t="shared" si="11"/>
        <v>0</v>
      </c>
    </row>
    <row r="281" spans="1:6" x14ac:dyDescent="0.2">
      <c r="A281" s="40"/>
      <c r="B281" s="300" t="s">
        <v>361</v>
      </c>
      <c r="C281" s="40" t="str">
        <f>'Material Rates_Master'!B115</f>
        <v>ea</v>
      </c>
      <c r="D281" s="37"/>
      <c r="E281" s="48">
        <f>'Material Rates_Master'!D115</f>
        <v>35.5</v>
      </c>
      <c r="F281" s="48">
        <f t="shared" si="11"/>
        <v>0</v>
      </c>
    </row>
    <row r="282" spans="1:6" x14ac:dyDescent="0.2">
      <c r="A282" s="40"/>
      <c r="B282" s="300" t="s">
        <v>362</v>
      </c>
      <c r="C282" s="40" t="str">
        <f>'Material Rates_Master'!B116</f>
        <v>ea</v>
      </c>
      <c r="D282" s="37"/>
      <c r="E282" s="48">
        <f>'Material Rates_Master'!D116</f>
        <v>16.93</v>
      </c>
      <c r="F282" s="48">
        <f t="shared" si="11"/>
        <v>0</v>
      </c>
    </row>
    <row r="283" spans="1:6" x14ac:dyDescent="0.2">
      <c r="A283" s="40"/>
      <c r="B283" s="300" t="s">
        <v>363</v>
      </c>
      <c r="C283" s="40" t="str">
        <f>'Material Rates_Master'!B117</f>
        <v>ea</v>
      </c>
      <c r="D283" s="37"/>
      <c r="E283" s="48">
        <f>'Material Rates_Master'!D117</f>
        <v>22.85</v>
      </c>
      <c r="F283" s="48">
        <f t="shared" si="11"/>
        <v>0</v>
      </c>
    </row>
    <row r="284" spans="1:6" x14ac:dyDescent="0.2">
      <c r="A284" s="40"/>
      <c r="B284" s="300" t="s">
        <v>364</v>
      </c>
      <c r="C284" s="40" t="str">
        <f>'Material Rates_Master'!B118</f>
        <v>ea</v>
      </c>
      <c r="D284" s="37"/>
      <c r="E284" s="48">
        <f>'Material Rates_Master'!D118</f>
        <v>10.62</v>
      </c>
      <c r="F284" s="48">
        <f t="shared" si="11"/>
        <v>0</v>
      </c>
    </row>
    <row r="285" spans="1:6" x14ac:dyDescent="0.2">
      <c r="A285" s="40"/>
      <c r="B285" s="300" t="s">
        <v>365</v>
      </c>
      <c r="C285" s="40" t="str">
        <f>'Material Rates_Master'!B119</f>
        <v>ea</v>
      </c>
      <c r="D285" s="37"/>
      <c r="E285" s="48">
        <f>'Material Rates_Master'!D119</f>
        <v>23.5</v>
      </c>
      <c r="F285" s="48">
        <f t="shared" si="11"/>
        <v>0</v>
      </c>
    </row>
    <row r="286" spans="1:6" x14ac:dyDescent="0.2">
      <c r="A286" s="40"/>
      <c r="B286" s="300" t="s">
        <v>366</v>
      </c>
      <c r="C286" s="40" t="str">
        <f>'Material Rates_Master'!B120</f>
        <v>ea</v>
      </c>
      <c r="D286" s="37"/>
      <c r="E286" s="48">
        <f>'Material Rates_Master'!D120</f>
        <v>11.4</v>
      </c>
      <c r="F286" s="48">
        <f t="shared" si="11"/>
        <v>0</v>
      </c>
    </row>
    <row r="287" spans="1:6" x14ac:dyDescent="0.2">
      <c r="A287" s="40"/>
      <c r="B287" s="300" t="s">
        <v>367</v>
      </c>
      <c r="C287" s="40" t="str">
        <f>'Material Rates_Master'!B121</f>
        <v>ea</v>
      </c>
      <c r="D287" s="37"/>
      <c r="E287" s="48">
        <f>'Material Rates_Master'!D121</f>
        <v>30.75</v>
      </c>
      <c r="F287" s="48">
        <f t="shared" si="11"/>
        <v>0</v>
      </c>
    </row>
    <row r="288" spans="1:6" x14ac:dyDescent="0.2">
      <c r="A288" s="40"/>
      <c r="B288" s="300" t="s">
        <v>368</v>
      </c>
      <c r="C288" s="40" t="str">
        <f>'Material Rates_Master'!B122</f>
        <v>ea</v>
      </c>
      <c r="D288" s="37"/>
      <c r="E288" s="48">
        <f>'Material Rates_Master'!D122</f>
        <v>23.21</v>
      </c>
      <c r="F288" s="48">
        <f t="shared" si="11"/>
        <v>0</v>
      </c>
    </row>
    <row r="289" spans="1:6" x14ac:dyDescent="0.2">
      <c r="A289" s="40"/>
      <c r="B289" s="300" t="s">
        <v>369</v>
      </c>
      <c r="C289" s="40" t="str">
        <f>'Material Rates_Master'!B123</f>
        <v>ea</v>
      </c>
      <c r="D289" s="37"/>
      <c r="E289" s="48">
        <f>'Material Rates_Master'!D123</f>
        <v>217.8</v>
      </c>
      <c r="F289" s="48">
        <f t="shared" si="11"/>
        <v>0</v>
      </c>
    </row>
    <row r="290" spans="1:6" x14ac:dyDescent="0.2">
      <c r="A290" s="40"/>
      <c r="B290" s="300" t="s">
        <v>370</v>
      </c>
      <c r="C290" s="40" t="str">
        <f>'Material Rates_Master'!B124</f>
        <v>ea</v>
      </c>
      <c r="D290" s="37"/>
      <c r="E290" s="48">
        <f>'Material Rates_Master'!D124</f>
        <v>169.4</v>
      </c>
      <c r="F290" s="48">
        <f t="shared" si="11"/>
        <v>0</v>
      </c>
    </row>
    <row r="291" spans="1:6" ht="5.4" customHeight="1" x14ac:dyDescent="0.2">
      <c r="A291" s="40"/>
      <c r="B291" s="300"/>
      <c r="C291" s="40">
        <f>'Material Rates_Master'!B125</f>
        <v>0</v>
      </c>
      <c r="D291" s="37"/>
      <c r="E291" s="48">
        <f>'Material Rates_Master'!D125</f>
        <v>0</v>
      </c>
      <c r="F291" s="48">
        <f t="shared" si="11"/>
        <v>0</v>
      </c>
    </row>
    <row r="292" spans="1:6" x14ac:dyDescent="0.2">
      <c r="A292" s="40"/>
      <c r="B292" s="300" t="s">
        <v>371</v>
      </c>
      <c r="C292" s="40" t="str">
        <f>'Material Rates_Master'!B126</f>
        <v>ea</v>
      </c>
      <c r="D292" s="37"/>
      <c r="E292" s="48">
        <f>'Material Rates_Master'!D126</f>
        <v>2350</v>
      </c>
      <c r="F292" s="48">
        <f t="shared" si="11"/>
        <v>0</v>
      </c>
    </row>
    <row r="293" spans="1:6" x14ac:dyDescent="0.2">
      <c r="A293" s="40"/>
      <c r="B293" s="300" t="s">
        <v>372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373</v>
      </c>
      <c r="C295" s="40" t="str">
        <f>'Material Rates_Master'!B129</f>
        <v>ea</v>
      </c>
      <c r="D295" s="240">
        <v>1</v>
      </c>
      <c r="E295" s="48">
        <f>'Material Rates_Master'!D129</f>
        <v>365</v>
      </c>
      <c r="F295" s="48">
        <f t="shared" si="11"/>
        <v>365</v>
      </c>
    </row>
    <row r="296" spans="1:6" x14ac:dyDescent="0.2">
      <c r="A296" s="40"/>
      <c r="B296" s="300" t="s">
        <v>374</v>
      </c>
      <c r="C296" s="40" t="str">
        <f>'Material Rates_Master'!B130</f>
        <v>ea</v>
      </c>
      <c r="D296" s="240"/>
      <c r="E296" s="48">
        <f>'Material Rates_Master'!D130</f>
        <v>365</v>
      </c>
      <c r="F296" s="48">
        <f t="shared" si="11"/>
        <v>0</v>
      </c>
    </row>
    <row r="297" spans="1:6" x14ac:dyDescent="0.2">
      <c r="A297" s="40"/>
      <c r="B297" s="300" t="s">
        <v>375</v>
      </c>
      <c r="C297" s="40" t="str">
        <f>'Material Rates_Master'!B131</f>
        <v>ea</v>
      </c>
      <c r="D297" s="240"/>
      <c r="E297" s="48">
        <f>'Material Rates_Master'!D131</f>
        <v>90</v>
      </c>
      <c r="F297" s="48">
        <f t="shared" si="11"/>
        <v>0</v>
      </c>
    </row>
    <row r="298" spans="1:6" x14ac:dyDescent="0.2">
      <c r="A298" s="40"/>
      <c r="B298" s="300" t="s">
        <v>376</v>
      </c>
      <c r="C298" s="40" t="str">
        <f>'Material Rates_Master'!B132</f>
        <v>ea</v>
      </c>
      <c r="D298" s="240"/>
      <c r="E298" s="48">
        <f>'Material Rates_Master'!D132</f>
        <v>5</v>
      </c>
      <c r="F298" s="48">
        <f t="shared" si="11"/>
        <v>0</v>
      </c>
    </row>
    <row r="299" spans="1:6" x14ac:dyDescent="0.2">
      <c r="A299" s="40"/>
      <c r="B299" s="300" t="s">
        <v>377</v>
      </c>
      <c r="C299" s="40" t="str">
        <f>'Material Rates_Master'!B133</f>
        <v>ea</v>
      </c>
      <c r="D299" s="240"/>
      <c r="E299" s="48">
        <f>'Material Rates_Master'!D133</f>
        <v>125</v>
      </c>
      <c r="F299" s="48">
        <f t="shared" ref="F299:F341" si="12">E299*D299</f>
        <v>0</v>
      </c>
    </row>
    <row r="300" spans="1:6" x14ac:dyDescent="0.2">
      <c r="A300" s="40"/>
      <c r="B300" s="300" t="s">
        <v>378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379</v>
      </c>
      <c r="C302" s="40" t="str">
        <f>'Material Rates_Master'!B136</f>
        <v>ea</v>
      </c>
      <c r="D302" s="37"/>
      <c r="E302" s="48">
        <f>'Material Rates_Master'!D136</f>
        <v>3100.7</v>
      </c>
      <c r="F302" s="48">
        <f t="shared" si="12"/>
        <v>0</v>
      </c>
    </row>
    <row r="303" spans="1:6" x14ac:dyDescent="0.2">
      <c r="A303" s="40"/>
      <c r="B303" s="300" t="s">
        <v>380</v>
      </c>
      <c r="C303" s="40" t="str">
        <f>'Material Rates_Master'!B137</f>
        <v>ea</v>
      </c>
      <c r="D303" s="37"/>
      <c r="E303" s="48">
        <f>'Material Rates_Master'!D137</f>
        <v>4237.09</v>
      </c>
      <c r="F303" s="48">
        <f t="shared" si="12"/>
        <v>0</v>
      </c>
    </row>
    <row r="304" spans="1:6" ht="7.2" customHeight="1" x14ac:dyDescent="0.2">
      <c r="A304" s="40"/>
      <c r="B304" s="300"/>
      <c r="C304" s="40">
        <f>'Material Rates_Master'!B138</f>
        <v>0</v>
      </c>
      <c r="D304" s="37"/>
      <c r="E304" s="48">
        <f>'Material Rates_Master'!D138</f>
        <v>0</v>
      </c>
      <c r="F304" s="48">
        <f t="shared" si="12"/>
        <v>0</v>
      </c>
    </row>
    <row r="305" spans="1:6" x14ac:dyDescent="0.2">
      <c r="A305" s="40"/>
      <c r="B305" s="300" t="s">
        <v>381</v>
      </c>
      <c r="C305" s="40" t="str">
        <f>'Material Rates_Master'!B139</f>
        <v>ea</v>
      </c>
      <c r="D305" s="37"/>
      <c r="E305" s="48">
        <f>'Material Rates_Master'!D139</f>
        <v>114.44</v>
      </c>
      <c r="F305" s="48">
        <f t="shared" si="12"/>
        <v>0</v>
      </c>
    </row>
    <row r="306" spans="1:6" x14ac:dyDescent="0.2">
      <c r="A306" s="40"/>
      <c r="B306" s="300" t="s">
        <v>382</v>
      </c>
      <c r="C306" s="40" t="str">
        <f>'Material Rates_Master'!B140</f>
        <v>ea</v>
      </c>
      <c r="D306" s="37"/>
      <c r="E306" s="48">
        <f>'Material Rates_Master'!D140</f>
        <v>219.36</v>
      </c>
      <c r="F306" s="48">
        <f t="shared" si="12"/>
        <v>0</v>
      </c>
    </row>
    <row r="307" spans="1:6" x14ac:dyDescent="0.2">
      <c r="A307" s="40"/>
      <c r="B307" s="300" t="s">
        <v>383</v>
      </c>
      <c r="C307" s="40" t="str">
        <f>'Material Rates_Master'!B141</f>
        <v>ea</v>
      </c>
      <c r="D307" s="37"/>
      <c r="E307" s="48">
        <f>'Material Rates_Master'!D141</f>
        <v>135.09</v>
      </c>
      <c r="F307" s="48">
        <f t="shared" si="12"/>
        <v>0</v>
      </c>
    </row>
    <row r="308" spans="1:6" x14ac:dyDescent="0.2">
      <c r="A308" s="40"/>
      <c r="B308" s="300" t="s">
        <v>384</v>
      </c>
      <c r="C308" s="40" t="str">
        <f>'Material Rates_Master'!B142</f>
        <v>ea</v>
      </c>
      <c r="D308" s="37"/>
      <c r="E308" s="48">
        <f>'Material Rates_Master'!D142</f>
        <v>125.77</v>
      </c>
      <c r="F308" s="48">
        <f t="shared" si="12"/>
        <v>0</v>
      </c>
    </row>
    <row r="309" spans="1:6" x14ac:dyDescent="0.2">
      <c r="A309" s="40"/>
      <c r="B309" s="300" t="s">
        <v>385</v>
      </c>
      <c r="C309" s="40" t="str">
        <f>'Material Rates_Master'!B143</f>
        <v>ea</v>
      </c>
      <c r="D309" s="37"/>
      <c r="E309" s="48">
        <f>'Material Rates_Master'!D143</f>
        <v>83.25</v>
      </c>
      <c r="F309" s="48">
        <f t="shared" si="12"/>
        <v>0</v>
      </c>
    </row>
    <row r="310" spans="1:6" x14ac:dyDescent="0.2">
      <c r="A310" s="40"/>
      <c r="B310" s="300" t="s">
        <v>386</v>
      </c>
      <c r="C310" s="40" t="str">
        <f>'Material Rates_Master'!B144</f>
        <v>ea</v>
      </c>
      <c r="D310" s="37"/>
      <c r="E310" s="48">
        <f>'Material Rates_Master'!D144</f>
        <v>52.25</v>
      </c>
      <c r="F310" s="48">
        <f t="shared" si="12"/>
        <v>0</v>
      </c>
    </row>
    <row r="311" spans="1:6" x14ac:dyDescent="0.2">
      <c r="A311" s="40"/>
      <c r="B311" s="300" t="s">
        <v>387</v>
      </c>
      <c r="C311" s="40" t="str">
        <f>'Material Rates_Master'!B145</f>
        <v>ea</v>
      </c>
      <c r="D311" s="37"/>
      <c r="E311" s="48">
        <f>'Material Rates_Master'!D145</f>
        <v>175.66</v>
      </c>
      <c r="F311" s="48">
        <f t="shared" si="12"/>
        <v>0</v>
      </c>
    </row>
    <row r="312" spans="1:6" x14ac:dyDescent="0.2">
      <c r="A312" s="40"/>
      <c r="B312" s="300" t="s">
        <v>388</v>
      </c>
      <c r="C312" s="40" t="str">
        <f>'Material Rates_Master'!B146</f>
        <v>ea</v>
      </c>
      <c r="D312" s="37"/>
      <c r="E312" s="48">
        <f>'Material Rates_Master'!D146</f>
        <v>164.08</v>
      </c>
      <c r="F312" s="48">
        <f t="shared" si="12"/>
        <v>0</v>
      </c>
    </row>
    <row r="313" spans="1:6" ht="7.2" customHeight="1" x14ac:dyDescent="0.2">
      <c r="A313" s="40"/>
      <c r="B313" s="300"/>
      <c r="C313" s="40">
        <f>'Material Rates_Master'!B147</f>
        <v>0</v>
      </c>
      <c r="D313" s="240"/>
      <c r="E313" s="48">
        <f>'Material Rates_Master'!D147</f>
        <v>0</v>
      </c>
      <c r="F313" s="48">
        <f t="shared" si="12"/>
        <v>0</v>
      </c>
    </row>
    <row r="314" spans="1:6" x14ac:dyDescent="0.2">
      <c r="A314" s="40"/>
      <c r="B314" s="300" t="s">
        <v>393</v>
      </c>
      <c r="C314" s="40" t="str">
        <f>'Material Rates_Master'!B148</f>
        <v>ea</v>
      </c>
      <c r="D314" s="240"/>
      <c r="E314" s="48">
        <f>'Material Rates_Master'!D148</f>
        <v>77.95</v>
      </c>
      <c r="F314" s="48">
        <f t="shared" si="12"/>
        <v>0</v>
      </c>
    </row>
    <row r="315" spans="1:6" x14ac:dyDescent="0.2">
      <c r="A315" s="40"/>
      <c r="B315" s="300" t="s">
        <v>394</v>
      </c>
      <c r="C315" s="40" t="str">
        <f>'Material Rates_Master'!B149</f>
        <v>ea</v>
      </c>
      <c r="D315" s="240"/>
      <c r="E315" s="48">
        <f>'Material Rates_Master'!D149</f>
        <v>17.16</v>
      </c>
      <c r="F315" s="48">
        <f t="shared" si="12"/>
        <v>0</v>
      </c>
    </row>
    <row r="316" spans="1:6" x14ac:dyDescent="0.2">
      <c r="A316" s="40"/>
      <c r="B316" s="300" t="s">
        <v>395</v>
      </c>
      <c r="C316" s="40" t="str">
        <f>'Material Rates_Master'!B150</f>
        <v>ea</v>
      </c>
      <c r="D316" s="240"/>
      <c r="E316" s="48">
        <f>'Material Rates_Master'!D150</f>
        <v>7.23</v>
      </c>
      <c r="F316" s="48">
        <f t="shared" si="12"/>
        <v>0</v>
      </c>
    </row>
    <row r="317" spans="1:6" x14ac:dyDescent="0.2">
      <c r="A317" s="40"/>
      <c r="B317" s="300" t="s">
        <v>396</v>
      </c>
      <c r="C317" s="40" t="str">
        <f>'Material Rates_Master'!B151</f>
        <v>ea</v>
      </c>
      <c r="D317" s="240"/>
      <c r="E317" s="48">
        <f>'Material Rates_Master'!D151</f>
        <v>14.31</v>
      </c>
      <c r="F317" s="48">
        <f t="shared" si="12"/>
        <v>0</v>
      </c>
    </row>
    <row r="318" spans="1:6" x14ac:dyDescent="0.2">
      <c r="A318" s="40"/>
      <c r="B318" s="300" t="s">
        <v>397</v>
      </c>
      <c r="C318" s="40" t="str">
        <f>'Material Rates_Master'!B152</f>
        <v>ea</v>
      </c>
      <c r="D318" s="240"/>
      <c r="E318" s="48">
        <f>'Material Rates_Master'!D152</f>
        <v>16.239999999999998</v>
      </c>
      <c r="F318" s="48">
        <f t="shared" si="12"/>
        <v>0</v>
      </c>
    </row>
    <row r="319" spans="1:6" x14ac:dyDescent="0.2">
      <c r="A319" s="40"/>
      <c r="B319" s="300" t="s">
        <v>399</v>
      </c>
      <c r="C319" s="40" t="str">
        <f>'Material Rates_Master'!B153</f>
        <v>ea</v>
      </c>
      <c r="D319" s="240"/>
      <c r="E319" s="48">
        <f>'Material Rates_Master'!D153</f>
        <v>14.36</v>
      </c>
      <c r="F319" s="48">
        <f t="shared" si="12"/>
        <v>0</v>
      </c>
    </row>
    <row r="320" spans="1:6" x14ac:dyDescent="0.2">
      <c r="A320" s="40"/>
      <c r="B320" s="300" t="s">
        <v>400</v>
      </c>
      <c r="C320" s="40" t="str">
        <f>'Material Rates_Master'!B154</f>
        <v>ea</v>
      </c>
      <c r="D320" s="240"/>
      <c r="E320" s="48">
        <f>'Material Rates_Master'!D154</f>
        <v>46.94</v>
      </c>
      <c r="F320" s="48">
        <f t="shared" si="12"/>
        <v>0</v>
      </c>
    </row>
    <row r="321" spans="1:6" x14ac:dyDescent="0.2">
      <c r="A321" s="40"/>
      <c r="B321" s="300" t="s">
        <v>401</v>
      </c>
      <c r="C321" s="40" t="str">
        <f>'Material Rates_Master'!B155</f>
        <v>ea</v>
      </c>
      <c r="D321" s="240"/>
      <c r="E321" s="48">
        <f>'Material Rates_Master'!D155</f>
        <v>8.4600000000000009</v>
      </c>
      <c r="F321" s="48">
        <f t="shared" si="12"/>
        <v>0</v>
      </c>
    </row>
    <row r="322" spans="1:6" x14ac:dyDescent="0.2">
      <c r="A322" s="40"/>
      <c r="B322" s="300" t="s">
        <v>402</v>
      </c>
      <c r="C322" s="40" t="str">
        <f>'Material Rates_Master'!B156</f>
        <v>ea</v>
      </c>
      <c r="D322" s="240"/>
      <c r="E322" s="48">
        <f>'Material Rates_Master'!D156</f>
        <v>5.74</v>
      </c>
      <c r="F322" s="48">
        <f t="shared" si="12"/>
        <v>0</v>
      </c>
    </row>
    <row r="323" spans="1:6" x14ac:dyDescent="0.2">
      <c r="A323" s="40"/>
      <c r="B323" s="300" t="s">
        <v>403</v>
      </c>
      <c r="C323" s="40" t="str">
        <f>'Material Rates_Master'!B157</f>
        <v>ea</v>
      </c>
      <c r="D323" s="240"/>
      <c r="E323" s="48">
        <f>'Material Rates_Master'!D157</f>
        <v>7.7</v>
      </c>
      <c r="F323" s="48">
        <f t="shared" si="12"/>
        <v>0</v>
      </c>
    </row>
    <row r="324" spans="1:6" x14ac:dyDescent="0.2">
      <c r="A324" s="40"/>
      <c r="B324" s="300" t="s">
        <v>404</v>
      </c>
      <c r="C324" s="40" t="str">
        <f>'Material Rates_Master'!B158</f>
        <v>ea</v>
      </c>
      <c r="D324" s="240"/>
      <c r="E324" s="48">
        <f>'Material Rates_Master'!D158</f>
        <v>10.19</v>
      </c>
      <c r="F324" s="48">
        <f t="shared" si="12"/>
        <v>0</v>
      </c>
    </row>
    <row r="325" spans="1:6" ht="9" customHeight="1" x14ac:dyDescent="0.2">
      <c r="A325" s="40"/>
      <c r="B325" s="300"/>
      <c r="C325" s="40">
        <f>'Material Rates_Master'!B159</f>
        <v>0</v>
      </c>
      <c r="D325" s="240"/>
      <c r="E325" s="48">
        <f>'Material Rates_Master'!D159</f>
        <v>0</v>
      </c>
      <c r="F325" s="48">
        <f t="shared" si="12"/>
        <v>0</v>
      </c>
    </row>
    <row r="326" spans="1:6" x14ac:dyDescent="0.2">
      <c r="A326" s="40"/>
      <c r="B326" s="300" t="s">
        <v>405</v>
      </c>
      <c r="C326" s="40" t="str">
        <f>'Material Rates_Master'!B160</f>
        <v>ea</v>
      </c>
      <c r="D326" s="37"/>
      <c r="E326" s="48">
        <f>'Material Rates_Master'!D160</f>
        <v>5.86</v>
      </c>
      <c r="F326" s="48">
        <f t="shared" si="12"/>
        <v>0</v>
      </c>
    </row>
    <row r="327" spans="1:6" x14ac:dyDescent="0.2">
      <c r="A327" s="40"/>
      <c r="B327" s="300" t="s">
        <v>406</v>
      </c>
      <c r="C327" s="40" t="str">
        <f>'Material Rates_Master'!B161</f>
        <v>ea</v>
      </c>
      <c r="D327" s="37"/>
      <c r="E327" s="48">
        <f>'Material Rates_Master'!D161</f>
        <v>4.41</v>
      </c>
      <c r="F327" s="48">
        <f t="shared" si="12"/>
        <v>0</v>
      </c>
    </row>
    <row r="328" spans="1:6" x14ac:dyDescent="0.2">
      <c r="A328" s="40"/>
      <c r="B328" s="300" t="s">
        <v>407</v>
      </c>
      <c r="C328" s="40" t="str">
        <f>'Material Rates_Master'!B162</f>
        <v>ea</v>
      </c>
      <c r="D328" s="37"/>
      <c r="E328" s="48">
        <f>'Material Rates_Master'!D162</f>
        <v>5.36</v>
      </c>
      <c r="F328" s="48">
        <f t="shared" si="12"/>
        <v>0</v>
      </c>
    </row>
    <row r="329" spans="1:6" x14ac:dyDescent="0.2">
      <c r="A329" s="40"/>
      <c r="B329" s="300" t="s">
        <v>408</v>
      </c>
      <c r="C329" s="40" t="str">
        <f>'Material Rates_Master'!B163</f>
        <v>ea</v>
      </c>
      <c r="D329" s="37"/>
      <c r="E329" s="48">
        <f>'Material Rates_Master'!D163</f>
        <v>4.4000000000000004</v>
      </c>
      <c r="F329" s="48">
        <f t="shared" si="12"/>
        <v>0</v>
      </c>
    </row>
    <row r="330" spans="1:6" x14ac:dyDescent="0.2">
      <c r="A330" s="40"/>
      <c r="B330" s="300" t="s">
        <v>409</v>
      </c>
      <c r="C330" s="40" t="str">
        <f>'Material Rates_Master'!B164</f>
        <v>ea</v>
      </c>
      <c r="D330" s="37"/>
      <c r="E330" s="48">
        <f>'Material Rates_Master'!D164</f>
        <v>10.64</v>
      </c>
      <c r="F330" s="48">
        <f t="shared" si="12"/>
        <v>0</v>
      </c>
    </row>
    <row r="331" spans="1:6" x14ac:dyDescent="0.2">
      <c r="A331" s="40"/>
      <c r="B331" s="300" t="s">
        <v>410</v>
      </c>
      <c r="C331" s="40" t="str">
        <f>'Material Rates_Master'!B165</f>
        <v>ea</v>
      </c>
      <c r="D331" s="37"/>
      <c r="E331" s="48">
        <f>'Material Rates_Master'!D165</f>
        <v>20</v>
      </c>
      <c r="F331" s="48">
        <f t="shared" si="12"/>
        <v>0</v>
      </c>
    </row>
    <row r="332" spans="1:6" x14ac:dyDescent="0.2">
      <c r="A332" s="40"/>
      <c r="B332" s="300" t="s">
        <v>411</v>
      </c>
      <c r="C332" s="40" t="str">
        <f>'Material Rates_Master'!B166</f>
        <v>ea</v>
      </c>
      <c r="D332" s="37"/>
      <c r="E332" s="48">
        <f>'Material Rates_Master'!D166</f>
        <v>19.5</v>
      </c>
      <c r="F332" s="48">
        <f t="shared" si="12"/>
        <v>0</v>
      </c>
    </row>
    <row r="333" spans="1:6" x14ac:dyDescent="0.2">
      <c r="A333" s="40"/>
      <c r="B333" s="300" t="s">
        <v>340</v>
      </c>
      <c r="C333" s="40" t="str">
        <f>'Material Rates_Master'!B167</f>
        <v>ea</v>
      </c>
      <c r="D333" s="37"/>
      <c r="E333" s="48">
        <f>'Material Rates_Master'!D167</f>
        <v>20</v>
      </c>
      <c r="F333" s="48">
        <f t="shared" si="12"/>
        <v>0</v>
      </c>
    </row>
    <row r="334" spans="1:6" ht="10.95" customHeight="1" x14ac:dyDescent="0.2">
      <c r="A334" s="40"/>
      <c r="B334" s="300"/>
      <c r="D334" s="37"/>
      <c r="E334" s="48"/>
      <c r="F334" s="48"/>
    </row>
    <row r="335" spans="1:6" x14ac:dyDescent="0.2">
      <c r="A335" s="40"/>
      <c r="B335" s="332" t="s">
        <v>412</v>
      </c>
      <c r="D335" s="37"/>
      <c r="E335" s="48"/>
      <c r="F335" s="48"/>
    </row>
    <row r="336" spans="1:6" ht="14.4" customHeight="1" x14ac:dyDescent="0.2">
      <c r="A336" s="40"/>
      <c r="B336" s="301" t="s">
        <v>354</v>
      </c>
      <c r="D336" s="37"/>
      <c r="E336" s="48"/>
      <c r="F336" s="48"/>
    </row>
    <row r="337" spans="1:6" x14ac:dyDescent="0.2">
      <c r="A337" s="40"/>
      <c r="B337" s="300" t="s">
        <v>413</v>
      </c>
      <c r="C337" s="40" t="str">
        <f>'Material Rates_Master'!B171</f>
        <v>ea</v>
      </c>
      <c r="D337" s="37"/>
      <c r="E337" s="48">
        <v>1388</v>
      </c>
      <c r="F337" s="48">
        <f t="shared" si="12"/>
        <v>0</v>
      </c>
    </row>
    <row r="338" spans="1:6" x14ac:dyDescent="0.2">
      <c r="A338" s="40"/>
      <c r="B338" s="300" t="s">
        <v>414</v>
      </c>
      <c r="C338" s="40" t="str">
        <f>'Material Rates_Master'!B172</f>
        <v>ea</v>
      </c>
      <c r="D338" s="37"/>
      <c r="E338" s="48">
        <f>'Material Rates_Master'!D172</f>
        <v>0</v>
      </c>
      <c r="F338" s="48">
        <f t="shared" si="12"/>
        <v>0</v>
      </c>
    </row>
    <row r="339" spans="1:6" x14ac:dyDescent="0.2">
      <c r="A339" s="40"/>
      <c r="B339" s="300" t="s">
        <v>415</v>
      </c>
      <c r="C339" s="40" t="s">
        <v>416</v>
      </c>
      <c r="D339" s="37"/>
      <c r="E339" s="48">
        <v>450</v>
      </c>
      <c r="F339" s="48">
        <f t="shared" si="12"/>
        <v>0</v>
      </c>
    </row>
    <row r="340" spans="1:6" x14ac:dyDescent="0.2">
      <c r="A340" s="40"/>
      <c r="B340" s="300" t="s">
        <v>417</v>
      </c>
      <c r="C340" s="40" t="str">
        <f>'Material Rates_Master'!B174</f>
        <v>ea</v>
      </c>
      <c r="D340" s="37"/>
      <c r="E340" s="48">
        <f>'Material Rates_Master'!D174</f>
        <v>0</v>
      </c>
      <c r="F340" s="48">
        <f t="shared" si="12"/>
        <v>0</v>
      </c>
    </row>
    <row r="341" spans="1:6" x14ac:dyDescent="0.2">
      <c r="A341" s="40"/>
      <c r="B341" s="300" t="s">
        <v>418</v>
      </c>
      <c r="C341" s="40" t="str">
        <f>'Material Rates_Master'!B175</f>
        <v>ea</v>
      </c>
      <c r="D341" s="37"/>
      <c r="E341" s="48">
        <f>'Material Rates_Master'!D175</f>
        <v>2178.48</v>
      </c>
      <c r="F341" s="48">
        <f t="shared" si="12"/>
        <v>0</v>
      </c>
    </row>
    <row r="342" spans="1:6" x14ac:dyDescent="0.2">
      <c r="A342" s="40"/>
      <c r="B342" s="300" t="s">
        <v>419</v>
      </c>
      <c r="C342" s="40" t="str">
        <f>'Material Rates_Master'!B176</f>
        <v>ea</v>
      </c>
      <c r="D342" s="37"/>
      <c r="E342" s="48">
        <f>'Material Rates_Master'!D176</f>
        <v>2178.48</v>
      </c>
      <c r="F342" s="48">
        <f>E342*D342</f>
        <v>0</v>
      </c>
    </row>
    <row r="343" spans="1:6" x14ac:dyDescent="0.2">
      <c r="E343" s="48"/>
      <c r="F343" s="48"/>
    </row>
    <row r="344" spans="1:6" s="40" customFormat="1" ht="14.4" x14ac:dyDescent="0.3">
      <c r="A344" s="324"/>
      <c r="B344" s="325" t="s">
        <v>420</v>
      </c>
      <c r="C344" s="42"/>
      <c r="D344" s="42"/>
      <c r="E344" s="45"/>
      <c r="F344" s="48"/>
    </row>
    <row r="345" spans="1:6" s="40" customFormat="1" ht="14.4" x14ac:dyDescent="0.3">
      <c r="A345" s="324"/>
      <c r="B345" s="327" t="s">
        <v>354</v>
      </c>
      <c r="C345" s="42"/>
      <c r="D345" s="42"/>
      <c r="E345" s="45"/>
      <c r="F345" s="48"/>
    </row>
    <row r="346" spans="1:6" s="40" customFormat="1" ht="14.4" x14ac:dyDescent="0.3">
      <c r="A346" s="324"/>
      <c r="B346" s="324"/>
      <c r="C346" s="42"/>
      <c r="D346" s="42"/>
      <c r="E346" s="45"/>
      <c r="F346" s="48"/>
    </row>
    <row r="347" spans="1:6" s="40" customFormat="1" ht="14.4" x14ac:dyDescent="0.3">
      <c r="A347" s="324"/>
      <c r="B347" s="324" t="s">
        <v>421</v>
      </c>
      <c r="C347" s="328" t="s">
        <v>149</v>
      </c>
      <c r="E347" s="326">
        <v>34.5</v>
      </c>
      <c r="F347" s="48">
        <f>E347*D347</f>
        <v>0</v>
      </c>
    </row>
    <row r="348" spans="1:6" s="40" customFormat="1" ht="14.4" x14ac:dyDescent="0.3">
      <c r="A348" s="324"/>
      <c r="B348" s="324" t="s">
        <v>423</v>
      </c>
      <c r="C348" s="328" t="s">
        <v>149</v>
      </c>
      <c r="E348" s="326">
        <v>12.31</v>
      </c>
      <c r="F348" s="48">
        <f t="shared" ref="F348:F413" si="13">E348*D348</f>
        <v>0</v>
      </c>
    </row>
    <row r="349" spans="1:6" s="40" customFormat="1" ht="14.4" x14ac:dyDescent="0.3">
      <c r="A349" s="324"/>
      <c r="B349" s="324" t="s">
        <v>424</v>
      </c>
      <c r="C349" s="328" t="s">
        <v>149</v>
      </c>
      <c r="D349" s="40">
        <v>6</v>
      </c>
      <c r="E349" s="326">
        <v>9.66</v>
      </c>
      <c r="F349" s="48">
        <f t="shared" si="13"/>
        <v>57.96</v>
      </c>
    </row>
    <row r="350" spans="1:6" s="40" customFormat="1" ht="14.4" x14ac:dyDescent="0.3">
      <c r="A350" s="324"/>
      <c r="B350" s="324" t="s">
        <v>425</v>
      </c>
      <c r="C350" s="328" t="s">
        <v>149</v>
      </c>
      <c r="E350" s="326">
        <v>4.63</v>
      </c>
      <c r="F350" s="48">
        <f t="shared" si="13"/>
        <v>0</v>
      </c>
    </row>
    <row r="351" spans="1:6" s="40" customFormat="1" ht="14.4" x14ac:dyDescent="0.3">
      <c r="A351" s="324"/>
      <c r="B351" s="420" t="s">
        <v>426</v>
      </c>
      <c r="C351" s="328" t="s">
        <v>149</v>
      </c>
      <c r="D351" s="40">
        <v>14</v>
      </c>
      <c r="E351" s="326">
        <v>5.4</v>
      </c>
      <c r="F351" s="48">
        <f t="shared" si="13"/>
        <v>75.600000000000009</v>
      </c>
    </row>
    <row r="352" spans="1:6" s="40" customFormat="1" ht="14.4" x14ac:dyDescent="0.3">
      <c r="A352" s="324"/>
      <c r="B352" s="420" t="s">
        <v>427</v>
      </c>
      <c r="C352" s="328" t="s">
        <v>149</v>
      </c>
      <c r="E352" s="326">
        <v>4.4000000000000004</v>
      </c>
      <c r="F352" s="48">
        <f t="shared" si="13"/>
        <v>0</v>
      </c>
    </row>
    <row r="353" spans="1:7" s="40" customFormat="1" ht="14.4" x14ac:dyDescent="0.3">
      <c r="A353" s="324"/>
      <c r="B353" s="324" t="s">
        <v>428</v>
      </c>
      <c r="C353" s="328" t="s">
        <v>149</v>
      </c>
      <c r="E353" s="326">
        <f>354.31/150</f>
        <v>2.3620666666666668</v>
      </c>
      <c r="F353" s="48">
        <f t="shared" si="13"/>
        <v>0</v>
      </c>
    </row>
    <row r="354" spans="1:7" ht="14.4" x14ac:dyDescent="0.3">
      <c r="A354" s="324"/>
      <c r="B354" s="420" t="s">
        <v>429</v>
      </c>
      <c r="C354" s="328" t="s">
        <v>149</v>
      </c>
      <c r="E354" s="326">
        <v>2.1</v>
      </c>
      <c r="F354" s="48">
        <f t="shared" si="13"/>
        <v>0</v>
      </c>
    </row>
    <row r="355" spans="1:7" ht="14.4" x14ac:dyDescent="0.3">
      <c r="A355" s="324"/>
      <c r="B355" s="324" t="s">
        <v>430</v>
      </c>
      <c r="C355" s="328" t="s">
        <v>149</v>
      </c>
      <c r="E355" s="326">
        <v>1.22</v>
      </c>
      <c r="F355" s="48">
        <f t="shared" si="13"/>
        <v>0</v>
      </c>
    </row>
    <row r="356" spans="1:7" ht="14.4" x14ac:dyDescent="0.3">
      <c r="A356" s="324"/>
      <c r="B356" s="324" t="s">
        <v>431</v>
      </c>
      <c r="C356" s="328" t="s">
        <v>149</v>
      </c>
      <c r="E356" s="326">
        <v>2.4300000000000002</v>
      </c>
      <c r="F356" s="48">
        <f t="shared" si="13"/>
        <v>0</v>
      </c>
    </row>
    <row r="357" spans="1:7" ht="14.4" x14ac:dyDescent="0.3">
      <c r="A357" s="324"/>
      <c r="B357" s="324" t="s">
        <v>432</v>
      </c>
      <c r="C357" s="328" t="s">
        <v>149</v>
      </c>
      <c r="E357" s="326">
        <v>22</v>
      </c>
      <c r="F357" s="48">
        <f t="shared" si="13"/>
        <v>0</v>
      </c>
      <c r="G357" s="326"/>
    </row>
    <row r="358" spans="1:7" ht="14.4" x14ac:dyDescent="0.3">
      <c r="A358" s="324"/>
      <c r="B358" s="324" t="s">
        <v>433</v>
      </c>
      <c r="C358" s="328" t="s">
        <v>115</v>
      </c>
      <c r="E358" s="326">
        <v>57.75</v>
      </c>
      <c r="F358" s="48">
        <f t="shared" si="13"/>
        <v>0</v>
      </c>
      <c r="G358" s="326"/>
    </row>
    <row r="359" spans="1:7" ht="14.4" x14ac:dyDescent="0.3">
      <c r="A359" s="324"/>
      <c r="B359" s="324" t="s">
        <v>434</v>
      </c>
      <c r="C359" s="328" t="s">
        <v>115</v>
      </c>
      <c r="E359" s="326">
        <v>139</v>
      </c>
      <c r="F359" s="48">
        <f t="shared" si="13"/>
        <v>0</v>
      </c>
      <c r="G359" s="326"/>
    </row>
    <row r="360" spans="1:7" ht="14.4" x14ac:dyDescent="0.3">
      <c r="A360" s="324"/>
      <c r="B360" s="324" t="s">
        <v>435</v>
      </c>
      <c r="C360" s="328" t="s">
        <v>115</v>
      </c>
      <c r="E360" s="326">
        <v>104.15</v>
      </c>
      <c r="F360" s="48">
        <f t="shared" si="13"/>
        <v>0</v>
      </c>
      <c r="G360" s="326"/>
    </row>
    <row r="361" spans="1:7" ht="14.4" x14ac:dyDescent="0.3">
      <c r="A361" s="324"/>
      <c r="B361" s="324" t="s">
        <v>436</v>
      </c>
      <c r="C361" s="328" t="s">
        <v>115</v>
      </c>
      <c r="E361" s="326">
        <v>26.1</v>
      </c>
      <c r="F361" s="48">
        <f t="shared" si="13"/>
        <v>0</v>
      </c>
      <c r="G361" s="326"/>
    </row>
    <row r="362" spans="1:7" ht="14.4" x14ac:dyDescent="0.3">
      <c r="A362" s="324"/>
      <c r="B362" s="324" t="s">
        <v>437</v>
      </c>
      <c r="C362" s="328" t="s">
        <v>115</v>
      </c>
      <c r="E362" s="326">
        <v>37.5</v>
      </c>
      <c r="F362" s="48">
        <f t="shared" si="13"/>
        <v>0</v>
      </c>
      <c r="G362" s="326"/>
    </row>
    <row r="363" spans="1:7" ht="14.4" x14ac:dyDescent="0.3">
      <c r="A363" s="324"/>
      <c r="B363" s="324" t="s">
        <v>438</v>
      </c>
      <c r="C363" s="328" t="s">
        <v>115</v>
      </c>
      <c r="E363" s="326">
        <v>35.93</v>
      </c>
      <c r="F363" s="48">
        <f t="shared" si="13"/>
        <v>0</v>
      </c>
      <c r="G363" s="326"/>
    </row>
    <row r="364" spans="1:7" ht="14.4" x14ac:dyDescent="0.3">
      <c r="A364" s="324"/>
      <c r="B364" s="324" t="s">
        <v>439</v>
      </c>
      <c r="C364" s="328" t="s">
        <v>115</v>
      </c>
      <c r="E364" s="326">
        <v>35</v>
      </c>
      <c r="F364" s="48">
        <f t="shared" si="13"/>
        <v>0</v>
      </c>
      <c r="G364" s="326"/>
    </row>
    <row r="365" spans="1:7" ht="14.4" x14ac:dyDescent="0.3">
      <c r="A365" s="324"/>
      <c r="B365" s="420" t="s">
        <v>440</v>
      </c>
      <c r="C365" s="328" t="s">
        <v>115</v>
      </c>
      <c r="E365" s="326">
        <v>35</v>
      </c>
      <c r="F365" s="48">
        <f t="shared" si="13"/>
        <v>0</v>
      </c>
      <c r="G365" s="326"/>
    </row>
    <row r="366" spans="1:7" ht="14.4" x14ac:dyDescent="0.3">
      <c r="A366" s="324"/>
      <c r="B366" s="420" t="s">
        <v>441</v>
      </c>
      <c r="C366" s="328" t="s">
        <v>115</v>
      </c>
      <c r="E366" s="326">
        <v>35</v>
      </c>
      <c r="F366" s="48">
        <f t="shared" si="13"/>
        <v>0</v>
      </c>
      <c r="G366" s="326"/>
    </row>
    <row r="367" spans="1:7" ht="14.4" x14ac:dyDescent="0.3">
      <c r="A367" s="324"/>
      <c r="B367" s="420" t="s">
        <v>442</v>
      </c>
      <c r="C367" s="328" t="s">
        <v>115</v>
      </c>
      <c r="E367" s="326">
        <v>20</v>
      </c>
      <c r="F367" s="48">
        <f t="shared" si="13"/>
        <v>0</v>
      </c>
      <c r="G367" s="326"/>
    </row>
    <row r="368" spans="1:7" ht="14.4" x14ac:dyDescent="0.3">
      <c r="A368" s="324"/>
      <c r="B368" s="324" t="s">
        <v>443</v>
      </c>
      <c r="C368" s="328" t="s">
        <v>115</v>
      </c>
      <c r="E368" s="326">
        <v>50</v>
      </c>
      <c r="F368" s="48">
        <f t="shared" si="13"/>
        <v>0</v>
      </c>
      <c r="G368" s="326"/>
    </row>
    <row r="369" spans="1:7" ht="14.4" x14ac:dyDescent="0.3">
      <c r="A369" s="324"/>
      <c r="B369" s="324" t="s">
        <v>444</v>
      </c>
      <c r="C369" s="328" t="s">
        <v>115</v>
      </c>
      <c r="E369" s="326">
        <v>54</v>
      </c>
      <c r="F369" s="48">
        <f t="shared" si="13"/>
        <v>0</v>
      </c>
      <c r="G369" s="326"/>
    </row>
    <row r="370" spans="1:7" ht="14.4" x14ac:dyDescent="0.3">
      <c r="A370" s="324"/>
      <c r="B370" s="324"/>
      <c r="C370" s="328"/>
      <c r="E370" s="326"/>
      <c r="F370" s="48"/>
    </row>
    <row r="371" spans="1:7" ht="14.4" x14ac:dyDescent="0.3">
      <c r="A371" s="324"/>
      <c r="B371" s="420" t="s">
        <v>446</v>
      </c>
      <c r="C371" s="328" t="s">
        <v>115</v>
      </c>
      <c r="E371" s="326">
        <v>15.55</v>
      </c>
      <c r="F371" s="48">
        <f t="shared" si="13"/>
        <v>0</v>
      </c>
      <c r="G371" s="326"/>
    </row>
    <row r="372" spans="1:7" ht="14.4" x14ac:dyDescent="0.3">
      <c r="A372" s="324"/>
      <c r="B372" s="420" t="s">
        <v>447</v>
      </c>
      <c r="C372" s="328" t="s">
        <v>115</v>
      </c>
      <c r="E372" s="326">
        <v>15</v>
      </c>
      <c r="F372" s="48">
        <f t="shared" si="13"/>
        <v>0</v>
      </c>
      <c r="G372" s="326"/>
    </row>
    <row r="373" spans="1:7" ht="14.4" x14ac:dyDescent="0.3">
      <c r="A373" s="324"/>
      <c r="B373" s="420" t="s">
        <v>448</v>
      </c>
      <c r="C373" s="419" t="s">
        <v>115</v>
      </c>
      <c r="E373" s="326">
        <v>10.87</v>
      </c>
      <c r="F373" s="48">
        <f t="shared" si="13"/>
        <v>0</v>
      </c>
      <c r="G373" s="326"/>
    </row>
    <row r="374" spans="1:7" ht="14.4" x14ac:dyDescent="0.3">
      <c r="A374" s="324"/>
      <c r="B374" s="420" t="s">
        <v>449</v>
      </c>
      <c r="C374" s="328" t="s">
        <v>115</v>
      </c>
      <c r="E374" s="326">
        <v>55</v>
      </c>
      <c r="F374" s="48">
        <f t="shared" si="13"/>
        <v>0</v>
      </c>
      <c r="G374" s="326"/>
    </row>
    <row r="375" spans="1:7" ht="14.4" x14ac:dyDescent="0.3">
      <c r="A375" s="324"/>
      <c r="B375" s="420" t="s">
        <v>450</v>
      </c>
      <c r="C375" s="328" t="s">
        <v>115</v>
      </c>
      <c r="E375" s="326">
        <v>55</v>
      </c>
      <c r="F375" s="48">
        <f t="shared" si="13"/>
        <v>0</v>
      </c>
      <c r="G375" s="326"/>
    </row>
    <row r="376" spans="1:7" ht="14.4" x14ac:dyDescent="0.3">
      <c r="A376" s="324"/>
      <c r="B376" s="420" t="s">
        <v>451</v>
      </c>
      <c r="C376" s="328" t="s">
        <v>115</v>
      </c>
      <c r="E376" s="326">
        <v>35</v>
      </c>
      <c r="F376" s="48">
        <f t="shared" si="13"/>
        <v>0</v>
      </c>
      <c r="G376" s="326"/>
    </row>
    <row r="377" spans="1:7" ht="14.4" x14ac:dyDescent="0.3">
      <c r="A377" s="324"/>
      <c r="B377" s="324" t="s">
        <v>452</v>
      </c>
      <c r="C377" s="328" t="s">
        <v>115</v>
      </c>
      <c r="E377" s="326">
        <v>35</v>
      </c>
      <c r="F377" s="48">
        <f t="shared" si="13"/>
        <v>0</v>
      </c>
      <c r="G377" s="326"/>
    </row>
    <row r="378" spans="1:7" ht="14.4" x14ac:dyDescent="0.3">
      <c r="A378" s="324"/>
      <c r="B378" s="324" t="s">
        <v>453</v>
      </c>
      <c r="C378" s="328" t="s">
        <v>115</v>
      </c>
      <c r="E378" s="326">
        <v>35</v>
      </c>
      <c r="F378" s="48">
        <f t="shared" si="13"/>
        <v>0</v>
      </c>
      <c r="G378" s="326"/>
    </row>
    <row r="379" spans="1:7" ht="14.4" x14ac:dyDescent="0.3">
      <c r="A379" s="324"/>
      <c r="B379" s="420" t="s">
        <v>968</v>
      </c>
      <c r="C379" s="419" t="s">
        <v>115</v>
      </c>
      <c r="D379" s="40">
        <v>1</v>
      </c>
      <c r="E379" s="326">
        <v>35</v>
      </c>
      <c r="F379" s="48">
        <f t="shared" si="13"/>
        <v>35</v>
      </c>
      <c r="G379" s="326"/>
    </row>
    <row r="380" spans="1:7" ht="14.4" x14ac:dyDescent="0.3">
      <c r="A380" s="324"/>
      <c r="B380" s="324" t="s">
        <v>454</v>
      </c>
      <c r="C380" s="328" t="s">
        <v>115</v>
      </c>
      <c r="E380" s="326">
        <v>35</v>
      </c>
      <c r="F380" s="48">
        <f t="shared" si="13"/>
        <v>0</v>
      </c>
      <c r="G380" s="326"/>
    </row>
    <row r="381" spans="1:7" ht="14.4" x14ac:dyDescent="0.3">
      <c r="A381" s="324"/>
      <c r="B381" s="420" t="s">
        <v>455</v>
      </c>
      <c r="C381" s="328" t="s">
        <v>115</v>
      </c>
      <c r="E381" s="326">
        <v>35</v>
      </c>
      <c r="F381" s="48">
        <f t="shared" si="13"/>
        <v>0</v>
      </c>
      <c r="G381" s="326"/>
    </row>
    <row r="382" spans="1:7" ht="14.4" x14ac:dyDescent="0.3">
      <c r="A382" s="324"/>
      <c r="B382" s="420" t="s">
        <v>456</v>
      </c>
      <c r="C382" s="328" t="s">
        <v>115</v>
      </c>
      <c r="E382" s="326">
        <v>35</v>
      </c>
      <c r="F382" s="48">
        <f t="shared" si="13"/>
        <v>0</v>
      </c>
      <c r="G382" s="326"/>
    </row>
    <row r="383" spans="1:7" ht="14.4" x14ac:dyDescent="0.3">
      <c r="A383" s="324"/>
      <c r="B383" s="324" t="s">
        <v>457</v>
      </c>
      <c r="C383" s="328" t="s">
        <v>115</v>
      </c>
      <c r="E383" s="326">
        <v>35</v>
      </c>
      <c r="F383" s="48">
        <f t="shared" si="13"/>
        <v>0</v>
      </c>
      <c r="G383" s="326"/>
    </row>
    <row r="384" spans="1:7" ht="14.4" x14ac:dyDescent="0.3">
      <c r="A384" s="324"/>
      <c r="B384" s="324" t="s">
        <v>458</v>
      </c>
      <c r="C384" s="328" t="s">
        <v>115</v>
      </c>
      <c r="E384" s="326">
        <v>26</v>
      </c>
      <c r="F384" s="48">
        <f t="shared" si="13"/>
        <v>0</v>
      </c>
      <c r="G384" s="326"/>
    </row>
    <row r="385" spans="1:7" ht="14.4" x14ac:dyDescent="0.3">
      <c r="A385" s="324"/>
      <c r="B385" s="420" t="s">
        <v>459</v>
      </c>
      <c r="C385" s="328" t="s">
        <v>115</v>
      </c>
      <c r="E385" s="326">
        <v>35</v>
      </c>
      <c r="F385" s="48">
        <f t="shared" si="13"/>
        <v>0</v>
      </c>
      <c r="G385" s="326"/>
    </row>
    <row r="386" spans="1:7" ht="14.4" x14ac:dyDescent="0.3">
      <c r="A386" s="324"/>
      <c r="B386" s="420" t="s">
        <v>460</v>
      </c>
      <c r="C386" s="328" t="s">
        <v>115</v>
      </c>
      <c r="E386" s="326">
        <v>10.87</v>
      </c>
      <c r="F386" s="48">
        <f t="shared" si="13"/>
        <v>0</v>
      </c>
      <c r="G386" s="326"/>
    </row>
    <row r="387" spans="1:7" ht="14.4" x14ac:dyDescent="0.3">
      <c r="A387" s="324"/>
      <c r="B387" s="324" t="s">
        <v>461</v>
      </c>
      <c r="C387" s="328" t="s">
        <v>115</v>
      </c>
      <c r="E387" s="326">
        <v>35</v>
      </c>
      <c r="F387" s="48">
        <f t="shared" si="13"/>
        <v>0</v>
      </c>
      <c r="G387" s="326"/>
    </row>
    <row r="388" spans="1:7" ht="14.4" x14ac:dyDescent="0.3">
      <c r="A388" s="324"/>
      <c r="B388" s="324" t="s">
        <v>462</v>
      </c>
      <c r="C388" s="328" t="s">
        <v>115</v>
      </c>
      <c r="E388" s="326">
        <v>20</v>
      </c>
      <c r="F388" s="48">
        <f t="shared" si="13"/>
        <v>0</v>
      </c>
      <c r="G388" s="326"/>
    </row>
    <row r="389" spans="1:7" ht="14.4" x14ac:dyDescent="0.3">
      <c r="A389" s="324"/>
      <c r="B389" s="420" t="s">
        <v>463</v>
      </c>
      <c r="C389" s="328" t="s">
        <v>115</v>
      </c>
      <c r="E389" s="326">
        <v>20</v>
      </c>
      <c r="F389" s="48">
        <f t="shared" si="13"/>
        <v>0</v>
      </c>
      <c r="G389" s="326"/>
    </row>
    <row r="390" spans="1:7" ht="14.4" x14ac:dyDescent="0.3">
      <c r="A390" s="324"/>
      <c r="B390" s="420" t="s">
        <v>464</v>
      </c>
      <c r="C390" s="328" t="s">
        <v>115</v>
      </c>
      <c r="E390" s="326"/>
      <c r="F390" s="48">
        <f t="shared" si="13"/>
        <v>0</v>
      </c>
    </row>
    <row r="391" spans="1:7" ht="14.4" x14ac:dyDescent="0.3">
      <c r="A391" s="324"/>
      <c r="B391" s="420" t="s">
        <v>465</v>
      </c>
      <c r="C391" s="328" t="s">
        <v>115</v>
      </c>
      <c r="E391" s="326">
        <v>35</v>
      </c>
      <c r="F391" s="48">
        <f t="shared" si="13"/>
        <v>0</v>
      </c>
    </row>
    <row r="392" spans="1:7" ht="14.4" x14ac:dyDescent="0.3">
      <c r="A392" s="324"/>
      <c r="B392" s="421" t="s">
        <v>969</v>
      </c>
      <c r="C392" s="424" t="s">
        <v>115</v>
      </c>
      <c r="D392" s="398">
        <v>1</v>
      </c>
      <c r="E392" s="399">
        <v>50</v>
      </c>
      <c r="F392" s="400">
        <f t="shared" si="13"/>
        <v>50</v>
      </c>
    </row>
    <row r="393" spans="1:7" ht="14.4" x14ac:dyDescent="0.3">
      <c r="A393" s="324"/>
      <c r="B393" s="324" t="s">
        <v>466</v>
      </c>
      <c r="C393" s="328" t="s">
        <v>115</v>
      </c>
      <c r="E393" s="326">
        <v>102.5</v>
      </c>
      <c r="F393" s="48">
        <f t="shared" si="13"/>
        <v>0</v>
      </c>
      <c r="G393" s="326"/>
    </row>
    <row r="394" spans="1:7" ht="14.4" x14ac:dyDescent="0.3">
      <c r="A394" s="324"/>
      <c r="B394" s="324" t="s">
        <v>467</v>
      </c>
      <c r="C394" s="328" t="s">
        <v>115</v>
      </c>
      <c r="E394" s="326">
        <v>235</v>
      </c>
      <c r="F394" s="48">
        <f t="shared" si="13"/>
        <v>0</v>
      </c>
      <c r="G394" s="326"/>
    </row>
    <row r="395" spans="1:7" ht="14.4" x14ac:dyDescent="0.3">
      <c r="A395" s="324"/>
      <c r="B395" s="324" t="s">
        <v>468</v>
      </c>
      <c r="C395" s="328" t="s">
        <v>115</v>
      </c>
      <c r="E395" s="326">
        <v>100</v>
      </c>
      <c r="F395" s="48">
        <f t="shared" si="13"/>
        <v>0</v>
      </c>
      <c r="G395" s="326"/>
    </row>
    <row r="396" spans="1:7" ht="14.4" x14ac:dyDescent="0.3">
      <c r="A396" s="324"/>
      <c r="B396" s="324" t="s">
        <v>469</v>
      </c>
      <c r="C396" s="328" t="s">
        <v>115</v>
      </c>
      <c r="E396" s="326">
        <v>47.41</v>
      </c>
      <c r="F396" s="48">
        <f t="shared" si="13"/>
        <v>0</v>
      </c>
      <c r="G396" s="326"/>
    </row>
    <row r="397" spans="1:7" ht="14.4" x14ac:dyDescent="0.3">
      <c r="A397" s="324"/>
      <c r="B397" s="324" t="s">
        <v>470</v>
      </c>
      <c r="C397" s="328" t="s">
        <v>115</v>
      </c>
      <c r="E397" s="326">
        <v>41.69</v>
      </c>
      <c r="F397" s="48">
        <f t="shared" si="13"/>
        <v>0</v>
      </c>
      <c r="G397" s="326"/>
    </row>
    <row r="398" spans="1:7" ht="14.4" x14ac:dyDescent="0.3">
      <c r="A398" s="324"/>
      <c r="B398" s="324" t="s">
        <v>471</v>
      </c>
      <c r="C398" s="328" t="s">
        <v>115</v>
      </c>
      <c r="E398" s="326">
        <v>85.55</v>
      </c>
      <c r="F398" s="48">
        <f t="shared" si="13"/>
        <v>0</v>
      </c>
      <c r="G398" s="326"/>
    </row>
    <row r="399" spans="1:7" ht="14.4" x14ac:dyDescent="0.3">
      <c r="A399" s="324"/>
      <c r="B399" s="324"/>
      <c r="C399" s="328" t="s">
        <v>115</v>
      </c>
      <c r="E399" s="326"/>
      <c r="F399" s="48">
        <f t="shared" si="13"/>
        <v>0</v>
      </c>
    </row>
    <row r="400" spans="1:7" ht="14.4" x14ac:dyDescent="0.3">
      <c r="A400" s="324"/>
      <c r="B400" s="324" t="s">
        <v>473</v>
      </c>
      <c r="C400" s="328" t="s">
        <v>115</v>
      </c>
      <c r="E400" s="326">
        <v>70</v>
      </c>
      <c r="F400" s="48">
        <f t="shared" si="13"/>
        <v>0</v>
      </c>
      <c r="G400" s="326"/>
    </row>
    <row r="401" spans="1:7" ht="14.4" x14ac:dyDescent="0.3">
      <c r="A401" s="324"/>
      <c r="B401" s="324" t="s">
        <v>474</v>
      </c>
      <c r="C401" s="328" t="s">
        <v>115</v>
      </c>
      <c r="E401" s="326">
        <v>19</v>
      </c>
      <c r="F401" s="48">
        <f t="shared" si="13"/>
        <v>0</v>
      </c>
      <c r="G401" s="326"/>
    </row>
    <row r="402" spans="1:7" ht="14.4" x14ac:dyDescent="0.3">
      <c r="A402" s="324"/>
      <c r="B402" s="324" t="s">
        <v>475</v>
      </c>
      <c r="C402" s="328" t="s">
        <v>115</v>
      </c>
      <c r="E402" s="326">
        <v>16</v>
      </c>
      <c r="F402" s="48">
        <f t="shared" si="13"/>
        <v>0</v>
      </c>
      <c r="G402" s="326"/>
    </row>
    <row r="403" spans="1:7" ht="14.4" x14ac:dyDescent="0.3">
      <c r="A403" s="324"/>
      <c r="B403" s="324"/>
      <c r="C403" s="328"/>
      <c r="E403" s="326"/>
      <c r="F403" s="48">
        <f t="shared" si="13"/>
        <v>0</v>
      </c>
    </row>
    <row r="404" spans="1:7" ht="14.4" x14ac:dyDescent="0.3">
      <c r="A404" s="324"/>
      <c r="B404" s="420" t="s">
        <v>476</v>
      </c>
      <c r="C404" s="328"/>
      <c r="E404" s="326"/>
      <c r="F404" s="48">
        <f t="shared" si="13"/>
        <v>0</v>
      </c>
    </row>
    <row r="405" spans="1:7" ht="14.4" x14ac:dyDescent="0.3">
      <c r="A405" s="324"/>
      <c r="B405" s="324" t="s">
        <v>479</v>
      </c>
      <c r="C405" s="328" t="s">
        <v>149</v>
      </c>
      <c r="D405" s="40">
        <v>12</v>
      </c>
      <c r="E405" s="326">
        <f>279/6</f>
        <v>46.5</v>
      </c>
      <c r="F405" s="48">
        <f t="shared" si="13"/>
        <v>558</v>
      </c>
    </row>
    <row r="406" spans="1:7" ht="14.4" x14ac:dyDescent="0.3">
      <c r="A406" s="324"/>
      <c r="B406" s="420" t="s">
        <v>480</v>
      </c>
      <c r="C406" s="328" t="s">
        <v>149</v>
      </c>
      <c r="E406" s="329">
        <v>32</v>
      </c>
      <c r="F406" s="48">
        <f t="shared" si="13"/>
        <v>0</v>
      </c>
    </row>
    <row r="407" spans="1:7" ht="14.4" x14ac:dyDescent="0.3">
      <c r="A407" s="324"/>
      <c r="B407" s="324" t="s">
        <v>481</v>
      </c>
      <c r="C407" s="328" t="s">
        <v>149</v>
      </c>
      <c r="E407" s="329">
        <f>119.88/6</f>
        <v>19.98</v>
      </c>
      <c r="F407" s="48">
        <f t="shared" si="13"/>
        <v>0</v>
      </c>
    </row>
    <row r="408" spans="1:7" ht="14.4" x14ac:dyDescent="0.3">
      <c r="A408" s="324"/>
      <c r="B408" s="324" t="s">
        <v>482</v>
      </c>
      <c r="C408" s="328" t="s">
        <v>115</v>
      </c>
      <c r="D408" s="40">
        <v>6</v>
      </c>
      <c r="E408" s="329">
        <f>129/6</f>
        <v>21.5</v>
      </c>
      <c r="F408" s="48">
        <f t="shared" si="13"/>
        <v>129</v>
      </c>
    </row>
    <row r="409" spans="1:7" ht="14.4" x14ac:dyDescent="0.3">
      <c r="A409" s="324"/>
      <c r="B409" s="420" t="s">
        <v>483</v>
      </c>
      <c r="C409" s="328" t="s">
        <v>149</v>
      </c>
      <c r="E409" s="329">
        <v>17.52</v>
      </c>
      <c r="F409" s="48">
        <f t="shared" si="13"/>
        <v>0</v>
      </c>
    </row>
    <row r="410" spans="1:7" ht="14.4" x14ac:dyDescent="0.3">
      <c r="A410" s="324"/>
      <c r="B410" s="420" t="s">
        <v>970</v>
      </c>
      <c r="C410" s="419" t="s">
        <v>115</v>
      </c>
      <c r="D410" s="40">
        <v>4</v>
      </c>
      <c r="E410" s="329">
        <v>15</v>
      </c>
      <c r="F410" s="48">
        <f t="shared" si="13"/>
        <v>60</v>
      </c>
    </row>
    <row r="411" spans="1:7" ht="14.4" x14ac:dyDescent="0.3">
      <c r="A411" s="324"/>
      <c r="B411" s="324" t="s">
        <v>484</v>
      </c>
      <c r="C411" s="328" t="s">
        <v>115</v>
      </c>
      <c r="E411" s="329">
        <v>7.17</v>
      </c>
      <c r="F411" s="48">
        <f t="shared" si="13"/>
        <v>0</v>
      </c>
    </row>
    <row r="412" spans="1:7" ht="14.4" x14ac:dyDescent="0.3">
      <c r="A412" s="324"/>
      <c r="B412" s="324" t="s">
        <v>485</v>
      </c>
      <c r="C412" s="328" t="s">
        <v>115</v>
      </c>
      <c r="E412" s="329">
        <v>10.06</v>
      </c>
      <c r="F412" s="48">
        <f t="shared" si="13"/>
        <v>0</v>
      </c>
    </row>
    <row r="413" spans="1:7" ht="14.4" x14ac:dyDescent="0.3">
      <c r="A413" s="324"/>
      <c r="B413" s="420" t="s">
        <v>486</v>
      </c>
      <c r="C413" s="328" t="s">
        <v>149</v>
      </c>
      <c r="E413" s="329">
        <f>58.71/6</f>
        <v>9.7850000000000001</v>
      </c>
      <c r="F413" s="48">
        <f t="shared" si="13"/>
        <v>0</v>
      </c>
    </row>
    <row r="414" spans="1:7" ht="14.4" x14ac:dyDescent="0.3">
      <c r="A414" s="324"/>
      <c r="B414" s="324" t="s">
        <v>487</v>
      </c>
      <c r="C414" s="419" t="s">
        <v>115</v>
      </c>
      <c r="E414" s="329">
        <v>5.61</v>
      </c>
      <c r="F414" s="48">
        <f t="shared" ref="F414:F477" si="14">E414*D414</f>
        <v>0</v>
      </c>
    </row>
    <row r="415" spans="1:7" ht="14.4" x14ac:dyDescent="0.3">
      <c r="A415" s="324"/>
      <c r="B415" s="324" t="s">
        <v>488</v>
      </c>
      <c r="C415" s="328" t="s">
        <v>115</v>
      </c>
      <c r="E415" s="326">
        <v>1.4</v>
      </c>
      <c r="F415" s="48">
        <f t="shared" si="14"/>
        <v>0</v>
      </c>
    </row>
    <row r="416" spans="1:7" ht="14.4" x14ac:dyDescent="0.3">
      <c r="A416" s="324"/>
      <c r="B416" s="324" t="s">
        <v>489</v>
      </c>
      <c r="C416" s="328" t="s">
        <v>115</v>
      </c>
      <c r="E416" s="326">
        <v>1.38</v>
      </c>
      <c r="F416" s="48">
        <f t="shared" si="14"/>
        <v>0</v>
      </c>
    </row>
    <row r="417" spans="1:7" ht="14.4" x14ac:dyDescent="0.3">
      <c r="A417" s="324"/>
      <c r="B417" s="324" t="s">
        <v>490</v>
      </c>
      <c r="C417" s="328" t="s">
        <v>115</v>
      </c>
      <c r="E417" s="326">
        <v>1.32</v>
      </c>
      <c r="F417" s="48">
        <f t="shared" si="14"/>
        <v>0</v>
      </c>
    </row>
    <row r="418" spans="1:7" ht="14.4" x14ac:dyDescent="0.3">
      <c r="A418" s="324"/>
      <c r="B418" s="324" t="s">
        <v>491</v>
      </c>
      <c r="C418" s="328" t="s">
        <v>115</v>
      </c>
      <c r="E418" s="326">
        <v>1.24</v>
      </c>
      <c r="F418" s="48">
        <f t="shared" si="14"/>
        <v>0</v>
      </c>
    </row>
    <row r="419" spans="1:7" ht="14.4" x14ac:dyDescent="0.3">
      <c r="A419" s="324"/>
      <c r="B419" s="324"/>
      <c r="C419" s="328" t="s">
        <v>149</v>
      </c>
      <c r="E419" s="326">
        <v>5.0999999999999996</v>
      </c>
      <c r="F419" s="48">
        <f t="shared" si="14"/>
        <v>0</v>
      </c>
    </row>
    <row r="420" spans="1:7" ht="14.4" x14ac:dyDescent="0.3">
      <c r="A420" s="324"/>
      <c r="B420" s="420" t="s">
        <v>495</v>
      </c>
      <c r="C420" s="419" t="s">
        <v>971</v>
      </c>
      <c r="E420" s="326">
        <v>14.31</v>
      </c>
      <c r="F420" s="48">
        <f t="shared" si="14"/>
        <v>0</v>
      </c>
      <c r="G420" s="326"/>
    </row>
    <row r="421" spans="1:7" ht="14.4" x14ac:dyDescent="0.3">
      <c r="A421" s="324"/>
      <c r="B421" s="420" t="s">
        <v>496</v>
      </c>
      <c r="C421" s="328" t="s">
        <v>115</v>
      </c>
      <c r="E421" s="326">
        <v>7.17</v>
      </c>
      <c r="F421" s="48">
        <f t="shared" si="14"/>
        <v>0</v>
      </c>
      <c r="G421" s="326"/>
    </row>
    <row r="422" spans="1:7" ht="14.4" x14ac:dyDescent="0.3">
      <c r="A422" s="324"/>
      <c r="B422" s="420" t="s">
        <v>497</v>
      </c>
      <c r="C422" s="328" t="s">
        <v>115</v>
      </c>
      <c r="E422" s="326">
        <v>3.76</v>
      </c>
      <c r="F422" s="48">
        <f t="shared" si="14"/>
        <v>0</v>
      </c>
      <c r="G422" s="326"/>
    </row>
    <row r="423" spans="1:7" ht="14.4" x14ac:dyDescent="0.3">
      <c r="A423" s="324"/>
      <c r="B423" s="420"/>
      <c r="C423" s="328"/>
      <c r="E423" s="326"/>
      <c r="F423" s="48">
        <f t="shared" si="14"/>
        <v>0</v>
      </c>
    </row>
    <row r="424" spans="1:7" ht="14.4" x14ac:dyDescent="0.3">
      <c r="A424" s="324"/>
      <c r="B424" s="324"/>
      <c r="C424" s="328"/>
      <c r="E424" s="326"/>
      <c r="F424" s="48">
        <f t="shared" si="14"/>
        <v>0</v>
      </c>
    </row>
    <row r="425" spans="1:7" ht="14.4" x14ac:dyDescent="0.3">
      <c r="A425" s="324"/>
      <c r="B425" s="324"/>
      <c r="C425" s="328"/>
      <c r="E425" s="326"/>
      <c r="F425" s="48">
        <f t="shared" si="14"/>
        <v>0</v>
      </c>
    </row>
    <row r="426" spans="1:7" ht="14.4" x14ac:dyDescent="0.3">
      <c r="A426" s="324"/>
      <c r="B426" s="324"/>
      <c r="C426" s="328"/>
      <c r="E426" s="326"/>
      <c r="F426" s="48">
        <f t="shared" si="14"/>
        <v>0</v>
      </c>
    </row>
    <row r="427" spans="1:7" ht="14.4" x14ac:dyDescent="0.3">
      <c r="A427" s="420" t="s">
        <v>498</v>
      </c>
      <c r="B427" s="324"/>
      <c r="C427" s="328"/>
      <c r="E427" s="326"/>
      <c r="F427" s="48">
        <f t="shared" si="14"/>
        <v>0</v>
      </c>
    </row>
    <row r="428" spans="1:7" ht="14.4" x14ac:dyDescent="0.3">
      <c r="A428" s="324"/>
      <c r="B428" s="324" t="s">
        <v>499</v>
      </c>
      <c r="C428" s="328"/>
      <c r="E428" s="326"/>
      <c r="F428" s="48">
        <f t="shared" si="14"/>
        <v>0</v>
      </c>
    </row>
    <row r="429" spans="1:7" ht="14.4" x14ac:dyDescent="0.3">
      <c r="A429" s="324"/>
      <c r="B429" s="324" t="s">
        <v>500</v>
      </c>
      <c r="C429" s="328" t="s">
        <v>115</v>
      </c>
      <c r="E429" s="326">
        <v>13.5</v>
      </c>
      <c r="F429" s="48">
        <f t="shared" si="14"/>
        <v>0</v>
      </c>
    </row>
    <row r="430" spans="1:7" ht="14.4" x14ac:dyDescent="0.3">
      <c r="A430" s="324"/>
      <c r="B430" s="324" t="s">
        <v>501</v>
      </c>
      <c r="C430" s="328" t="s">
        <v>115</v>
      </c>
      <c r="E430" s="326">
        <v>13.5</v>
      </c>
      <c r="F430" s="48">
        <f t="shared" si="14"/>
        <v>0</v>
      </c>
    </row>
    <row r="431" spans="1:7" ht="14.4" x14ac:dyDescent="0.3">
      <c r="A431" s="324"/>
      <c r="B431" s="324" t="s">
        <v>502</v>
      </c>
      <c r="C431" s="328" t="s">
        <v>115</v>
      </c>
      <c r="E431" s="326">
        <v>9.5</v>
      </c>
      <c r="F431" s="48">
        <f t="shared" si="14"/>
        <v>0</v>
      </c>
    </row>
    <row r="432" spans="1:7" ht="14.4" x14ac:dyDescent="0.3">
      <c r="A432" s="324"/>
      <c r="B432" s="324" t="s">
        <v>503</v>
      </c>
      <c r="C432" s="328" t="s">
        <v>115</v>
      </c>
      <c r="E432" s="326">
        <v>18.5</v>
      </c>
      <c r="F432" s="48">
        <f t="shared" si="14"/>
        <v>0</v>
      </c>
    </row>
    <row r="433" spans="1:6" ht="14.4" x14ac:dyDescent="0.3">
      <c r="A433" s="324"/>
      <c r="B433" s="324" t="s">
        <v>504</v>
      </c>
      <c r="C433" s="328" t="s">
        <v>115</v>
      </c>
      <c r="E433" s="326">
        <v>18.5</v>
      </c>
      <c r="F433" s="48">
        <f t="shared" si="14"/>
        <v>0</v>
      </c>
    </row>
    <row r="434" spans="1:6" ht="14.4" x14ac:dyDescent="0.3">
      <c r="A434" s="324"/>
      <c r="B434" s="324" t="s">
        <v>505</v>
      </c>
      <c r="C434" s="328" t="s">
        <v>115</v>
      </c>
      <c r="E434" s="326">
        <v>6</v>
      </c>
      <c r="F434" s="48">
        <f t="shared" si="14"/>
        <v>0</v>
      </c>
    </row>
    <row r="435" spans="1:6" ht="14.4" x14ac:dyDescent="0.3">
      <c r="A435" s="324"/>
      <c r="B435" s="324" t="s">
        <v>506</v>
      </c>
      <c r="C435" s="328" t="s">
        <v>115</v>
      </c>
      <c r="E435" s="326">
        <v>5.5</v>
      </c>
      <c r="F435" s="48">
        <f t="shared" si="14"/>
        <v>0</v>
      </c>
    </row>
    <row r="436" spans="1:6" ht="14.4" x14ac:dyDescent="0.3">
      <c r="A436" s="324"/>
      <c r="B436" s="324" t="s">
        <v>507</v>
      </c>
      <c r="C436" s="328" t="s">
        <v>115</v>
      </c>
      <c r="E436" s="326">
        <v>17.5</v>
      </c>
      <c r="F436" s="48">
        <f t="shared" si="14"/>
        <v>0</v>
      </c>
    </row>
    <row r="437" spans="1:6" ht="14.4" x14ac:dyDescent="0.3">
      <c r="A437" s="324"/>
      <c r="B437" s="324" t="s">
        <v>508</v>
      </c>
      <c r="C437" s="328" t="s">
        <v>115</v>
      </c>
      <c r="E437" s="326">
        <v>16.5</v>
      </c>
      <c r="F437" s="48">
        <f t="shared" si="14"/>
        <v>0</v>
      </c>
    </row>
    <row r="438" spans="1:6" ht="14.4" x14ac:dyDescent="0.3">
      <c r="A438" s="324"/>
      <c r="B438" s="324" t="s">
        <v>509</v>
      </c>
      <c r="C438" s="328" t="s">
        <v>115</v>
      </c>
      <c r="E438" s="326">
        <v>2.5</v>
      </c>
      <c r="F438" s="48">
        <f t="shared" si="14"/>
        <v>0</v>
      </c>
    </row>
    <row r="439" spans="1:6" ht="14.4" x14ac:dyDescent="0.3">
      <c r="A439" s="324"/>
      <c r="B439" s="324" t="s">
        <v>510</v>
      </c>
      <c r="C439" s="328" t="s">
        <v>115</v>
      </c>
      <c r="E439" s="326">
        <v>43.5</v>
      </c>
      <c r="F439" s="48">
        <f t="shared" si="14"/>
        <v>0</v>
      </c>
    </row>
    <row r="440" spans="1:6" ht="14.4" x14ac:dyDescent="0.3">
      <c r="A440" s="324"/>
      <c r="B440" s="324" t="s">
        <v>511</v>
      </c>
      <c r="C440" s="328" t="s">
        <v>115</v>
      </c>
      <c r="E440" s="326">
        <v>43.5</v>
      </c>
      <c r="F440" s="48">
        <f t="shared" si="14"/>
        <v>0</v>
      </c>
    </row>
    <row r="441" spans="1:6" ht="14.4" x14ac:dyDescent="0.3">
      <c r="A441" s="324"/>
      <c r="B441" s="324" t="s">
        <v>512</v>
      </c>
      <c r="C441" s="328" t="s">
        <v>115</v>
      </c>
      <c r="E441" s="326">
        <v>45.5</v>
      </c>
      <c r="F441" s="48">
        <f t="shared" si="14"/>
        <v>0</v>
      </c>
    </row>
    <row r="442" spans="1:6" ht="14.4" x14ac:dyDescent="0.3">
      <c r="A442" s="324"/>
      <c r="B442" s="324" t="s">
        <v>513</v>
      </c>
      <c r="C442" s="328" t="s">
        <v>115</v>
      </c>
      <c r="E442" s="326">
        <v>76</v>
      </c>
      <c r="F442" s="48">
        <f t="shared" si="14"/>
        <v>0</v>
      </c>
    </row>
    <row r="443" spans="1:6" ht="14.4" x14ac:dyDescent="0.3">
      <c r="A443" s="324"/>
      <c r="B443" s="324" t="s">
        <v>514</v>
      </c>
      <c r="C443" s="328" t="s">
        <v>115</v>
      </c>
      <c r="E443" s="326">
        <v>11.5</v>
      </c>
      <c r="F443" s="48">
        <f t="shared" si="14"/>
        <v>0</v>
      </c>
    </row>
    <row r="444" spans="1:6" ht="14.4" x14ac:dyDescent="0.3">
      <c r="A444" s="324"/>
      <c r="B444" s="324" t="s">
        <v>515</v>
      </c>
      <c r="C444" s="328" t="s">
        <v>115</v>
      </c>
      <c r="E444" s="326">
        <v>11.5</v>
      </c>
      <c r="F444" s="48">
        <f t="shared" si="14"/>
        <v>0</v>
      </c>
    </row>
    <row r="445" spans="1:6" ht="14.4" x14ac:dyDescent="0.3">
      <c r="A445" s="324"/>
      <c r="B445" s="324" t="s">
        <v>516</v>
      </c>
      <c r="C445" s="328" t="s">
        <v>115</v>
      </c>
      <c r="E445" s="326">
        <v>12</v>
      </c>
      <c r="F445" s="48">
        <f t="shared" si="14"/>
        <v>0</v>
      </c>
    </row>
    <row r="446" spans="1:6" ht="14.4" x14ac:dyDescent="0.3">
      <c r="A446" s="324"/>
      <c r="B446" s="324" t="s">
        <v>517</v>
      </c>
      <c r="C446" s="328" t="s">
        <v>115</v>
      </c>
      <c r="E446" s="326">
        <v>18.5</v>
      </c>
      <c r="F446" s="48">
        <f t="shared" si="14"/>
        <v>0</v>
      </c>
    </row>
    <row r="447" spans="1:6" ht="14.4" x14ac:dyDescent="0.3">
      <c r="A447" s="324"/>
      <c r="B447" s="324" t="s">
        <v>518</v>
      </c>
      <c r="C447" s="328" t="s">
        <v>115</v>
      </c>
      <c r="E447" s="326">
        <v>19.5</v>
      </c>
      <c r="F447" s="48">
        <f t="shared" si="14"/>
        <v>0</v>
      </c>
    </row>
    <row r="448" spans="1:6" ht="14.4" x14ac:dyDescent="0.3">
      <c r="A448" s="324"/>
      <c r="B448" s="324" t="s">
        <v>519</v>
      </c>
      <c r="C448" s="328" t="s">
        <v>115</v>
      </c>
      <c r="E448" s="326">
        <v>4.5</v>
      </c>
      <c r="F448" s="48">
        <f t="shared" si="14"/>
        <v>0</v>
      </c>
    </row>
    <row r="449" spans="1:6" ht="14.4" x14ac:dyDescent="0.3">
      <c r="A449" s="324"/>
      <c r="B449" s="324" t="s">
        <v>520</v>
      </c>
      <c r="C449" s="328" t="s">
        <v>115</v>
      </c>
      <c r="E449" s="326">
        <v>10.5</v>
      </c>
      <c r="F449" s="48">
        <f t="shared" si="14"/>
        <v>0</v>
      </c>
    </row>
    <row r="450" spans="1:6" ht="14.4" x14ac:dyDescent="0.3">
      <c r="A450" s="324"/>
      <c r="B450" s="324" t="s">
        <v>521</v>
      </c>
      <c r="C450" s="328" t="s">
        <v>115</v>
      </c>
      <c r="E450" s="326">
        <v>14.5</v>
      </c>
      <c r="F450" s="48">
        <f t="shared" si="14"/>
        <v>0</v>
      </c>
    </row>
    <row r="451" spans="1:6" ht="14.4" x14ac:dyDescent="0.3">
      <c r="A451" s="324"/>
      <c r="B451" s="324" t="s">
        <v>522</v>
      </c>
      <c r="C451" s="328" t="s">
        <v>115</v>
      </c>
      <c r="E451" s="326">
        <v>28.5</v>
      </c>
      <c r="F451" s="48">
        <f t="shared" si="14"/>
        <v>0</v>
      </c>
    </row>
    <row r="452" spans="1:6" ht="14.4" x14ac:dyDescent="0.3">
      <c r="A452" s="324"/>
      <c r="B452" s="324" t="s">
        <v>523</v>
      </c>
      <c r="C452" s="328" t="s">
        <v>115</v>
      </c>
      <c r="E452" s="326">
        <v>29.5</v>
      </c>
      <c r="F452" s="48">
        <f t="shared" si="14"/>
        <v>0</v>
      </c>
    </row>
    <row r="453" spans="1:6" ht="14.4" x14ac:dyDescent="0.3">
      <c r="A453" s="324"/>
      <c r="B453" s="324" t="s">
        <v>524</v>
      </c>
      <c r="C453" s="328" t="s">
        <v>115</v>
      </c>
      <c r="E453" s="326">
        <v>36</v>
      </c>
      <c r="F453" s="48">
        <f t="shared" si="14"/>
        <v>0</v>
      </c>
    </row>
    <row r="454" spans="1:6" ht="14.4" x14ac:dyDescent="0.3">
      <c r="A454" s="324"/>
      <c r="B454" s="324" t="s">
        <v>525</v>
      </c>
      <c r="C454" s="328" t="s">
        <v>115</v>
      </c>
      <c r="E454" s="326">
        <v>54</v>
      </c>
      <c r="F454" s="48">
        <f t="shared" si="14"/>
        <v>0</v>
      </c>
    </row>
    <row r="455" spans="1:6" ht="14.4" x14ac:dyDescent="0.3">
      <c r="A455" s="324"/>
      <c r="B455" s="324" t="s">
        <v>526</v>
      </c>
      <c r="C455" s="328" t="s">
        <v>115</v>
      </c>
      <c r="E455" s="326">
        <v>10.5</v>
      </c>
      <c r="F455" s="48">
        <f t="shared" si="14"/>
        <v>0</v>
      </c>
    </row>
    <row r="456" spans="1:6" ht="14.4" x14ac:dyDescent="0.3">
      <c r="A456" s="324"/>
      <c r="B456" s="324" t="s">
        <v>527</v>
      </c>
      <c r="C456" s="328" t="s">
        <v>115</v>
      </c>
      <c r="E456" s="326">
        <v>10</v>
      </c>
      <c r="F456" s="48">
        <f t="shared" si="14"/>
        <v>0</v>
      </c>
    </row>
    <row r="457" spans="1:6" ht="14.4" x14ac:dyDescent="0.3">
      <c r="A457" s="324"/>
      <c r="B457" s="324" t="s">
        <v>528</v>
      </c>
      <c r="C457" s="328" t="s">
        <v>115</v>
      </c>
      <c r="E457" s="326">
        <v>5.5</v>
      </c>
      <c r="F457" s="48">
        <f t="shared" si="14"/>
        <v>0</v>
      </c>
    </row>
    <row r="458" spans="1:6" ht="14.4" x14ac:dyDescent="0.3">
      <c r="A458" s="324"/>
      <c r="B458" s="324" t="s">
        <v>529</v>
      </c>
      <c r="C458" s="328" t="s">
        <v>115</v>
      </c>
      <c r="E458" s="326">
        <v>18</v>
      </c>
      <c r="F458" s="48">
        <f t="shared" si="14"/>
        <v>0</v>
      </c>
    </row>
    <row r="459" spans="1:6" ht="14.4" x14ac:dyDescent="0.3">
      <c r="A459" s="324"/>
      <c r="B459" s="324" t="s">
        <v>530</v>
      </c>
      <c r="C459" s="328" t="s">
        <v>115</v>
      </c>
      <c r="E459" s="326">
        <v>4.5</v>
      </c>
      <c r="F459" s="48">
        <f t="shared" si="14"/>
        <v>0</v>
      </c>
    </row>
    <row r="460" spans="1:6" ht="14.4" x14ac:dyDescent="0.3">
      <c r="A460" s="324"/>
      <c r="B460" s="324" t="s">
        <v>531</v>
      </c>
      <c r="C460" s="328" t="s">
        <v>115</v>
      </c>
      <c r="E460" s="326">
        <v>6.5</v>
      </c>
      <c r="F460" s="48">
        <f t="shared" si="14"/>
        <v>0</v>
      </c>
    </row>
    <row r="461" spans="1:6" ht="14.4" x14ac:dyDescent="0.3">
      <c r="A461" s="324"/>
      <c r="B461" s="324" t="s">
        <v>532</v>
      </c>
      <c r="C461" s="328" t="s">
        <v>115</v>
      </c>
      <c r="E461" s="326">
        <v>25.5</v>
      </c>
      <c r="F461" s="48">
        <f t="shared" si="14"/>
        <v>0</v>
      </c>
    </row>
    <row r="462" spans="1:6" ht="14.4" x14ac:dyDescent="0.3">
      <c r="A462" s="324"/>
      <c r="B462" s="324" t="s">
        <v>533</v>
      </c>
      <c r="C462" s="328" t="s">
        <v>115</v>
      </c>
      <c r="E462" s="326">
        <v>22.5</v>
      </c>
      <c r="F462" s="48">
        <f t="shared" si="14"/>
        <v>0</v>
      </c>
    </row>
    <row r="463" spans="1:6" ht="14.4" x14ac:dyDescent="0.3">
      <c r="A463" s="324"/>
      <c r="B463" s="324" t="s">
        <v>534</v>
      </c>
      <c r="C463" s="328" t="s">
        <v>115</v>
      </c>
      <c r="E463" s="326">
        <v>8.5</v>
      </c>
      <c r="F463" s="48">
        <f t="shared" si="14"/>
        <v>0</v>
      </c>
    </row>
    <row r="464" spans="1:6" ht="14.4" x14ac:dyDescent="0.3">
      <c r="A464" s="324"/>
      <c r="B464" s="324" t="s">
        <v>535</v>
      </c>
      <c r="C464" s="328" t="s">
        <v>115</v>
      </c>
      <c r="E464" s="326">
        <v>6.5</v>
      </c>
      <c r="F464" s="48">
        <f t="shared" si="14"/>
        <v>0</v>
      </c>
    </row>
    <row r="465" spans="1:6" ht="14.4" x14ac:dyDescent="0.3">
      <c r="A465" s="324"/>
      <c r="B465" s="324" t="s">
        <v>536</v>
      </c>
      <c r="C465" s="328" t="s">
        <v>115</v>
      </c>
      <c r="E465" s="326">
        <v>10.5</v>
      </c>
      <c r="F465" s="48">
        <f t="shared" si="14"/>
        <v>0</v>
      </c>
    </row>
    <row r="466" spans="1:6" ht="14.4" x14ac:dyDescent="0.3">
      <c r="A466" s="324"/>
      <c r="B466" s="324" t="s">
        <v>537</v>
      </c>
      <c r="C466" s="328" t="s">
        <v>115</v>
      </c>
      <c r="E466" s="326">
        <v>0</v>
      </c>
      <c r="F466" s="48">
        <f t="shared" si="14"/>
        <v>0</v>
      </c>
    </row>
    <row r="467" spans="1:6" ht="14.4" x14ac:dyDescent="0.3">
      <c r="A467" s="324"/>
      <c r="B467" s="324" t="s">
        <v>538</v>
      </c>
      <c r="C467" s="328" t="s">
        <v>115</v>
      </c>
      <c r="E467" s="326">
        <v>4.5</v>
      </c>
      <c r="F467" s="48">
        <f t="shared" si="14"/>
        <v>0</v>
      </c>
    </row>
    <row r="468" spans="1:6" ht="14.4" x14ac:dyDescent="0.3">
      <c r="A468" s="324"/>
      <c r="B468" s="324" t="s">
        <v>539</v>
      </c>
      <c r="C468" s="328" t="s">
        <v>115</v>
      </c>
      <c r="E468" s="326">
        <v>4</v>
      </c>
      <c r="F468" s="48">
        <f t="shared" si="14"/>
        <v>0</v>
      </c>
    </row>
    <row r="469" spans="1:6" ht="14.4" x14ac:dyDescent="0.3">
      <c r="A469" s="324"/>
      <c r="B469" s="324" t="s">
        <v>540</v>
      </c>
      <c r="C469" s="328" t="s">
        <v>115</v>
      </c>
      <c r="E469" s="326">
        <v>17</v>
      </c>
      <c r="F469" s="48">
        <f t="shared" si="14"/>
        <v>0</v>
      </c>
    </row>
    <row r="470" spans="1:6" ht="14.4" x14ac:dyDescent="0.3">
      <c r="A470" s="324"/>
      <c r="B470" s="324" t="s">
        <v>541</v>
      </c>
      <c r="C470" s="328" t="s">
        <v>115</v>
      </c>
      <c r="E470" s="326">
        <v>17.5</v>
      </c>
      <c r="F470" s="48">
        <f t="shared" si="14"/>
        <v>0</v>
      </c>
    </row>
    <row r="471" spans="1:6" ht="14.4" x14ac:dyDescent="0.3">
      <c r="A471" s="324"/>
      <c r="B471" s="324" t="s">
        <v>542</v>
      </c>
      <c r="C471" s="328" t="s">
        <v>115</v>
      </c>
      <c r="E471" s="326">
        <v>4.5</v>
      </c>
      <c r="F471" s="48">
        <f t="shared" si="14"/>
        <v>0</v>
      </c>
    </row>
    <row r="472" spans="1:6" ht="14.4" x14ac:dyDescent="0.3">
      <c r="A472" s="324"/>
      <c r="B472" s="324" t="s">
        <v>543</v>
      </c>
      <c r="C472" s="328" t="s">
        <v>115</v>
      </c>
      <c r="E472" s="326">
        <v>2</v>
      </c>
      <c r="F472" s="48">
        <f t="shared" si="14"/>
        <v>0</v>
      </c>
    </row>
    <row r="473" spans="1:6" ht="14.4" x14ac:dyDescent="0.3">
      <c r="A473" s="324"/>
      <c r="B473" s="324" t="s">
        <v>544</v>
      </c>
      <c r="C473" s="328" t="s">
        <v>115</v>
      </c>
      <c r="E473" s="326">
        <v>8.5</v>
      </c>
      <c r="F473" s="48">
        <f t="shared" si="14"/>
        <v>0</v>
      </c>
    </row>
    <row r="474" spans="1:6" ht="14.4" x14ac:dyDescent="0.3">
      <c r="A474" s="420" t="s">
        <v>498</v>
      </c>
      <c r="B474" s="324"/>
      <c r="C474" s="328" t="s">
        <v>115</v>
      </c>
      <c r="E474" s="326">
        <v>4</v>
      </c>
      <c r="F474" s="48">
        <f t="shared" si="14"/>
        <v>0</v>
      </c>
    </row>
    <row r="475" spans="1:6" ht="14.4" x14ac:dyDescent="0.3">
      <c r="A475" s="324"/>
      <c r="B475" s="324" t="s">
        <v>545</v>
      </c>
      <c r="C475" s="328"/>
      <c r="E475" s="326"/>
      <c r="F475" s="48">
        <f t="shared" si="14"/>
        <v>0</v>
      </c>
    </row>
    <row r="476" spans="1:6" ht="14.4" x14ac:dyDescent="0.3">
      <c r="A476" s="324"/>
      <c r="B476" s="324" t="s">
        <v>546</v>
      </c>
      <c r="C476" s="328" t="s">
        <v>115</v>
      </c>
      <c r="E476" s="326">
        <v>137</v>
      </c>
      <c r="F476" s="48">
        <f t="shared" si="14"/>
        <v>0</v>
      </c>
    </row>
    <row r="477" spans="1:6" ht="14.4" x14ac:dyDescent="0.3">
      <c r="A477" s="324"/>
      <c r="B477" s="324" t="s">
        <v>547</v>
      </c>
      <c r="C477" s="328" t="s">
        <v>115</v>
      </c>
      <c r="E477" s="326">
        <v>139.5</v>
      </c>
      <c r="F477" s="48">
        <f t="shared" si="14"/>
        <v>0</v>
      </c>
    </row>
    <row r="478" spans="1:6" ht="14.4" x14ac:dyDescent="0.3">
      <c r="A478" s="324"/>
      <c r="B478" s="324" t="s">
        <v>548</v>
      </c>
      <c r="C478" s="328" t="s">
        <v>115</v>
      </c>
      <c r="E478" s="326">
        <v>183</v>
      </c>
      <c r="F478" s="48">
        <f t="shared" ref="F478:F541" si="15">E478*D478</f>
        <v>0</v>
      </c>
    </row>
    <row r="479" spans="1:6" ht="14.4" x14ac:dyDescent="0.3">
      <c r="A479" s="324"/>
      <c r="B479" s="324" t="s">
        <v>549</v>
      </c>
      <c r="C479" s="328" t="s">
        <v>115</v>
      </c>
      <c r="E479" s="326">
        <v>184.5</v>
      </c>
      <c r="F479" s="48">
        <f t="shared" si="15"/>
        <v>0</v>
      </c>
    </row>
    <row r="480" spans="1:6" ht="14.4" x14ac:dyDescent="0.3">
      <c r="A480" s="324"/>
      <c r="B480" s="324" t="s">
        <v>550</v>
      </c>
      <c r="C480" s="328" t="s">
        <v>115</v>
      </c>
      <c r="E480" s="326">
        <v>56</v>
      </c>
      <c r="F480" s="48">
        <f t="shared" si="15"/>
        <v>0</v>
      </c>
    </row>
    <row r="481" spans="1:6" ht="14.4" x14ac:dyDescent="0.3">
      <c r="A481" s="324"/>
      <c r="B481" s="324" t="s">
        <v>551</v>
      </c>
      <c r="C481" s="328" t="s">
        <v>115</v>
      </c>
      <c r="E481" s="326">
        <v>103</v>
      </c>
      <c r="F481" s="48">
        <f t="shared" si="15"/>
        <v>0</v>
      </c>
    </row>
    <row r="482" spans="1:6" ht="14.4" x14ac:dyDescent="0.3">
      <c r="A482" s="324"/>
      <c r="B482" s="324" t="s">
        <v>552</v>
      </c>
      <c r="C482" s="328" t="s">
        <v>115</v>
      </c>
      <c r="E482" s="326">
        <v>95</v>
      </c>
      <c r="F482" s="48">
        <f t="shared" si="15"/>
        <v>0</v>
      </c>
    </row>
    <row r="483" spans="1:6" ht="14.4" x14ac:dyDescent="0.3">
      <c r="A483" s="324"/>
      <c r="B483" s="421" t="s">
        <v>558</v>
      </c>
      <c r="C483" s="397" t="s">
        <v>115</v>
      </c>
      <c r="D483" s="398">
        <v>5</v>
      </c>
      <c r="E483" s="399">
        <v>45.02</v>
      </c>
      <c r="F483" s="400">
        <f t="shared" si="15"/>
        <v>225.10000000000002</v>
      </c>
    </row>
    <row r="484" spans="1:6" ht="14.4" x14ac:dyDescent="0.3">
      <c r="A484" s="324"/>
      <c r="B484" s="324" t="s">
        <v>559</v>
      </c>
      <c r="C484" s="328" t="s">
        <v>115</v>
      </c>
      <c r="E484" s="326">
        <v>33.5</v>
      </c>
      <c r="F484" s="48">
        <f t="shared" si="15"/>
        <v>0</v>
      </c>
    </row>
    <row r="485" spans="1:6" ht="14.4" x14ac:dyDescent="0.3">
      <c r="A485" s="324"/>
      <c r="B485" s="420" t="s">
        <v>560</v>
      </c>
      <c r="C485" s="328" t="s">
        <v>115</v>
      </c>
      <c r="E485" s="326">
        <v>33</v>
      </c>
      <c r="F485" s="48">
        <f t="shared" si="15"/>
        <v>0</v>
      </c>
    </row>
    <row r="486" spans="1:6" ht="14.4" x14ac:dyDescent="0.3">
      <c r="A486" s="324"/>
      <c r="B486" s="324" t="s">
        <v>561</v>
      </c>
      <c r="C486" s="328" t="s">
        <v>115</v>
      </c>
      <c r="E486" s="326">
        <v>60.5</v>
      </c>
      <c r="F486" s="48">
        <f t="shared" si="15"/>
        <v>0</v>
      </c>
    </row>
    <row r="487" spans="1:6" ht="14.4" x14ac:dyDescent="0.3">
      <c r="A487" s="324"/>
      <c r="B487" s="324" t="s">
        <v>562</v>
      </c>
      <c r="C487" s="328" t="s">
        <v>115</v>
      </c>
      <c r="E487" s="326">
        <v>61</v>
      </c>
      <c r="F487" s="48">
        <f t="shared" si="15"/>
        <v>0</v>
      </c>
    </row>
    <row r="488" spans="1:6" ht="14.4" x14ac:dyDescent="0.3">
      <c r="A488" s="324"/>
      <c r="B488" s="324" t="s">
        <v>563</v>
      </c>
      <c r="C488" s="328" t="s">
        <v>115</v>
      </c>
      <c r="E488" s="326">
        <v>65</v>
      </c>
      <c r="F488" s="48">
        <f t="shared" si="15"/>
        <v>0</v>
      </c>
    </row>
    <row r="489" spans="1:6" ht="14.4" x14ac:dyDescent="0.3">
      <c r="A489" s="324"/>
      <c r="B489" s="324" t="s">
        <v>564</v>
      </c>
      <c r="C489" s="328" t="s">
        <v>115</v>
      </c>
      <c r="E489" s="326">
        <v>65</v>
      </c>
      <c r="F489" s="48">
        <f t="shared" si="15"/>
        <v>0</v>
      </c>
    </row>
    <row r="490" spans="1:6" ht="14.4" x14ac:dyDescent="0.3">
      <c r="A490" s="324"/>
      <c r="B490" s="324" t="s">
        <v>565</v>
      </c>
      <c r="C490" s="328" t="s">
        <v>115</v>
      </c>
      <c r="E490" s="326">
        <v>65</v>
      </c>
      <c r="F490" s="48">
        <f t="shared" si="15"/>
        <v>0</v>
      </c>
    </row>
    <row r="491" spans="1:6" ht="14.4" x14ac:dyDescent="0.3">
      <c r="A491" s="324"/>
      <c r="B491" s="324" t="s">
        <v>566</v>
      </c>
      <c r="C491" s="328" t="s">
        <v>115</v>
      </c>
      <c r="E491" s="326">
        <v>65</v>
      </c>
      <c r="F491" s="48">
        <f t="shared" si="15"/>
        <v>0</v>
      </c>
    </row>
    <row r="492" spans="1:6" ht="14.4" x14ac:dyDescent="0.3">
      <c r="A492" s="324"/>
      <c r="B492" s="324" t="s">
        <v>567</v>
      </c>
      <c r="C492" s="328" t="s">
        <v>115</v>
      </c>
      <c r="E492" s="326">
        <v>45</v>
      </c>
      <c r="F492" s="48">
        <f t="shared" si="15"/>
        <v>0</v>
      </c>
    </row>
    <row r="493" spans="1:6" ht="14.4" x14ac:dyDescent="0.3">
      <c r="A493" s="324"/>
      <c r="B493" s="324" t="s">
        <v>568</v>
      </c>
      <c r="C493" s="328" t="s">
        <v>115</v>
      </c>
      <c r="E493" s="326">
        <v>55</v>
      </c>
      <c r="F493" s="48">
        <f t="shared" si="15"/>
        <v>0</v>
      </c>
    </row>
    <row r="494" spans="1:6" ht="14.4" x14ac:dyDescent="0.3">
      <c r="A494" s="324"/>
      <c r="B494" s="420" t="s">
        <v>569</v>
      </c>
      <c r="C494" s="328" t="s">
        <v>115</v>
      </c>
      <c r="E494" s="326">
        <v>55</v>
      </c>
      <c r="F494" s="48">
        <f t="shared" si="15"/>
        <v>0</v>
      </c>
    </row>
    <row r="495" spans="1:6" ht="14.4" x14ac:dyDescent="0.3">
      <c r="A495" s="324"/>
      <c r="B495" s="324" t="s">
        <v>570</v>
      </c>
      <c r="C495" s="328" t="s">
        <v>115</v>
      </c>
      <c r="E495" s="326">
        <v>21.5</v>
      </c>
      <c r="F495" s="48">
        <f t="shared" si="15"/>
        <v>0</v>
      </c>
    </row>
    <row r="496" spans="1:6" ht="14.4" x14ac:dyDescent="0.3">
      <c r="A496" s="324"/>
      <c r="B496" s="324" t="s">
        <v>571</v>
      </c>
      <c r="C496" s="328" t="s">
        <v>115</v>
      </c>
      <c r="E496" s="326">
        <v>25</v>
      </c>
      <c r="F496" s="48">
        <f t="shared" si="15"/>
        <v>0</v>
      </c>
    </row>
    <row r="497" spans="1:6" ht="14.4" x14ac:dyDescent="0.3">
      <c r="A497" s="324"/>
      <c r="B497" s="324" t="s">
        <v>572</v>
      </c>
      <c r="C497" s="328" t="s">
        <v>115</v>
      </c>
      <c r="E497" s="326">
        <v>22</v>
      </c>
      <c r="F497" s="48">
        <f t="shared" si="15"/>
        <v>0</v>
      </c>
    </row>
    <row r="498" spans="1:6" ht="14.4" x14ac:dyDescent="0.3">
      <c r="A498" s="324"/>
      <c r="B498" s="324" t="s">
        <v>573</v>
      </c>
      <c r="C498" s="328" t="s">
        <v>115</v>
      </c>
      <c r="E498" s="326">
        <v>22</v>
      </c>
      <c r="F498" s="48">
        <f t="shared" si="15"/>
        <v>0</v>
      </c>
    </row>
    <row r="499" spans="1:6" ht="14.4" x14ac:dyDescent="0.3">
      <c r="A499" s="324"/>
      <c r="B499" s="324" t="s">
        <v>574</v>
      </c>
      <c r="C499" s="328" t="s">
        <v>115</v>
      </c>
      <c r="E499" s="326">
        <v>22</v>
      </c>
      <c r="F499" s="48">
        <f t="shared" si="15"/>
        <v>0</v>
      </c>
    </row>
    <row r="500" spans="1:6" ht="14.4" x14ac:dyDescent="0.3">
      <c r="A500" s="324"/>
      <c r="B500" s="324" t="s">
        <v>575</v>
      </c>
      <c r="C500" s="328" t="s">
        <v>115</v>
      </c>
      <c r="E500" s="326">
        <v>78</v>
      </c>
      <c r="F500" s="48">
        <f t="shared" si="15"/>
        <v>0</v>
      </c>
    </row>
    <row r="501" spans="1:6" ht="14.4" x14ac:dyDescent="0.3">
      <c r="A501" s="324"/>
      <c r="B501" s="324" t="s">
        <v>576</v>
      </c>
      <c r="C501" s="328" t="s">
        <v>115</v>
      </c>
      <c r="E501" s="326">
        <v>89</v>
      </c>
      <c r="F501" s="48">
        <f t="shared" si="15"/>
        <v>0</v>
      </c>
    </row>
    <row r="502" spans="1:6" ht="14.4" x14ac:dyDescent="0.3">
      <c r="A502" s="324"/>
      <c r="B502" s="324" t="s">
        <v>577</v>
      </c>
      <c r="C502" s="328" t="s">
        <v>115</v>
      </c>
      <c r="E502" s="326">
        <v>21</v>
      </c>
      <c r="F502" s="48">
        <f t="shared" si="15"/>
        <v>0</v>
      </c>
    </row>
    <row r="503" spans="1:6" ht="14.4" x14ac:dyDescent="0.3">
      <c r="A503" s="324"/>
      <c r="B503" s="324" t="s">
        <v>578</v>
      </c>
      <c r="C503" s="328" t="s">
        <v>115</v>
      </c>
      <c r="E503" s="326">
        <v>21</v>
      </c>
      <c r="F503" s="48">
        <f t="shared" si="15"/>
        <v>0</v>
      </c>
    </row>
    <row r="504" spans="1:6" ht="14.4" x14ac:dyDescent="0.3">
      <c r="A504" s="324"/>
      <c r="B504" s="324" t="s">
        <v>579</v>
      </c>
      <c r="C504" s="328" t="s">
        <v>115</v>
      </c>
      <c r="E504" s="326">
        <v>0</v>
      </c>
      <c r="F504" s="48">
        <f t="shared" si="15"/>
        <v>0</v>
      </c>
    </row>
    <row r="505" spans="1:6" ht="14.4" x14ac:dyDescent="0.3">
      <c r="A505" s="324"/>
      <c r="B505" s="324" t="s">
        <v>580</v>
      </c>
      <c r="C505" s="328" t="s">
        <v>115</v>
      </c>
      <c r="E505" s="326">
        <v>0</v>
      </c>
      <c r="F505" s="48">
        <f t="shared" si="15"/>
        <v>0</v>
      </c>
    </row>
    <row r="506" spans="1:6" ht="14.4" x14ac:dyDescent="0.3">
      <c r="A506" s="324"/>
      <c r="B506" s="420" t="s">
        <v>581</v>
      </c>
      <c r="C506" s="328" t="s">
        <v>115</v>
      </c>
      <c r="E506" s="326">
        <v>0</v>
      </c>
      <c r="F506" s="48">
        <f t="shared" si="15"/>
        <v>0</v>
      </c>
    </row>
    <row r="507" spans="1:6" ht="14.4" x14ac:dyDescent="0.3">
      <c r="A507" s="324"/>
      <c r="B507" s="324" t="s">
        <v>582</v>
      </c>
      <c r="C507" s="328" t="s">
        <v>115</v>
      </c>
      <c r="E507" s="326">
        <v>0</v>
      </c>
      <c r="F507" s="48">
        <f t="shared" si="15"/>
        <v>0</v>
      </c>
    </row>
    <row r="508" spans="1:6" ht="14.4" x14ac:dyDescent="0.3">
      <c r="A508" s="324"/>
      <c r="B508" s="324" t="s">
        <v>583</v>
      </c>
      <c r="C508" s="328" t="s">
        <v>115</v>
      </c>
      <c r="E508" s="326">
        <v>0</v>
      </c>
      <c r="F508" s="48">
        <f t="shared" si="15"/>
        <v>0</v>
      </c>
    </row>
    <row r="509" spans="1:6" ht="14.4" x14ac:dyDescent="0.3">
      <c r="A509" s="324"/>
      <c r="B509" s="324" t="s">
        <v>584</v>
      </c>
      <c r="C509" s="328" t="s">
        <v>115</v>
      </c>
      <c r="E509" s="326">
        <v>0</v>
      </c>
      <c r="F509" s="48">
        <f t="shared" si="15"/>
        <v>0</v>
      </c>
    </row>
    <row r="510" spans="1:6" ht="14.4" x14ac:dyDescent="0.3">
      <c r="A510" s="324"/>
      <c r="B510" s="324" t="s">
        <v>585</v>
      </c>
      <c r="C510" s="328" t="s">
        <v>115</v>
      </c>
      <c r="E510" s="326">
        <v>0</v>
      </c>
      <c r="F510" s="48">
        <f t="shared" si="15"/>
        <v>0</v>
      </c>
    </row>
    <row r="511" spans="1:6" ht="14.4" x14ac:dyDescent="0.3">
      <c r="A511" s="324"/>
      <c r="B511" s="324" t="s">
        <v>586</v>
      </c>
      <c r="C511" s="328" t="s">
        <v>115</v>
      </c>
      <c r="E511" s="326">
        <v>0</v>
      </c>
      <c r="F511" s="48">
        <f t="shared" si="15"/>
        <v>0</v>
      </c>
    </row>
    <row r="512" spans="1:6" ht="14.4" x14ac:dyDescent="0.3">
      <c r="A512" s="324"/>
      <c r="B512" s="324" t="s">
        <v>587</v>
      </c>
      <c r="C512" s="328" t="s">
        <v>115</v>
      </c>
      <c r="E512" s="326">
        <v>0</v>
      </c>
      <c r="F512" s="48">
        <f t="shared" si="15"/>
        <v>0</v>
      </c>
    </row>
    <row r="513" spans="1:6" ht="14.4" x14ac:dyDescent="0.3">
      <c r="A513" s="324"/>
      <c r="B513" s="324" t="s">
        <v>588</v>
      </c>
      <c r="C513" s="328" t="s">
        <v>115</v>
      </c>
      <c r="E513" s="326">
        <v>0</v>
      </c>
      <c r="F513" s="48">
        <f t="shared" si="15"/>
        <v>0</v>
      </c>
    </row>
    <row r="514" spans="1:6" ht="14.4" x14ac:dyDescent="0.3">
      <c r="A514" s="324"/>
      <c r="B514" s="324" t="s">
        <v>589</v>
      </c>
      <c r="C514" s="328" t="s">
        <v>115</v>
      </c>
      <c r="E514" s="326">
        <v>0</v>
      </c>
      <c r="F514" s="48">
        <f t="shared" si="15"/>
        <v>0</v>
      </c>
    </row>
    <row r="515" spans="1:6" ht="14.4" x14ac:dyDescent="0.3">
      <c r="A515" s="324"/>
      <c r="B515" s="324" t="s">
        <v>590</v>
      </c>
      <c r="C515" s="328" t="s">
        <v>115</v>
      </c>
      <c r="E515" s="326">
        <v>0</v>
      </c>
      <c r="F515" s="48">
        <f t="shared" si="15"/>
        <v>0</v>
      </c>
    </row>
    <row r="516" spans="1:6" ht="14.4" x14ac:dyDescent="0.3">
      <c r="A516" s="324"/>
      <c r="B516" s="324" t="s">
        <v>591</v>
      </c>
      <c r="C516" s="328" t="s">
        <v>115</v>
      </c>
      <c r="E516" s="326">
        <v>0</v>
      </c>
      <c r="F516" s="48">
        <f t="shared" si="15"/>
        <v>0</v>
      </c>
    </row>
    <row r="517" spans="1:6" ht="14.4" x14ac:dyDescent="0.3">
      <c r="A517" s="324"/>
      <c r="B517" s="324" t="s">
        <v>592</v>
      </c>
      <c r="C517" s="328" t="s">
        <v>115</v>
      </c>
      <c r="E517" s="326">
        <v>0</v>
      </c>
      <c r="F517" s="48">
        <f t="shared" si="15"/>
        <v>0</v>
      </c>
    </row>
    <row r="518" spans="1:6" ht="14.4" x14ac:dyDescent="0.3">
      <c r="A518" s="324"/>
      <c r="B518" s="324" t="s">
        <v>593</v>
      </c>
      <c r="C518" s="328" t="s">
        <v>115</v>
      </c>
      <c r="E518" s="326">
        <v>0</v>
      </c>
      <c r="F518" s="48">
        <f t="shared" si="15"/>
        <v>0</v>
      </c>
    </row>
    <row r="519" spans="1:6" ht="14.4" x14ac:dyDescent="0.3">
      <c r="A519" s="324"/>
      <c r="B519" s="324" t="s">
        <v>594</v>
      </c>
      <c r="C519" s="328" t="s">
        <v>115</v>
      </c>
      <c r="E519" s="326">
        <v>0</v>
      </c>
      <c r="F519" s="48">
        <f t="shared" si="15"/>
        <v>0</v>
      </c>
    </row>
    <row r="520" spans="1:6" ht="14.4" x14ac:dyDescent="0.3">
      <c r="A520" s="324"/>
      <c r="B520" s="324" t="s">
        <v>595</v>
      </c>
      <c r="C520" s="328" t="s">
        <v>115</v>
      </c>
      <c r="E520" s="326">
        <v>0</v>
      </c>
      <c r="F520" s="48">
        <f t="shared" si="15"/>
        <v>0</v>
      </c>
    </row>
    <row r="521" spans="1:6" ht="14.4" x14ac:dyDescent="0.3">
      <c r="A521" s="324"/>
      <c r="B521" s="324" t="s">
        <v>596</v>
      </c>
      <c r="C521" s="328" t="s">
        <v>115</v>
      </c>
      <c r="E521" s="326">
        <v>0</v>
      </c>
      <c r="F521" s="48">
        <f t="shared" si="15"/>
        <v>0</v>
      </c>
    </row>
    <row r="522" spans="1:6" ht="14.4" x14ac:dyDescent="0.3">
      <c r="A522" s="324"/>
      <c r="B522" s="324" t="s">
        <v>597</v>
      </c>
      <c r="C522" s="328" t="s">
        <v>115</v>
      </c>
      <c r="E522" s="326">
        <v>0</v>
      </c>
      <c r="F522" s="48">
        <f t="shared" si="15"/>
        <v>0</v>
      </c>
    </row>
    <row r="523" spans="1:6" ht="14.4" x14ac:dyDescent="0.3">
      <c r="A523" s="324"/>
      <c r="B523" s="324" t="s">
        <v>598</v>
      </c>
      <c r="C523" s="328" t="s">
        <v>115</v>
      </c>
      <c r="E523" s="326">
        <v>0</v>
      </c>
      <c r="F523" s="48">
        <f t="shared" si="15"/>
        <v>0</v>
      </c>
    </row>
    <row r="524" spans="1:6" ht="14.4" x14ac:dyDescent="0.3">
      <c r="A524" s="324"/>
      <c r="B524" s="324" t="s">
        <v>599</v>
      </c>
      <c r="C524" s="328" t="s">
        <v>115</v>
      </c>
      <c r="E524" s="326">
        <v>0</v>
      </c>
      <c r="F524" s="48">
        <f t="shared" si="15"/>
        <v>0</v>
      </c>
    </row>
    <row r="525" spans="1:6" ht="14.4" x14ac:dyDescent="0.3">
      <c r="A525" s="324"/>
      <c r="B525" s="324" t="s">
        <v>600</v>
      </c>
      <c r="C525" s="328" t="s">
        <v>115</v>
      </c>
      <c r="E525" s="326">
        <v>0</v>
      </c>
      <c r="F525" s="48">
        <f t="shared" si="15"/>
        <v>0</v>
      </c>
    </row>
    <row r="526" spans="1:6" ht="14.4" x14ac:dyDescent="0.3">
      <c r="A526" s="324"/>
      <c r="B526" s="324" t="s">
        <v>601</v>
      </c>
      <c r="C526" s="328" t="s">
        <v>115</v>
      </c>
      <c r="E526" s="326">
        <v>0</v>
      </c>
      <c r="F526" s="48">
        <f t="shared" si="15"/>
        <v>0</v>
      </c>
    </row>
    <row r="527" spans="1:6" ht="14.4" x14ac:dyDescent="0.3">
      <c r="A527" s="324"/>
      <c r="B527" s="324" t="s">
        <v>602</v>
      </c>
      <c r="C527" s="328" t="s">
        <v>115</v>
      </c>
      <c r="E527" s="326">
        <v>0</v>
      </c>
      <c r="F527" s="48">
        <f t="shared" si="15"/>
        <v>0</v>
      </c>
    </row>
    <row r="528" spans="1:6" ht="14.4" x14ac:dyDescent="0.3">
      <c r="A528" s="324"/>
      <c r="B528" s="324" t="s">
        <v>603</v>
      </c>
      <c r="C528" s="328" t="s">
        <v>115</v>
      </c>
      <c r="E528" s="326">
        <v>0</v>
      </c>
      <c r="F528" s="48">
        <f t="shared" si="15"/>
        <v>0</v>
      </c>
    </row>
    <row r="529" spans="1:6" ht="14.4" x14ac:dyDescent="0.3">
      <c r="A529" s="324"/>
      <c r="B529" s="420" t="s">
        <v>604</v>
      </c>
      <c r="C529" s="328" t="s">
        <v>115</v>
      </c>
      <c r="E529" s="326">
        <v>0</v>
      </c>
      <c r="F529" s="48">
        <f t="shared" si="15"/>
        <v>0</v>
      </c>
    </row>
    <row r="530" spans="1:6" ht="14.4" x14ac:dyDescent="0.3">
      <c r="A530" s="324"/>
      <c r="B530" s="324" t="s">
        <v>605</v>
      </c>
      <c r="C530" s="328" t="s">
        <v>115</v>
      </c>
      <c r="E530" s="326">
        <v>0</v>
      </c>
      <c r="F530" s="48">
        <f t="shared" si="15"/>
        <v>0</v>
      </c>
    </row>
    <row r="531" spans="1:6" ht="14.4" x14ac:dyDescent="0.3">
      <c r="A531" s="324"/>
      <c r="B531" s="324" t="s">
        <v>606</v>
      </c>
      <c r="C531" s="328" t="s">
        <v>115</v>
      </c>
      <c r="E531" s="326">
        <v>0</v>
      </c>
      <c r="F531" s="48">
        <f t="shared" si="15"/>
        <v>0</v>
      </c>
    </row>
    <row r="532" spans="1:6" ht="14.4" x14ac:dyDescent="0.3">
      <c r="A532" s="324"/>
      <c r="B532" s="420" t="s">
        <v>607</v>
      </c>
      <c r="C532" s="328" t="s">
        <v>115</v>
      </c>
      <c r="E532" s="326">
        <v>0</v>
      </c>
      <c r="F532" s="48">
        <f t="shared" si="15"/>
        <v>0</v>
      </c>
    </row>
    <row r="533" spans="1:6" ht="14.4" x14ac:dyDescent="0.3">
      <c r="A533" s="324"/>
      <c r="B533" s="420" t="s">
        <v>608</v>
      </c>
      <c r="C533" s="328" t="s">
        <v>115</v>
      </c>
      <c r="E533" s="326">
        <v>0</v>
      </c>
      <c r="F533" s="48">
        <f t="shared" si="15"/>
        <v>0</v>
      </c>
    </row>
    <row r="534" spans="1:6" ht="14.4" x14ac:dyDescent="0.3">
      <c r="A534" s="324"/>
      <c r="B534" s="324" t="s">
        <v>609</v>
      </c>
      <c r="C534" s="328" t="s">
        <v>115</v>
      </c>
      <c r="E534" s="326">
        <v>18.54</v>
      </c>
      <c r="F534" s="48">
        <f t="shared" si="15"/>
        <v>0</v>
      </c>
    </row>
    <row r="535" spans="1:6" ht="14.4" x14ac:dyDescent="0.3">
      <c r="A535" s="324"/>
      <c r="B535" s="324" t="s">
        <v>610</v>
      </c>
      <c r="C535" s="328" t="s">
        <v>115</v>
      </c>
      <c r="E535" s="326">
        <v>0</v>
      </c>
      <c r="F535" s="48">
        <f t="shared" si="15"/>
        <v>0</v>
      </c>
    </row>
    <row r="536" spans="1:6" ht="14.4" x14ac:dyDescent="0.3">
      <c r="A536" s="324"/>
      <c r="B536" s="324" t="s">
        <v>611</v>
      </c>
      <c r="C536" s="328" t="s">
        <v>115</v>
      </c>
      <c r="E536" s="326">
        <v>0</v>
      </c>
      <c r="F536" s="48">
        <f t="shared" si="15"/>
        <v>0</v>
      </c>
    </row>
    <row r="537" spans="1:6" ht="14.4" x14ac:dyDescent="0.3">
      <c r="A537" s="324"/>
      <c r="B537" s="324" t="s">
        <v>612</v>
      </c>
      <c r="C537" s="328" t="s">
        <v>115</v>
      </c>
      <c r="E537" s="326">
        <v>18.350000000000001</v>
      </c>
      <c r="F537" s="48">
        <f t="shared" si="15"/>
        <v>0</v>
      </c>
    </row>
    <row r="538" spans="1:6" ht="14.4" x14ac:dyDescent="0.3">
      <c r="A538" s="324"/>
      <c r="B538" s="324" t="s">
        <v>613</v>
      </c>
      <c r="C538" s="328" t="s">
        <v>115</v>
      </c>
      <c r="E538" s="326">
        <v>0</v>
      </c>
      <c r="F538" s="48">
        <f t="shared" si="15"/>
        <v>0</v>
      </c>
    </row>
    <row r="539" spans="1:6" ht="14.4" x14ac:dyDescent="0.3">
      <c r="A539" s="324"/>
      <c r="B539" s="324" t="s">
        <v>614</v>
      </c>
      <c r="C539" s="328" t="s">
        <v>115</v>
      </c>
      <c r="E539" s="326">
        <v>0</v>
      </c>
      <c r="F539" s="48">
        <f t="shared" si="15"/>
        <v>0</v>
      </c>
    </row>
    <row r="540" spans="1:6" ht="14.4" x14ac:dyDescent="0.3">
      <c r="A540" s="324"/>
      <c r="B540" s="324" t="s">
        <v>615</v>
      </c>
      <c r="C540" s="328" t="s">
        <v>115</v>
      </c>
      <c r="E540" s="326">
        <v>0</v>
      </c>
      <c r="F540" s="48">
        <f t="shared" si="15"/>
        <v>0</v>
      </c>
    </row>
    <row r="541" spans="1:6" ht="14.4" x14ac:dyDescent="0.3">
      <c r="A541" s="324"/>
      <c r="B541" s="324" t="s">
        <v>616</v>
      </c>
      <c r="C541" s="328" t="s">
        <v>115</v>
      </c>
      <c r="E541" s="326">
        <v>0</v>
      </c>
      <c r="F541" s="48">
        <f t="shared" si="15"/>
        <v>0</v>
      </c>
    </row>
    <row r="542" spans="1:6" ht="14.4" x14ac:dyDescent="0.3">
      <c r="A542" s="324"/>
      <c r="B542" s="324" t="s">
        <v>617</v>
      </c>
      <c r="C542" s="328" t="s">
        <v>115</v>
      </c>
      <c r="E542" s="326">
        <v>0</v>
      </c>
      <c r="F542" s="48">
        <f t="shared" ref="F542:F605" si="16">E542*D542</f>
        <v>0</v>
      </c>
    </row>
    <row r="543" spans="1:6" ht="14.4" x14ac:dyDescent="0.3">
      <c r="A543" s="324"/>
      <c r="B543" s="420" t="s">
        <v>618</v>
      </c>
      <c r="C543" s="328" t="s">
        <v>115</v>
      </c>
      <c r="E543" s="326">
        <v>0</v>
      </c>
      <c r="F543" s="48">
        <f t="shared" si="16"/>
        <v>0</v>
      </c>
    </row>
    <row r="544" spans="1:6" ht="14.4" x14ac:dyDescent="0.3">
      <c r="A544" s="324"/>
      <c r="B544" s="324" t="s">
        <v>619</v>
      </c>
      <c r="C544" s="328" t="s">
        <v>115</v>
      </c>
      <c r="E544" s="326">
        <v>16.329999999999998</v>
      </c>
      <c r="F544" s="48">
        <f t="shared" si="16"/>
        <v>0</v>
      </c>
    </row>
    <row r="545" spans="1:6" ht="14.4" x14ac:dyDescent="0.3">
      <c r="A545" s="324"/>
      <c r="B545" s="324" t="s">
        <v>620</v>
      </c>
      <c r="C545" s="328" t="s">
        <v>115</v>
      </c>
      <c r="E545" s="326">
        <v>0</v>
      </c>
      <c r="F545" s="48">
        <f t="shared" si="16"/>
        <v>0</v>
      </c>
    </row>
    <row r="546" spans="1:6" ht="14.4" x14ac:dyDescent="0.3">
      <c r="A546" s="324"/>
      <c r="B546" s="324" t="s">
        <v>621</v>
      </c>
      <c r="C546" s="328" t="s">
        <v>115</v>
      </c>
      <c r="E546" s="326">
        <v>0</v>
      </c>
      <c r="F546" s="48">
        <f t="shared" si="16"/>
        <v>0</v>
      </c>
    </row>
    <row r="547" spans="1:6" ht="14.4" x14ac:dyDescent="0.3">
      <c r="A547" s="324"/>
      <c r="B547" s="324" t="s">
        <v>622</v>
      </c>
      <c r="C547" s="328" t="s">
        <v>115</v>
      </c>
      <c r="E547" s="326">
        <v>0</v>
      </c>
      <c r="F547" s="48">
        <f t="shared" si="16"/>
        <v>0</v>
      </c>
    </row>
    <row r="548" spans="1:6" ht="14.4" x14ac:dyDescent="0.3">
      <c r="A548" s="324"/>
      <c r="B548" s="324" t="s">
        <v>623</v>
      </c>
      <c r="C548" s="328" t="s">
        <v>115</v>
      </c>
      <c r="E548" s="326">
        <v>0</v>
      </c>
      <c r="F548" s="48">
        <f t="shared" si="16"/>
        <v>0</v>
      </c>
    </row>
    <row r="549" spans="1:6" ht="14.4" x14ac:dyDescent="0.3">
      <c r="A549" s="324"/>
      <c r="B549" s="324" t="s">
        <v>624</v>
      </c>
      <c r="C549" s="328" t="s">
        <v>115</v>
      </c>
      <c r="E549" s="326">
        <v>0</v>
      </c>
      <c r="F549" s="48">
        <f t="shared" si="16"/>
        <v>0</v>
      </c>
    </row>
    <row r="550" spans="1:6" ht="14.4" x14ac:dyDescent="0.3">
      <c r="A550" s="324"/>
      <c r="B550" s="324" t="s">
        <v>625</v>
      </c>
      <c r="C550" s="328" t="s">
        <v>115</v>
      </c>
      <c r="E550" s="326">
        <v>0</v>
      </c>
      <c r="F550" s="48">
        <f t="shared" si="16"/>
        <v>0</v>
      </c>
    </row>
    <row r="551" spans="1:6" ht="14.4" x14ac:dyDescent="0.3">
      <c r="A551" s="324"/>
      <c r="B551" s="324" t="s">
        <v>626</v>
      </c>
      <c r="C551" s="328" t="s">
        <v>115</v>
      </c>
      <c r="E551" s="326">
        <v>0</v>
      </c>
      <c r="F551" s="48">
        <f t="shared" si="16"/>
        <v>0</v>
      </c>
    </row>
    <row r="552" spans="1:6" ht="14.4" x14ac:dyDescent="0.3">
      <c r="A552" s="324"/>
      <c r="B552" s="324" t="s">
        <v>627</v>
      </c>
      <c r="C552" s="328" t="s">
        <v>115</v>
      </c>
      <c r="E552" s="326">
        <v>0</v>
      </c>
      <c r="F552" s="48">
        <f t="shared" si="16"/>
        <v>0</v>
      </c>
    </row>
    <row r="553" spans="1:6" ht="14.4" x14ac:dyDescent="0.3">
      <c r="A553" s="324"/>
      <c r="B553" s="324" t="s">
        <v>628</v>
      </c>
      <c r="C553" s="328" t="s">
        <v>115</v>
      </c>
      <c r="E553" s="326">
        <v>0</v>
      </c>
      <c r="F553" s="48">
        <f t="shared" si="16"/>
        <v>0</v>
      </c>
    </row>
    <row r="554" spans="1:6" ht="14.4" x14ac:dyDescent="0.3">
      <c r="A554" s="324"/>
      <c r="B554" s="324" t="s">
        <v>629</v>
      </c>
      <c r="C554" s="328" t="s">
        <v>115</v>
      </c>
      <c r="E554" s="326">
        <v>0</v>
      </c>
      <c r="F554" s="48">
        <f t="shared" si="16"/>
        <v>0</v>
      </c>
    </row>
    <row r="555" spans="1:6" ht="14.4" x14ac:dyDescent="0.3">
      <c r="A555" s="324"/>
      <c r="B555" s="324" t="s">
        <v>630</v>
      </c>
      <c r="C555" s="328" t="s">
        <v>115</v>
      </c>
      <c r="E555" s="326">
        <v>0</v>
      </c>
      <c r="F555" s="48">
        <f t="shared" si="16"/>
        <v>0</v>
      </c>
    </row>
    <row r="556" spans="1:6" ht="14.4" x14ac:dyDescent="0.3">
      <c r="A556" s="324"/>
      <c r="B556" s="324" t="s">
        <v>631</v>
      </c>
      <c r="C556" s="328" t="s">
        <v>115</v>
      </c>
      <c r="E556" s="326">
        <v>0</v>
      </c>
      <c r="F556" s="48">
        <f t="shared" si="16"/>
        <v>0</v>
      </c>
    </row>
    <row r="557" spans="1:6" ht="14.4" x14ac:dyDescent="0.3">
      <c r="A557" s="324"/>
      <c r="B557" s="324" t="s">
        <v>632</v>
      </c>
      <c r="C557" s="328" t="s">
        <v>115</v>
      </c>
      <c r="E557" s="326">
        <v>0</v>
      </c>
      <c r="F557" s="48">
        <f t="shared" si="16"/>
        <v>0</v>
      </c>
    </row>
    <row r="558" spans="1:6" ht="14.4" x14ac:dyDescent="0.3">
      <c r="A558" s="324"/>
      <c r="B558" s="324" t="s">
        <v>633</v>
      </c>
      <c r="C558" s="328" t="s">
        <v>115</v>
      </c>
      <c r="E558" s="326">
        <v>0</v>
      </c>
      <c r="F558" s="48">
        <f t="shared" si="16"/>
        <v>0</v>
      </c>
    </row>
    <row r="559" spans="1:6" ht="14.4" x14ac:dyDescent="0.3">
      <c r="A559" s="324"/>
      <c r="B559" s="324" t="s">
        <v>634</v>
      </c>
      <c r="C559" s="328" t="s">
        <v>115</v>
      </c>
      <c r="E559" s="326">
        <v>0</v>
      </c>
      <c r="F559" s="48">
        <f t="shared" si="16"/>
        <v>0</v>
      </c>
    </row>
    <row r="560" spans="1:6" ht="14.4" x14ac:dyDescent="0.3">
      <c r="A560" s="324"/>
      <c r="B560" s="324" t="s">
        <v>635</v>
      </c>
      <c r="C560" s="328" t="s">
        <v>115</v>
      </c>
      <c r="E560" s="326">
        <v>0</v>
      </c>
      <c r="F560" s="48">
        <f t="shared" si="16"/>
        <v>0</v>
      </c>
    </row>
    <row r="561" spans="1:6" ht="14.4" x14ac:dyDescent="0.3">
      <c r="A561" s="324"/>
      <c r="B561" s="324" t="s">
        <v>636</v>
      </c>
      <c r="C561" s="328" t="s">
        <v>115</v>
      </c>
      <c r="E561" s="326">
        <v>0</v>
      </c>
      <c r="F561" s="48">
        <f t="shared" si="16"/>
        <v>0</v>
      </c>
    </row>
    <row r="562" spans="1:6" ht="14.4" x14ac:dyDescent="0.3">
      <c r="A562" s="324"/>
      <c r="B562" s="324" t="s">
        <v>637</v>
      </c>
      <c r="C562" s="328" t="s">
        <v>115</v>
      </c>
      <c r="E562" s="326">
        <v>0</v>
      </c>
      <c r="F562" s="48">
        <f t="shared" si="16"/>
        <v>0</v>
      </c>
    </row>
    <row r="563" spans="1:6" ht="14.4" x14ac:dyDescent="0.3">
      <c r="A563" s="324"/>
      <c r="B563" s="324" t="s">
        <v>638</v>
      </c>
      <c r="C563" s="328" t="s">
        <v>115</v>
      </c>
      <c r="E563" s="326">
        <v>0</v>
      </c>
      <c r="F563" s="48">
        <f t="shared" si="16"/>
        <v>0</v>
      </c>
    </row>
    <row r="564" spans="1:6" ht="14.4" x14ac:dyDescent="0.3">
      <c r="A564" s="324"/>
      <c r="B564" s="324" t="s">
        <v>639</v>
      </c>
      <c r="C564" s="328" t="s">
        <v>115</v>
      </c>
      <c r="E564" s="326">
        <v>0</v>
      </c>
      <c r="F564" s="48">
        <f t="shared" si="16"/>
        <v>0</v>
      </c>
    </row>
    <row r="565" spans="1:6" ht="14.4" x14ac:dyDescent="0.3">
      <c r="A565" s="324"/>
      <c r="B565" s="324" t="s">
        <v>640</v>
      </c>
      <c r="C565" s="328" t="s">
        <v>115</v>
      </c>
      <c r="E565" s="326">
        <v>0</v>
      </c>
      <c r="F565" s="48">
        <f t="shared" si="16"/>
        <v>0</v>
      </c>
    </row>
    <row r="566" spans="1:6" ht="14.4" x14ac:dyDescent="0.3">
      <c r="A566" s="324"/>
      <c r="B566" s="324" t="s">
        <v>641</v>
      </c>
      <c r="C566" s="328" t="s">
        <v>115</v>
      </c>
      <c r="E566" s="326">
        <v>0</v>
      </c>
      <c r="F566" s="48">
        <f t="shared" si="16"/>
        <v>0</v>
      </c>
    </row>
    <row r="567" spans="1:6" ht="14.4" x14ac:dyDescent="0.3">
      <c r="A567" s="324"/>
      <c r="B567" s="324" t="s">
        <v>642</v>
      </c>
      <c r="C567" s="328" t="s">
        <v>115</v>
      </c>
      <c r="E567" s="326">
        <v>0</v>
      </c>
      <c r="F567" s="48">
        <f t="shared" si="16"/>
        <v>0</v>
      </c>
    </row>
    <row r="568" spans="1:6" ht="14.4" x14ac:dyDescent="0.3">
      <c r="A568" s="324"/>
      <c r="B568" s="324" t="s">
        <v>643</v>
      </c>
      <c r="C568" s="328" t="s">
        <v>115</v>
      </c>
      <c r="E568" s="326">
        <v>0</v>
      </c>
      <c r="F568" s="48">
        <f t="shared" si="16"/>
        <v>0</v>
      </c>
    </row>
    <row r="569" spans="1:6" ht="14.4" x14ac:dyDescent="0.3">
      <c r="A569" s="324"/>
      <c r="B569" s="324" t="s">
        <v>644</v>
      </c>
      <c r="C569" s="328" t="s">
        <v>115</v>
      </c>
      <c r="E569" s="326">
        <v>0</v>
      </c>
      <c r="F569" s="48">
        <f t="shared" si="16"/>
        <v>0</v>
      </c>
    </row>
    <row r="570" spans="1:6" ht="14.4" x14ac:dyDescent="0.3">
      <c r="A570" s="324"/>
      <c r="B570" s="324" t="s">
        <v>645</v>
      </c>
      <c r="C570" s="328" t="s">
        <v>115</v>
      </c>
      <c r="E570" s="326">
        <v>0</v>
      </c>
      <c r="F570" s="48">
        <f t="shared" si="16"/>
        <v>0</v>
      </c>
    </row>
    <row r="571" spans="1:6" ht="14.4" x14ac:dyDescent="0.3">
      <c r="A571" s="324"/>
      <c r="B571" s="324" t="s">
        <v>646</v>
      </c>
      <c r="C571" s="328" t="s">
        <v>115</v>
      </c>
      <c r="E571" s="326">
        <v>0</v>
      </c>
      <c r="F571" s="48">
        <f t="shared" si="16"/>
        <v>0</v>
      </c>
    </row>
    <row r="572" spans="1:6" ht="14.4" x14ac:dyDescent="0.3">
      <c r="A572" s="324"/>
      <c r="B572" s="324" t="s">
        <v>647</v>
      </c>
      <c r="C572" s="328" t="s">
        <v>115</v>
      </c>
      <c r="E572" s="326">
        <v>0</v>
      </c>
      <c r="F572" s="48">
        <f t="shared" si="16"/>
        <v>0</v>
      </c>
    </row>
    <row r="573" spans="1:6" ht="14.4" x14ac:dyDescent="0.3">
      <c r="A573" s="324"/>
      <c r="B573" s="324" t="s">
        <v>648</v>
      </c>
      <c r="C573" s="328" t="s">
        <v>115</v>
      </c>
      <c r="E573" s="326">
        <v>0</v>
      </c>
      <c r="F573" s="48">
        <f t="shared" si="16"/>
        <v>0</v>
      </c>
    </row>
    <row r="574" spans="1:6" ht="14.4" x14ac:dyDescent="0.3">
      <c r="A574" s="324"/>
      <c r="B574" s="324" t="s">
        <v>649</v>
      </c>
      <c r="C574" s="328" t="s">
        <v>115</v>
      </c>
      <c r="E574" s="326">
        <v>0</v>
      </c>
      <c r="F574" s="48">
        <f t="shared" si="16"/>
        <v>0</v>
      </c>
    </row>
    <row r="575" spans="1:6" ht="14.4" x14ac:dyDescent="0.3">
      <c r="A575" s="324"/>
      <c r="B575" s="324" t="s">
        <v>650</v>
      </c>
      <c r="C575" s="328" t="s">
        <v>115</v>
      </c>
      <c r="E575" s="326">
        <v>0</v>
      </c>
      <c r="F575" s="48">
        <f t="shared" si="16"/>
        <v>0</v>
      </c>
    </row>
    <row r="576" spans="1:6" ht="14.4" x14ac:dyDescent="0.3">
      <c r="A576" s="324"/>
      <c r="B576" s="324" t="s">
        <v>651</v>
      </c>
      <c r="C576" s="328" t="s">
        <v>115</v>
      </c>
      <c r="E576" s="326">
        <v>5.61</v>
      </c>
      <c r="F576" s="48">
        <f t="shared" si="16"/>
        <v>0</v>
      </c>
    </row>
    <row r="577" spans="1:6" ht="14.4" x14ac:dyDescent="0.3">
      <c r="A577" s="324"/>
      <c r="B577" s="324" t="s">
        <v>652</v>
      </c>
      <c r="C577" s="328" t="s">
        <v>115</v>
      </c>
      <c r="E577" s="326">
        <v>0</v>
      </c>
      <c r="F577" s="48">
        <f t="shared" si="16"/>
        <v>0</v>
      </c>
    </row>
    <row r="578" spans="1:6" ht="14.4" x14ac:dyDescent="0.3">
      <c r="A578" s="324"/>
      <c r="B578" s="324" t="s">
        <v>653</v>
      </c>
      <c r="C578" s="328" t="s">
        <v>115</v>
      </c>
      <c r="E578" s="326">
        <v>0</v>
      </c>
      <c r="F578" s="48">
        <f t="shared" si="16"/>
        <v>0</v>
      </c>
    </row>
    <row r="579" spans="1:6" ht="14.4" x14ac:dyDescent="0.3">
      <c r="A579" s="324"/>
      <c r="B579" s="324" t="s">
        <v>654</v>
      </c>
      <c r="C579" s="328" t="s">
        <v>115</v>
      </c>
      <c r="E579" s="326">
        <v>0</v>
      </c>
      <c r="F579" s="48">
        <f t="shared" si="16"/>
        <v>0</v>
      </c>
    </row>
    <row r="580" spans="1:6" ht="14.4" x14ac:dyDescent="0.3">
      <c r="A580" s="324"/>
      <c r="B580" s="324" t="s">
        <v>655</v>
      </c>
      <c r="C580" s="328" t="s">
        <v>115</v>
      </c>
      <c r="E580" s="326">
        <v>0</v>
      </c>
      <c r="F580" s="48">
        <f t="shared" si="16"/>
        <v>0</v>
      </c>
    </row>
    <row r="581" spans="1:6" ht="14.4" x14ac:dyDescent="0.3">
      <c r="A581" s="324"/>
      <c r="B581" s="324" t="s">
        <v>656</v>
      </c>
      <c r="C581" s="328" t="s">
        <v>115</v>
      </c>
      <c r="E581" s="326">
        <v>0</v>
      </c>
      <c r="F581" s="48">
        <f t="shared" si="16"/>
        <v>0</v>
      </c>
    </row>
    <row r="582" spans="1:6" ht="14.4" x14ac:dyDescent="0.3">
      <c r="A582" s="324"/>
      <c r="B582" s="324" t="s">
        <v>657</v>
      </c>
      <c r="C582" s="328" t="s">
        <v>115</v>
      </c>
      <c r="E582" s="326">
        <v>0</v>
      </c>
      <c r="F582" s="48">
        <f t="shared" si="16"/>
        <v>0</v>
      </c>
    </row>
    <row r="583" spans="1:6" ht="14.4" x14ac:dyDescent="0.3">
      <c r="A583" s="324"/>
      <c r="B583" s="324" t="s">
        <v>658</v>
      </c>
      <c r="C583" s="328" t="s">
        <v>115</v>
      </c>
      <c r="E583" s="326">
        <v>0</v>
      </c>
      <c r="F583" s="48">
        <f t="shared" si="16"/>
        <v>0</v>
      </c>
    </row>
    <row r="584" spans="1:6" ht="14.4" x14ac:dyDescent="0.3">
      <c r="A584" s="324"/>
      <c r="B584" s="324" t="s">
        <v>659</v>
      </c>
      <c r="C584" s="328" t="s">
        <v>115</v>
      </c>
      <c r="E584" s="326">
        <v>0</v>
      </c>
      <c r="F584" s="48">
        <f t="shared" si="16"/>
        <v>0</v>
      </c>
    </row>
    <row r="585" spans="1:6" ht="14.4" x14ac:dyDescent="0.3">
      <c r="A585" s="324"/>
      <c r="B585" s="324" t="s">
        <v>660</v>
      </c>
      <c r="C585" s="328" t="s">
        <v>115</v>
      </c>
      <c r="E585" s="326">
        <v>0</v>
      </c>
      <c r="F585" s="48">
        <f t="shared" si="16"/>
        <v>0</v>
      </c>
    </row>
    <row r="586" spans="1:6" ht="14.4" x14ac:dyDescent="0.3">
      <c r="A586" s="324"/>
      <c r="B586" s="324" t="s">
        <v>661</v>
      </c>
      <c r="C586" s="328" t="s">
        <v>115</v>
      </c>
      <c r="E586" s="326">
        <v>0</v>
      </c>
      <c r="F586" s="48">
        <f t="shared" si="16"/>
        <v>0</v>
      </c>
    </row>
    <row r="587" spans="1:6" ht="14.4" x14ac:dyDescent="0.3">
      <c r="A587" s="324"/>
      <c r="B587" s="324" t="s">
        <v>662</v>
      </c>
      <c r="C587" s="328" t="s">
        <v>115</v>
      </c>
      <c r="E587" s="326">
        <v>0</v>
      </c>
      <c r="F587" s="48">
        <f t="shared" si="16"/>
        <v>0</v>
      </c>
    </row>
    <row r="588" spans="1:6" ht="14.4" x14ac:dyDescent="0.3">
      <c r="A588" s="324"/>
      <c r="B588" s="324" t="s">
        <v>663</v>
      </c>
      <c r="C588" s="328" t="s">
        <v>115</v>
      </c>
      <c r="E588" s="326">
        <v>0</v>
      </c>
      <c r="F588" s="48">
        <f t="shared" si="16"/>
        <v>0</v>
      </c>
    </row>
    <row r="589" spans="1:6" ht="14.4" x14ac:dyDescent="0.3">
      <c r="A589" s="324"/>
      <c r="B589" s="324" t="s">
        <v>664</v>
      </c>
      <c r="C589" s="328" t="s">
        <v>115</v>
      </c>
      <c r="E589" s="326">
        <v>0</v>
      </c>
      <c r="F589" s="48">
        <f t="shared" si="16"/>
        <v>0</v>
      </c>
    </row>
    <row r="590" spans="1:6" ht="14.4" x14ac:dyDescent="0.3">
      <c r="A590" s="324"/>
      <c r="B590" s="324" t="s">
        <v>665</v>
      </c>
      <c r="C590" s="328" t="s">
        <v>115</v>
      </c>
      <c r="E590" s="326">
        <v>0</v>
      </c>
      <c r="F590" s="48">
        <f t="shared" si="16"/>
        <v>0</v>
      </c>
    </row>
    <row r="591" spans="1:6" ht="14.4" x14ac:dyDescent="0.3">
      <c r="A591" s="324"/>
      <c r="B591" s="324" t="s">
        <v>666</v>
      </c>
      <c r="C591" s="328" t="s">
        <v>115</v>
      </c>
      <c r="E591" s="326">
        <v>0</v>
      </c>
      <c r="F591" s="48">
        <f t="shared" si="16"/>
        <v>0</v>
      </c>
    </row>
    <row r="592" spans="1:6" ht="14.4" x14ac:dyDescent="0.3">
      <c r="A592" s="324"/>
      <c r="B592" s="324" t="s">
        <v>667</v>
      </c>
      <c r="C592" s="328" t="s">
        <v>115</v>
      </c>
      <c r="E592" s="326">
        <v>0</v>
      </c>
      <c r="F592" s="48">
        <f t="shared" si="16"/>
        <v>0</v>
      </c>
    </row>
    <row r="593" spans="1:6" ht="14.4" x14ac:dyDescent="0.3">
      <c r="A593" s="324"/>
      <c r="B593" s="324" t="s">
        <v>668</v>
      </c>
      <c r="C593" s="328" t="s">
        <v>115</v>
      </c>
      <c r="E593" s="326">
        <v>0</v>
      </c>
      <c r="F593" s="48">
        <f t="shared" si="16"/>
        <v>0</v>
      </c>
    </row>
    <row r="594" spans="1:6" ht="14.4" x14ac:dyDescent="0.3">
      <c r="A594" s="324"/>
      <c r="B594" s="324" t="s">
        <v>669</v>
      </c>
      <c r="C594" s="328" t="s">
        <v>115</v>
      </c>
      <c r="E594" s="326">
        <v>0</v>
      </c>
      <c r="F594" s="48">
        <f t="shared" si="16"/>
        <v>0</v>
      </c>
    </row>
    <row r="595" spans="1:6" ht="14.4" x14ac:dyDescent="0.3">
      <c r="A595" s="324"/>
      <c r="B595" s="324" t="s">
        <v>670</v>
      </c>
      <c r="C595" s="328" t="s">
        <v>115</v>
      </c>
      <c r="E595" s="326">
        <v>0</v>
      </c>
      <c r="F595" s="48">
        <f t="shared" si="16"/>
        <v>0</v>
      </c>
    </row>
    <row r="596" spans="1:6" ht="14.4" x14ac:dyDescent="0.3">
      <c r="A596" s="324"/>
      <c r="B596" s="324" t="s">
        <v>671</v>
      </c>
      <c r="C596" s="328" t="s">
        <v>115</v>
      </c>
      <c r="E596" s="326">
        <v>0</v>
      </c>
      <c r="F596" s="48">
        <f t="shared" si="16"/>
        <v>0</v>
      </c>
    </row>
    <row r="597" spans="1:6" ht="14.4" x14ac:dyDescent="0.3">
      <c r="A597" s="324"/>
      <c r="B597" s="324" t="s">
        <v>672</v>
      </c>
      <c r="C597" s="328" t="s">
        <v>115</v>
      </c>
      <c r="E597" s="326">
        <v>0</v>
      </c>
      <c r="F597" s="48">
        <f t="shared" si="16"/>
        <v>0</v>
      </c>
    </row>
    <row r="598" spans="1:6" ht="14.4" x14ac:dyDescent="0.3">
      <c r="A598" s="324"/>
      <c r="B598" s="324" t="s">
        <v>673</v>
      </c>
      <c r="C598" s="328" t="s">
        <v>115</v>
      </c>
      <c r="E598" s="326">
        <v>0</v>
      </c>
      <c r="F598" s="48">
        <f t="shared" si="16"/>
        <v>0</v>
      </c>
    </row>
    <row r="599" spans="1:6" ht="14.4" x14ac:dyDescent="0.3">
      <c r="A599" s="324"/>
      <c r="B599" s="324" t="s">
        <v>674</v>
      </c>
      <c r="C599" s="328" t="s">
        <v>115</v>
      </c>
      <c r="E599" s="326">
        <v>0</v>
      </c>
      <c r="F599" s="48">
        <f t="shared" si="16"/>
        <v>0</v>
      </c>
    </row>
    <row r="600" spans="1:6" ht="14.4" x14ac:dyDescent="0.3">
      <c r="A600" s="324"/>
      <c r="B600" s="324" t="s">
        <v>675</v>
      </c>
      <c r="C600" s="328" t="s">
        <v>115</v>
      </c>
      <c r="E600" s="326">
        <v>0</v>
      </c>
      <c r="F600" s="48">
        <f t="shared" si="16"/>
        <v>0</v>
      </c>
    </row>
    <row r="601" spans="1:6" ht="14.4" x14ac:dyDescent="0.3">
      <c r="A601" s="324"/>
      <c r="B601" s="324" t="s">
        <v>676</v>
      </c>
      <c r="C601" s="328" t="s">
        <v>115</v>
      </c>
      <c r="E601" s="326">
        <v>0</v>
      </c>
      <c r="F601" s="48">
        <f t="shared" si="16"/>
        <v>0</v>
      </c>
    </row>
    <row r="602" spans="1:6" ht="14.4" x14ac:dyDescent="0.3">
      <c r="A602" s="324"/>
      <c r="B602" s="324" t="s">
        <v>677</v>
      </c>
      <c r="C602" s="328" t="s">
        <v>115</v>
      </c>
      <c r="E602" s="326">
        <v>26.25</v>
      </c>
      <c r="F602" s="48">
        <f t="shared" si="16"/>
        <v>0</v>
      </c>
    </row>
    <row r="603" spans="1:6" ht="14.4" x14ac:dyDescent="0.3">
      <c r="A603" s="324"/>
      <c r="B603" s="324" t="s">
        <v>678</v>
      </c>
      <c r="C603" s="328" t="s">
        <v>115</v>
      </c>
      <c r="E603" s="326">
        <v>0</v>
      </c>
      <c r="F603" s="48">
        <f t="shared" si="16"/>
        <v>0</v>
      </c>
    </row>
    <row r="604" spans="1:6" ht="14.4" x14ac:dyDescent="0.3">
      <c r="A604" s="324"/>
      <c r="B604" s="324" t="s">
        <v>679</v>
      </c>
      <c r="C604" s="328" t="s">
        <v>115</v>
      </c>
      <c r="E604" s="326">
        <v>0</v>
      </c>
      <c r="F604" s="48">
        <f t="shared" si="16"/>
        <v>0</v>
      </c>
    </row>
    <row r="605" spans="1:6" ht="14.4" x14ac:dyDescent="0.3">
      <c r="A605" s="324"/>
      <c r="B605" s="324" t="s">
        <v>680</v>
      </c>
      <c r="C605" s="328" t="s">
        <v>115</v>
      </c>
      <c r="E605" s="326">
        <v>0</v>
      </c>
      <c r="F605" s="48">
        <f t="shared" si="16"/>
        <v>0</v>
      </c>
    </row>
    <row r="606" spans="1:6" ht="14.4" x14ac:dyDescent="0.3">
      <c r="A606" s="324"/>
      <c r="B606" s="324" t="s">
        <v>681</v>
      </c>
      <c r="C606" s="328" t="s">
        <v>115</v>
      </c>
      <c r="E606" s="326">
        <v>0</v>
      </c>
      <c r="F606" s="48">
        <f t="shared" ref="F606:F669" si="17">E606*D606</f>
        <v>0</v>
      </c>
    </row>
    <row r="607" spans="1:6" ht="14.4" x14ac:dyDescent="0.3">
      <c r="A607" s="324"/>
      <c r="B607" s="324" t="s">
        <v>682</v>
      </c>
      <c r="C607" s="328" t="s">
        <v>115</v>
      </c>
      <c r="E607" s="326">
        <v>0</v>
      </c>
      <c r="F607" s="48">
        <f t="shared" si="17"/>
        <v>0</v>
      </c>
    </row>
    <row r="608" spans="1:6" ht="14.4" x14ac:dyDescent="0.3">
      <c r="A608" s="324"/>
      <c r="B608" s="324" t="s">
        <v>683</v>
      </c>
      <c r="C608" s="328" t="s">
        <v>115</v>
      </c>
      <c r="E608" s="326">
        <v>0</v>
      </c>
      <c r="F608" s="48">
        <f t="shared" si="17"/>
        <v>0</v>
      </c>
    </row>
    <row r="609" spans="1:6" ht="14.4" x14ac:dyDescent="0.3">
      <c r="A609" s="324"/>
      <c r="B609" s="324" t="s">
        <v>684</v>
      </c>
      <c r="C609" s="328" t="s">
        <v>115</v>
      </c>
      <c r="E609" s="326">
        <v>0</v>
      </c>
      <c r="F609" s="48">
        <f t="shared" si="17"/>
        <v>0</v>
      </c>
    </row>
    <row r="610" spans="1:6" ht="14.4" x14ac:dyDescent="0.3">
      <c r="A610" s="324"/>
      <c r="B610" s="324" t="s">
        <v>685</v>
      </c>
      <c r="C610" s="328" t="s">
        <v>115</v>
      </c>
      <c r="E610" s="326">
        <v>0</v>
      </c>
      <c r="F610" s="48">
        <f t="shared" si="17"/>
        <v>0</v>
      </c>
    </row>
    <row r="611" spans="1:6" ht="14.4" x14ac:dyDescent="0.3">
      <c r="A611" s="324"/>
      <c r="B611" s="324" t="s">
        <v>686</v>
      </c>
      <c r="C611" s="328" t="s">
        <v>115</v>
      </c>
      <c r="E611" s="326">
        <v>0</v>
      </c>
      <c r="F611" s="48">
        <f t="shared" si="17"/>
        <v>0</v>
      </c>
    </row>
    <row r="612" spans="1:6" ht="14.4" x14ac:dyDescent="0.3">
      <c r="A612" s="324"/>
      <c r="B612" s="324" t="s">
        <v>687</v>
      </c>
      <c r="C612" s="328" t="s">
        <v>115</v>
      </c>
      <c r="E612" s="326">
        <v>0</v>
      </c>
      <c r="F612" s="48">
        <f t="shared" si="17"/>
        <v>0</v>
      </c>
    </row>
    <row r="613" spans="1:6" ht="14.4" x14ac:dyDescent="0.3">
      <c r="A613" s="324"/>
      <c r="B613" s="324" t="s">
        <v>688</v>
      </c>
      <c r="C613" s="328" t="s">
        <v>115</v>
      </c>
      <c r="E613" s="326">
        <v>0</v>
      </c>
      <c r="F613" s="48">
        <f t="shared" si="17"/>
        <v>0</v>
      </c>
    </row>
    <row r="614" spans="1:6" ht="14.4" x14ac:dyDescent="0.3">
      <c r="A614" s="324"/>
      <c r="B614" s="324" t="s">
        <v>689</v>
      </c>
      <c r="C614" s="328" t="s">
        <v>115</v>
      </c>
      <c r="E614" s="326">
        <v>0</v>
      </c>
      <c r="F614" s="48">
        <f t="shared" si="17"/>
        <v>0</v>
      </c>
    </row>
    <row r="615" spans="1:6" ht="14.4" x14ac:dyDescent="0.3">
      <c r="A615" s="324"/>
      <c r="B615" s="324" t="s">
        <v>690</v>
      </c>
      <c r="C615" s="328" t="s">
        <v>115</v>
      </c>
      <c r="E615" s="326">
        <v>0</v>
      </c>
      <c r="F615" s="48">
        <f t="shared" si="17"/>
        <v>0</v>
      </c>
    </row>
    <row r="616" spans="1:6" ht="14.4" x14ac:dyDescent="0.3">
      <c r="A616" s="324"/>
      <c r="B616" s="324" t="s">
        <v>691</v>
      </c>
      <c r="C616" s="328" t="s">
        <v>115</v>
      </c>
      <c r="E616" s="326">
        <v>0</v>
      </c>
      <c r="F616" s="48">
        <f t="shared" si="17"/>
        <v>0</v>
      </c>
    </row>
    <row r="617" spans="1:6" ht="14.4" x14ac:dyDescent="0.3">
      <c r="A617" s="324"/>
      <c r="B617" s="324" t="s">
        <v>692</v>
      </c>
      <c r="C617" s="328" t="s">
        <v>115</v>
      </c>
      <c r="E617" s="326">
        <v>0</v>
      </c>
      <c r="F617" s="48">
        <f t="shared" si="17"/>
        <v>0</v>
      </c>
    </row>
    <row r="618" spans="1:6" ht="14.4" x14ac:dyDescent="0.3">
      <c r="A618" s="324"/>
      <c r="B618" s="324" t="s">
        <v>693</v>
      </c>
      <c r="C618" s="328" t="s">
        <v>115</v>
      </c>
      <c r="E618" s="326">
        <v>0</v>
      </c>
      <c r="F618" s="48">
        <f t="shared" si="17"/>
        <v>0</v>
      </c>
    </row>
    <row r="619" spans="1:6" ht="14.4" x14ac:dyDescent="0.3">
      <c r="A619" s="324"/>
      <c r="B619" s="324" t="s">
        <v>694</v>
      </c>
      <c r="C619" s="328" t="s">
        <v>115</v>
      </c>
      <c r="E619" s="326">
        <v>0</v>
      </c>
      <c r="F619" s="48">
        <f t="shared" si="17"/>
        <v>0</v>
      </c>
    </row>
    <row r="620" spans="1:6" ht="14.4" x14ac:dyDescent="0.3">
      <c r="A620" s="324"/>
      <c r="B620" s="324" t="s">
        <v>695</v>
      </c>
      <c r="C620" s="328" t="s">
        <v>115</v>
      </c>
      <c r="E620" s="326">
        <v>0</v>
      </c>
      <c r="F620" s="48">
        <f t="shared" si="17"/>
        <v>0</v>
      </c>
    </row>
    <row r="621" spans="1:6" ht="14.4" x14ac:dyDescent="0.3">
      <c r="A621" s="324"/>
      <c r="B621" s="324" t="s">
        <v>696</v>
      </c>
      <c r="C621" s="328" t="s">
        <v>115</v>
      </c>
      <c r="E621" s="326">
        <v>0</v>
      </c>
      <c r="F621" s="48">
        <f t="shared" si="17"/>
        <v>0</v>
      </c>
    </row>
    <row r="622" spans="1:6" ht="14.4" x14ac:dyDescent="0.3">
      <c r="A622" s="324"/>
      <c r="B622" s="324" t="s">
        <v>697</v>
      </c>
      <c r="C622" s="328" t="s">
        <v>115</v>
      </c>
      <c r="E622" s="326">
        <v>0</v>
      </c>
      <c r="F622" s="48">
        <f t="shared" si="17"/>
        <v>0</v>
      </c>
    </row>
    <row r="623" spans="1:6" ht="14.4" x14ac:dyDescent="0.3">
      <c r="A623" s="324"/>
      <c r="B623" s="324" t="s">
        <v>698</v>
      </c>
      <c r="C623" s="328" t="s">
        <v>115</v>
      </c>
      <c r="E623" s="326">
        <v>0</v>
      </c>
      <c r="F623" s="48">
        <f t="shared" si="17"/>
        <v>0</v>
      </c>
    </row>
    <row r="624" spans="1:6" ht="14.4" x14ac:dyDescent="0.3">
      <c r="A624" s="324"/>
      <c r="B624" s="324" t="s">
        <v>699</v>
      </c>
      <c r="C624" s="328" t="s">
        <v>115</v>
      </c>
      <c r="E624" s="326">
        <v>0</v>
      </c>
      <c r="F624" s="48">
        <f t="shared" si="17"/>
        <v>0</v>
      </c>
    </row>
    <row r="625" spans="1:6" ht="14.4" x14ac:dyDescent="0.3">
      <c r="A625" s="324"/>
      <c r="B625" s="324" t="s">
        <v>700</v>
      </c>
      <c r="C625" s="328" t="s">
        <v>115</v>
      </c>
      <c r="E625" s="326">
        <v>0</v>
      </c>
      <c r="F625" s="48">
        <f t="shared" si="17"/>
        <v>0</v>
      </c>
    </row>
    <row r="626" spans="1:6" ht="14.4" x14ac:dyDescent="0.3">
      <c r="A626" s="324"/>
      <c r="B626" s="324" t="s">
        <v>701</v>
      </c>
      <c r="C626" s="328" t="s">
        <v>115</v>
      </c>
      <c r="E626" s="326">
        <v>0</v>
      </c>
      <c r="F626" s="48">
        <f t="shared" si="17"/>
        <v>0</v>
      </c>
    </row>
    <row r="627" spans="1:6" ht="14.4" x14ac:dyDescent="0.3">
      <c r="A627" s="324"/>
      <c r="B627" s="324" t="s">
        <v>702</v>
      </c>
      <c r="C627" s="328" t="s">
        <v>115</v>
      </c>
      <c r="E627" s="326">
        <v>0</v>
      </c>
      <c r="F627" s="48">
        <f t="shared" si="17"/>
        <v>0</v>
      </c>
    </row>
    <row r="628" spans="1:6" ht="14.4" x14ac:dyDescent="0.3">
      <c r="A628" s="324"/>
      <c r="B628" s="324" t="s">
        <v>703</v>
      </c>
      <c r="C628" s="328" t="s">
        <v>115</v>
      </c>
      <c r="E628" s="326">
        <v>0</v>
      </c>
      <c r="F628" s="48">
        <f t="shared" si="17"/>
        <v>0</v>
      </c>
    </row>
    <row r="629" spans="1:6" ht="14.4" x14ac:dyDescent="0.3">
      <c r="A629" s="324"/>
      <c r="B629" s="324"/>
      <c r="C629" s="328" t="s">
        <v>115</v>
      </c>
      <c r="E629" s="326">
        <v>0</v>
      </c>
      <c r="F629" s="48">
        <f t="shared" si="17"/>
        <v>0</v>
      </c>
    </row>
    <row r="630" spans="1:6" ht="14.4" x14ac:dyDescent="0.3">
      <c r="A630" s="324"/>
      <c r="B630" s="324" t="s">
        <v>704</v>
      </c>
      <c r="C630" s="328"/>
      <c r="E630" s="326">
        <v>0</v>
      </c>
      <c r="F630" s="48">
        <f t="shared" si="17"/>
        <v>0</v>
      </c>
    </row>
    <row r="631" spans="1:6" ht="14.4" x14ac:dyDescent="0.3">
      <c r="A631" s="324"/>
      <c r="B631" s="324" t="s">
        <v>705</v>
      </c>
      <c r="C631" s="328" t="s">
        <v>149</v>
      </c>
      <c r="E631" s="326">
        <v>0</v>
      </c>
      <c r="F631" s="48">
        <f t="shared" si="17"/>
        <v>0</v>
      </c>
    </row>
    <row r="632" spans="1:6" ht="14.4" x14ac:dyDescent="0.3">
      <c r="A632" s="324"/>
      <c r="B632" s="324" t="s">
        <v>706</v>
      </c>
      <c r="C632" s="328" t="s">
        <v>149</v>
      </c>
      <c r="E632" s="326">
        <v>0</v>
      </c>
      <c r="F632" s="48">
        <f t="shared" si="17"/>
        <v>0</v>
      </c>
    </row>
    <row r="633" spans="1:6" ht="14.4" x14ac:dyDescent="0.3">
      <c r="A633" s="324"/>
      <c r="B633" s="324" t="s">
        <v>707</v>
      </c>
      <c r="C633" s="328" t="s">
        <v>149</v>
      </c>
      <c r="E633" s="326">
        <v>0</v>
      </c>
      <c r="F633" s="48">
        <f t="shared" si="17"/>
        <v>0</v>
      </c>
    </row>
    <row r="634" spans="1:6" ht="14.4" x14ac:dyDescent="0.3">
      <c r="A634" s="324"/>
      <c r="B634" s="324" t="s">
        <v>708</v>
      </c>
      <c r="C634" s="328" t="s">
        <v>115</v>
      </c>
      <c r="E634" s="326">
        <v>0</v>
      </c>
      <c r="F634" s="48">
        <f t="shared" si="17"/>
        <v>0</v>
      </c>
    </row>
    <row r="635" spans="1:6" ht="14.4" x14ac:dyDescent="0.3">
      <c r="A635" s="324"/>
      <c r="B635" s="324" t="s">
        <v>709</v>
      </c>
      <c r="C635" s="328" t="s">
        <v>115</v>
      </c>
      <c r="E635" s="326">
        <v>0</v>
      </c>
      <c r="F635" s="48">
        <f t="shared" si="17"/>
        <v>0</v>
      </c>
    </row>
    <row r="636" spans="1:6" ht="14.4" x14ac:dyDescent="0.3">
      <c r="A636" s="324"/>
      <c r="B636" s="324" t="s">
        <v>710</v>
      </c>
      <c r="C636" s="328" t="s">
        <v>115</v>
      </c>
      <c r="E636" s="326">
        <v>0</v>
      </c>
      <c r="F636" s="48">
        <f t="shared" si="17"/>
        <v>0</v>
      </c>
    </row>
    <row r="637" spans="1:6" ht="14.4" x14ac:dyDescent="0.3">
      <c r="A637" s="324"/>
      <c r="B637" s="324" t="s">
        <v>711</v>
      </c>
      <c r="C637" s="328" t="s">
        <v>115</v>
      </c>
      <c r="E637" s="326">
        <v>0</v>
      </c>
      <c r="F637" s="48">
        <f t="shared" si="17"/>
        <v>0</v>
      </c>
    </row>
    <row r="638" spans="1:6" ht="14.4" x14ac:dyDescent="0.3">
      <c r="A638" s="324"/>
      <c r="B638" s="324" t="s">
        <v>712</v>
      </c>
      <c r="C638" s="328" t="s">
        <v>115</v>
      </c>
      <c r="E638" s="326">
        <v>0</v>
      </c>
      <c r="F638" s="48">
        <f t="shared" si="17"/>
        <v>0</v>
      </c>
    </row>
    <row r="639" spans="1:6" ht="14.4" x14ac:dyDescent="0.3">
      <c r="A639" s="324"/>
      <c r="B639" s="324" t="s">
        <v>713</v>
      </c>
      <c r="C639" s="328" t="s">
        <v>115</v>
      </c>
      <c r="E639" s="326">
        <v>0</v>
      </c>
      <c r="F639" s="48">
        <f t="shared" si="17"/>
        <v>0</v>
      </c>
    </row>
    <row r="640" spans="1:6" ht="14.4" x14ac:dyDescent="0.3">
      <c r="A640" s="324"/>
      <c r="B640" s="324" t="s">
        <v>714</v>
      </c>
      <c r="C640" s="328" t="s">
        <v>115</v>
      </c>
      <c r="E640" s="326">
        <v>0</v>
      </c>
      <c r="F640" s="48">
        <f t="shared" si="17"/>
        <v>0</v>
      </c>
    </row>
    <row r="641" spans="1:7" ht="14.4" x14ac:dyDescent="0.3">
      <c r="A641" s="324"/>
      <c r="B641" s="324" t="s">
        <v>715</v>
      </c>
      <c r="C641" s="328" t="s">
        <v>115</v>
      </c>
      <c r="E641" s="326">
        <v>0</v>
      </c>
      <c r="F641" s="48">
        <f t="shared" si="17"/>
        <v>0</v>
      </c>
    </row>
    <row r="642" spans="1:7" ht="14.4" x14ac:dyDescent="0.3">
      <c r="A642" s="324"/>
      <c r="B642" s="324" t="s">
        <v>716</v>
      </c>
      <c r="C642" s="328" t="s">
        <v>115</v>
      </c>
      <c r="E642" s="326">
        <v>0</v>
      </c>
      <c r="F642" s="48">
        <f t="shared" si="17"/>
        <v>0</v>
      </c>
    </row>
    <row r="643" spans="1:7" ht="14.4" x14ac:dyDescent="0.3">
      <c r="A643" s="324"/>
      <c r="B643" s="324" t="s">
        <v>717</v>
      </c>
      <c r="C643" s="328" t="s">
        <v>115</v>
      </c>
      <c r="E643" s="326">
        <v>0</v>
      </c>
      <c r="F643" s="48">
        <f t="shared" si="17"/>
        <v>0</v>
      </c>
    </row>
    <row r="644" spans="1:7" ht="14.4" x14ac:dyDescent="0.3">
      <c r="A644" s="324"/>
      <c r="B644" s="324" t="s">
        <v>718</v>
      </c>
      <c r="C644" s="328" t="s">
        <v>115</v>
      </c>
      <c r="E644" s="326">
        <v>0</v>
      </c>
      <c r="F644" s="48">
        <f t="shared" si="17"/>
        <v>0</v>
      </c>
    </row>
    <row r="645" spans="1:7" ht="14.4" x14ac:dyDescent="0.3">
      <c r="A645" s="324"/>
      <c r="B645" s="324" t="s">
        <v>719</v>
      </c>
      <c r="C645" s="328" t="s">
        <v>115</v>
      </c>
      <c r="E645" s="326">
        <v>0</v>
      </c>
      <c r="F645" s="48">
        <f t="shared" si="17"/>
        <v>0</v>
      </c>
    </row>
    <row r="646" spans="1:7" ht="14.4" x14ac:dyDescent="0.3">
      <c r="A646" s="324"/>
      <c r="B646" s="324" t="s">
        <v>720</v>
      </c>
      <c r="C646" s="328" t="s">
        <v>115</v>
      </c>
      <c r="E646" s="326">
        <v>0</v>
      </c>
      <c r="F646" s="48">
        <f t="shared" si="17"/>
        <v>0</v>
      </c>
    </row>
    <row r="647" spans="1:7" ht="14.4" x14ac:dyDescent="0.3">
      <c r="A647" s="324"/>
      <c r="B647" s="324" t="s">
        <v>721</v>
      </c>
      <c r="C647" s="328" t="s">
        <v>115</v>
      </c>
      <c r="E647" s="326">
        <v>0</v>
      </c>
      <c r="F647" s="48">
        <f t="shared" si="17"/>
        <v>0</v>
      </c>
    </row>
    <row r="648" spans="1:7" ht="14.4" x14ac:dyDescent="0.3">
      <c r="A648" s="324"/>
      <c r="B648" s="324" t="s">
        <v>722</v>
      </c>
      <c r="C648" s="328" t="s">
        <v>115</v>
      </c>
      <c r="E648" s="326">
        <v>0</v>
      </c>
      <c r="F648" s="48">
        <f t="shared" si="17"/>
        <v>0</v>
      </c>
    </row>
    <row r="649" spans="1:7" ht="14.4" x14ac:dyDescent="0.3">
      <c r="A649" s="324"/>
      <c r="B649" s="324" t="s">
        <v>723</v>
      </c>
      <c r="C649" s="328" t="s">
        <v>115</v>
      </c>
      <c r="E649" s="326">
        <v>0</v>
      </c>
      <c r="F649" s="48">
        <f t="shared" si="17"/>
        <v>0</v>
      </c>
    </row>
    <row r="650" spans="1:7" ht="14.4" x14ac:dyDescent="0.3">
      <c r="A650" s="324"/>
      <c r="B650" s="324"/>
      <c r="C650" s="328" t="s">
        <v>115</v>
      </c>
      <c r="E650" s="326">
        <v>0</v>
      </c>
      <c r="F650" s="48">
        <f t="shared" si="17"/>
        <v>0</v>
      </c>
    </row>
    <row r="651" spans="1:7" ht="14.4" x14ac:dyDescent="0.3">
      <c r="A651"/>
      <c r="B651" s="330" t="s">
        <v>724</v>
      </c>
      <c r="C651" s="328"/>
      <c r="E651" s="326">
        <v>56</v>
      </c>
      <c r="F651" s="48">
        <f t="shared" si="17"/>
        <v>0</v>
      </c>
      <c r="G651" s="326"/>
    </row>
    <row r="652" spans="1:7" ht="14.4" x14ac:dyDescent="0.3">
      <c r="A652"/>
      <c r="B652" t="s">
        <v>725</v>
      </c>
      <c r="C652" s="303" t="s">
        <v>115</v>
      </c>
      <c r="E652" s="326">
        <v>202.94</v>
      </c>
      <c r="F652" s="48">
        <f t="shared" si="17"/>
        <v>0</v>
      </c>
      <c r="G652" s="326"/>
    </row>
    <row r="653" spans="1:7" ht="14.4" x14ac:dyDescent="0.3">
      <c r="A653"/>
      <c r="B653" t="s">
        <v>726</v>
      </c>
      <c r="C653" s="303" t="s">
        <v>115</v>
      </c>
      <c r="E653" s="326">
        <v>92.67</v>
      </c>
      <c r="F653" s="48">
        <f t="shared" si="17"/>
        <v>0</v>
      </c>
      <c r="G653" s="326"/>
    </row>
    <row r="654" spans="1:7" ht="14.4" x14ac:dyDescent="0.3">
      <c r="A654"/>
      <c r="B654" t="s">
        <v>727</v>
      </c>
      <c r="C654" s="303" t="s">
        <v>115</v>
      </c>
      <c r="E654" s="326">
        <v>24.71</v>
      </c>
      <c r="F654" s="48">
        <f t="shared" si="17"/>
        <v>0</v>
      </c>
      <c r="G654" s="326"/>
    </row>
    <row r="655" spans="1:7" ht="14.4" x14ac:dyDescent="0.3">
      <c r="A655"/>
      <c r="B655" t="s">
        <v>340</v>
      </c>
      <c r="C655" s="303" t="s">
        <v>115</v>
      </c>
      <c r="E655" s="326">
        <v>20</v>
      </c>
      <c r="F655" s="48">
        <f t="shared" si="17"/>
        <v>0</v>
      </c>
      <c r="G655" s="326"/>
    </row>
    <row r="656" spans="1:7" ht="14.4" x14ac:dyDescent="0.3">
      <c r="A656"/>
      <c r="B656" t="s">
        <v>305</v>
      </c>
      <c r="C656" s="303" t="s">
        <v>115</v>
      </c>
      <c r="E656" s="326">
        <v>136.94</v>
      </c>
      <c r="F656" s="48">
        <f t="shared" si="17"/>
        <v>0</v>
      </c>
      <c r="G656" s="326"/>
    </row>
    <row r="657" spans="1:7" ht="14.4" x14ac:dyDescent="0.3">
      <c r="A657"/>
      <c r="B657" t="s">
        <v>374</v>
      </c>
      <c r="C657" s="303" t="s">
        <v>115</v>
      </c>
      <c r="E657" s="326">
        <v>365</v>
      </c>
      <c r="F657" s="48">
        <f t="shared" si="17"/>
        <v>0</v>
      </c>
      <c r="G657" s="326"/>
    </row>
    <row r="658" spans="1:7" ht="14.4" x14ac:dyDescent="0.3">
      <c r="A658"/>
      <c r="B658" t="s">
        <v>728</v>
      </c>
      <c r="C658" s="303" t="s">
        <v>115</v>
      </c>
      <c r="E658" s="326">
        <v>201.43</v>
      </c>
      <c r="F658" s="48">
        <f t="shared" si="17"/>
        <v>0</v>
      </c>
      <c r="G658" s="326"/>
    </row>
    <row r="659" spans="1:7" ht="14.4" x14ac:dyDescent="0.3">
      <c r="A659"/>
      <c r="B659" t="s">
        <v>376</v>
      </c>
      <c r="C659" s="303" t="s">
        <v>115</v>
      </c>
      <c r="E659" s="326">
        <v>5</v>
      </c>
      <c r="F659" s="48">
        <f t="shared" si="17"/>
        <v>0</v>
      </c>
      <c r="G659" s="326"/>
    </row>
    <row r="660" spans="1:7" ht="14.4" x14ac:dyDescent="0.3">
      <c r="A660"/>
      <c r="B660" t="s">
        <v>729</v>
      </c>
      <c r="C660" s="303" t="s">
        <v>115</v>
      </c>
      <c r="E660" s="326">
        <v>853</v>
      </c>
      <c r="F660" s="48">
        <f t="shared" si="17"/>
        <v>0</v>
      </c>
      <c r="G660" s="326"/>
    </row>
    <row r="661" spans="1:7" ht="14.4" x14ac:dyDescent="0.3">
      <c r="A661"/>
      <c r="B661" t="s">
        <v>730</v>
      </c>
      <c r="C661" s="303" t="s">
        <v>115</v>
      </c>
      <c r="E661" s="326">
        <v>503</v>
      </c>
      <c r="F661" s="48">
        <f t="shared" si="17"/>
        <v>0</v>
      </c>
      <c r="G661" s="326"/>
    </row>
    <row r="662" spans="1:7" ht="14.4" x14ac:dyDescent="0.3">
      <c r="A662"/>
      <c r="B662" t="s">
        <v>731</v>
      </c>
      <c r="C662" s="303" t="s">
        <v>115</v>
      </c>
      <c r="E662" s="326">
        <v>1809.63</v>
      </c>
      <c r="F662" s="48">
        <f t="shared" si="17"/>
        <v>0</v>
      </c>
      <c r="G662" s="326"/>
    </row>
    <row r="663" spans="1:7" ht="14.4" x14ac:dyDescent="0.3">
      <c r="A663"/>
      <c r="B663" s="63" t="s">
        <v>732</v>
      </c>
      <c r="C663" s="303" t="s">
        <v>115</v>
      </c>
      <c r="E663" s="326">
        <v>1650</v>
      </c>
      <c r="F663" s="48">
        <f t="shared" si="17"/>
        <v>0</v>
      </c>
      <c r="G663" s="326"/>
    </row>
    <row r="664" spans="1:7" ht="14.4" x14ac:dyDescent="0.3">
      <c r="A664"/>
      <c r="B664" s="63" t="s">
        <v>733</v>
      </c>
      <c r="C664" s="303" t="s">
        <v>115</v>
      </c>
      <c r="E664" s="326">
        <v>160</v>
      </c>
      <c r="F664" s="48">
        <f t="shared" si="17"/>
        <v>0</v>
      </c>
      <c r="G664" s="326"/>
    </row>
    <row r="665" spans="1:7" ht="14.4" x14ac:dyDescent="0.3">
      <c r="A665"/>
      <c r="B665" s="63" t="s">
        <v>734</v>
      </c>
      <c r="C665" s="303" t="s">
        <v>115</v>
      </c>
      <c r="E665" s="326">
        <v>750</v>
      </c>
      <c r="F665" s="48">
        <f t="shared" si="17"/>
        <v>0</v>
      </c>
      <c r="G665" s="326"/>
    </row>
    <row r="666" spans="1:7" ht="14.4" x14ac:dyDescent="0.3">
      <c r="A666"/>
      <c r="B666" s="63" t="s">
        <v>735</v>
      </c>
      <c r="C666" s="303" t="s">
        <v>115</v>
      </c>
      <c r="E666" s="326">
        <v>450</v>
      </c>
      <c r="F666" s="48">
        <f t="shared" si="17"/>
        <v>0</v>
      </c>
      <c r="G666" s="326"/>
    </row>
    <row r="667" spans="1:7" ht="14.4" x14ac:dyDescent="0.3">
      <c r="A667"/>
      <c r="B667" s="63" t="s">
        <v>736</v>
      </c>
      <c r="C667" s="303" t="s">
        <v>115</v>
      </c>
      <c r="E667" s="326">
        <v>1250</v>
      </c>
      <c r="F667" s="48">
        <f t="shared" si="17"/>
        <v>0</v>
      </c>
      <c r="G667" s="326"/>
    </row>
    <row r="668" spans="1:7" ht="14.4" x14ac:dyDescent="0.3">
      <c r="A668"/>
      <c r="B668" t="s">
        <v>737</v>
      </c>
      <c r="C668" s="303" t="s">
        <v>115</v>
      </c>
      <c r="E668" s="326">
        <v>190</v>
      </c>
      <c r="F668" s="48">
        <f t="shared" si="17"/>
        <v>0</v>
      </c>
      <c r="G668" s="326"/>
    </row>
    <row r="669" spans="1:7" ht="14.4" x14ac:dyDescent="0.3">
      <c r="A669"/>
      <c r="B669" t="s">
        <v>738</v>
      </c>
      <c r="C669" s="303" t="s">
        <v>115</v>
      </c>
      <c r="E669" s="326">
        <v>412.59</v>
      </c>
      <c r="F669" s="48">
        <f t="shared" si="17"/>
        <v>0</v>
      </c>
      <c r="G669" s="326"/>
    </row>
    <row r="670" spans="1:7" ht="14.4" x14ac:dyDescent="0.3">
      <c r="A670"/>
      <c r="B670" t="s">
        <v>739</v>
      </c>
      <c r="C670" s="303" t="s">
        <v>115</v>
      </c>
      <c r="E670" s="326">
        <v>50</v>
      </c>
      <c r="F670" s="48">
        <f t="shared" ref="F670:F685" si="18">E670*D670</f>
        <v>0</v>
      </c>
      <c r="G670" s="326"/>
    </row>
    <row r="671" spans="1:7" ht="16.8" x14ac:dyDescent="0.3">
      <c r="A671"/>
      <c r="B671" s="331" t="s">
        <v>742</v>
      </c>
      <c r="C671" s="303" t="s">
        <v>115</v>
      </c>
      <c r="E671" s="326">
        <v>30</v>
      </c>
      <c r="F671" s="48">
        <f t="shared" si="18"/>
        <v>0</v>
      </c>
      <c r="G671" s="326"/>
    </row>
    <row r="672" spans="1:7" ht="14.4" x14ac:dyDescent="0.3">
      <c r="A672"/>
      <c r="B672" t="s">
        <v>743</v>
      </c>
      <c r="C672" s="303" t="s">
        <v>115</v>
      </c>
      <c r="E672" s="326">
        <v>1850</v>
      </c>
      <c r="F672" s="48">
        <f t="shared" si="18"/>
        <v>0</v>
      </c>
      <c r="G672" s="326"/>
    </row>
    <row r="673" spans="1:7" ht="14.4" x14ac:dyDescent="0.3">
      <c r="A673"/>
      <c r="B673" t="s">
        <v>744</v>
      </c>
      <c r="C673" s="303" t="s">
        <v>115</v>
      </c>
      <c r="E673" s="326">
        <v>1800</v>
      </c>
      <c r="F673" s="48">
        <f t="shared" si="18"/>
        <v>0</v>
      </c>
      <c r="G673" s="326"/>
    </row>
    <row r="674" spans="1:7" ht="14.4" x14ac:dyDescent="0.3">
      <c r="A674"/>
      <c r="B674"/>
      <c r="C674" s="303"/>
      <c r="E674" s="326"/>
      <c r="F674" s="48"/>
      <c r="G674" s="326"/>
    </row>
    <row r="675" spans="1:7" ht="14.4" x14ac:dyDescent="0.3">
      <c r="A675" s="324"/>
      <c r="B675" s="420" t="s">
        <v>745</v>
      </c>
      <c r="C675" s="303" t="s">
        <v>115</v>
      </c>
      <c r="E675" s="326">
        <v>3800</v>
      </c>
      <c r="F675" s="48">
        <f t="shared" si="18"/>
        <v>0</v>
      </c>
      <c r="G675" s="326"/>
    </row>
    <row r="676" spans="1:7" ht="14.4" x14ac:dyDescent="0.3">
      <c r="A676" s="324"/>
      <c r="B676" s="420" t="s">
        <v>746</v>
      </c>
      <c r="C676" s="328" t="s">
        <v>115</v>
      </c>
      <c r="E676" s="326">
        <v>371.37</v>
      </c>
      <c r="F676" s="48">
        <f t="shared" si="18"/>
        <v>0</v>
      </c>
      <c r="G676" s="326"/>
    </row>
    <row r="677" spans="1:7" ht="14.4" x14ac:dyDescent="0.3">
      <c r="A677" s="324"/>
      <c r="B677" s="420" t="s">
        <v>747</v>
      </c>
      <c r="C677" s="419" t="s">
        <v>115</v>
      </c>
      <c r="E677" s="326">
        <f>430.67+38.37</f>
        <v>469.04</v>
      </c>
      <c r="F677" s="48">
        <f t="shared" si="18"/>
        <v>0</v>
      </c>
      <c r="G677" s="326"/>
    </row>
    <row r="678" spans="1:7" ht="14.4" x14ac:dyDescent="0.3">
      <c r="A678" s="324"/>
      <c r="B678" s="420" t="s">
        <v>748</v>
      </c>
      <c r="C678" s="419" t="s">
        <v>115</v>
      </c>
      <c r="E678" s="326">
        <f>141.13+18.87+18.87+480.93</f>
        <v>659.8</v>
      </c>
      <c r="F678" s="48">
        <f t="shared" si="18"/>
        <v>0</v>
      </c>
      <c r="G678" s="326"/>
    </row>
    <row r="679" spans="1:7" ht="14.4" x14ac:dyDescent="0.3">
      <c r="A679" s="324"/>
      <c r="B679" s="420" t="s">
        <v>749</v>
      </c>
      <c r="C679" s="419" t="s">
        <v>115</v>
      </c>
      <c r="E679" s="326">
        <v>587.96</v>
      </c>
      <c r="F679" s="48">
        <f t="shared" si="18"/>
        <v>0</v>
      </c>
    </row>
    <row r="680" spans="1:7" ht="14.4" x14ac:dyDescent="0.3">
      <c r="A680" s="324"/>
      <c r="B680" s="420" t="s">
        <v>750</v>
      </c>
      <c r="C680" s="328" t="s">
        <v>115</v>
      </c>
      <c r="E680" s="326">
        <v>641.58000000000004</v>
      </c>
      <c r="F680" s="48">
        <f t="shared" si="18"/>
        <v>0</v>
      </c>
    </row>
    <row r="681" spans="1:7" ht="14.4" x14ac:dyDescent="0.3">
      <c r="A681" s="324"/>
      <c r="B681" s="420" t="s">
        <v>972</v>
      </c>
      <c r="C681" s="419" t="s">
        <v>115</v>
      </c>
      <c r="D681" s="40">
        <v>1</v>
      </c>
      <c r="E681" s="326">
        <v>80</v>
      </c>
      <c r="F681" s="48">
        <f t="shared" si="18"/>
        <v>80</v>
      </c>
    </row>
    <row r="682" spans="1:7" ht="14.4" x14ac:dyDescent="0.3">
      <c r="A682" s="324"/>
      <c r="B682" s="420" t="s">
        <v>752</v>
      </c>
      <c r="C682" s="328" t="s">
        <v>115</v>
      </c>
      <c r="E682" s="326">
        <v>50</v>
      </c>
      <c r="F682" s="48">
        <f t="shared" si="18"/>
        <v>0</v>
      </c>
      <c r="G682" s="326"/>
    </row>
    <row r="683" spans="1:7" ht="14.4" x14ac:dyDescent="0.3">
      <c r="A683" s="324"/>
      <c r="B683" s="420" t="s">
        <v>753</v>
      </c>
      <c r="C683" s="419" t="s">
        <v>115</v>
      </c>
      <c r="E683" s="326">
        <v>31.71</v>
      </c>
      <c r="F683" s="48">
        <f t="shared" si="18"/>
        <v>0</v>
      </c>
      <c r="G683" s="326"/>
    </row>
    <row r="684" spans="1:7" ht="14.4" x14ac:dyDescent="0.3">
      <c r="A684" s="324"/>
      <c r="B684" s="420" t="s">
        <v>754</v>
      </c>
      <c r="C684" s="328" t="s">
        <v>115</v>
      </c>
      <c r="E684" s="326">
        <v>146.09</v>
      </c>
      <c r="F684" s="48">
        <f t="shared" si="18"/>
        <v>0</v>
      </c>
      <c r="G684" s="326"/>
    </row>
    <row r="685" spans="1:7" ht="14.4" x14ac:dyDescent="0.3">
      <c r="A685" s="324"/>
      <c r="B685" s="420" t="s">
        <v>755</v>
      </c>
      <c r="C685" s="328" t="s">
        <v>115</v>
      </c>
      <c r="E685" s="326">
        <v>99.49</v>
      </c>
      <c r="F685" s="48">
        <f t="shared" si="18"/>
        <v>0</v>
      </c>
      <c r="G685" s="326"/>
    </row>
    <row r="686" spans="1:7" ht="14.4" x14ac:dyDescent="0.3">
      <c r="C686" s="328"/>
      <c r="E686" s="326"/>
      <c r="F686" s="48"/>
    </row>
    <row r="688" spans="1:7" ht="14.4" x14ac:dyDescent="0.3">
      <c r="B688" s="325" t="s">
        <v>762</v>
      </c>
    </row>
    <row r="689" spans="2:6" ht="14.4" x14ac:dyDescent="0.3">
      <c r="B689" s="327" t="s">
        <v>354</v>
      </c>
    </row>
    <row r="690" spans="2:6" ht="14.4" x14ac:dyDescent="0.3">
      <c r="B690" s="324"/>
    </row>
    <row r="691" spans="2:6" ht="14.4" x14ac:dyDescent="0.3">
      <c r="B691" s="324" t="s">
        <v>763</v>
      </c>
      <c r="C691" s="328" t="s">
        <v>149</v>
      </c>
      <c r="E691" s="385">
        <v>14.489999999999998</v>
      </c>
      <c r="F691" s="48">
        <f t="shared" ref="F691:F750" si="19">E691*D691</f>
        <v>0</v>
      </c>
    </row>
    <row r="692" spans="2:6" ht="14.4" x14ac:dyDescent="0.3">
      <c r="B692" s="420" t="s">
        <v>764</v>
      </c>
      <c r="C692" s="328" t="s">
        <v>149</v>
      </c>
      <c r="D692" s="40">
        <v>16</v>
      </c>
      <c r="E692" s="385">
        <v>9.5495999999999999</v>
      </c>
      <c r="F692" s="48">
        <f t="shared" si="19"/>
        <v>152.7936</v>
      </c>
    </row>
    <row r="693" spans="2:6" ht="14.4" x14ac:dyDescent="0.3">
      <c r="B693" s="420" t="s">
        <v>765</v>
      </c>
      <c r="C693" s="419" t="s">
        <v>115</v>
      </c>
      <c r="E693" s="385">
        <v>9.66</v>
      </c>
      <c r="F693" s="48">
        <f t="shared" si="19"/>
        <v>0</v>
      </c>
    </row>
    <row r="694" spans="2:6" ht="14.4" x14ac:dyDescent="0.3">
      <c r="B694" s="420" t="s">
        <v>766</v>
      </c>
      <c r="C694" s="419" t="s">
        <v>115</v>
      </c>
      <c r="D694" s="40">
        <v>4</v>
      </c>
      <c r="E694" s="385">
        <v>4.7885999999999997</v>
      </c>
      <c r="F694" s="48">
        <f t="shared" si="19"/>
        <v>19.154399999999999</v>
      </c>
    </row>
    <row r="695" spans="2:6" ht="14.4" x14ac:dyDescent="0.3">
      <c r="B695" s="420" t="s">
        <v>767</v>
      </c>
      <c r="C695" s="419" t="s">
        <v>115</v>
      </c>
      <c r="E695" s="385">
        <v>13.799999999999999</v>
      </c>
      <c r="F695" s="48">
        <f t="shared" si="19"/>
        <v>0</v>
      </c>
    </row>
    <row r="696" spans="2:6" ht="14.4" x14ac:dyDescent="0.3">
      <c r="B696" s="420" t="s">
        <v>768</v>
      </c>
      <c r="C696" s="419" t="s">
        <v>115</v>
      </c>
      <c r="E696" s="385">
        <v>6.5274000000000001</v>
      </c>
      <c r="F696" s="48">
        <f t="shared" si="19"/>
        <v>0</v>
      </c>
    </row>
    <row r="697" spans="2:6" ht="14.4" x14ac:dyDescent="0.3">
      <c r="B697" s="420" t="s">
        <v>769</v>
      </c>
      <c r="C697" s="419" t="s">
        <v>115</v>
      </c>
      <c r="E697" s="385">
        <v>8.5974000000000004</v>
      </c>
      <c r="F697" s="48">
        <f t="shared" si="19"/>
        <v>0</v>
      </c>
    </row>
    <row r="698" spans="2:6" ht="14.4" x14ac:dyDescent="0.3">
      <c r="B698" s="420" t="s">
        <v>770</v>
      </c>
      <c r="C698" s="419" t="s">
        <v>115</v>
      </c>
      <c r="E698" s="385">
        <v>6.8999999999999995</v>
      </c>
      <c r="F698" s="48">
        <f t="shared" si="19"/>
        <v>0</v>
      </c>
    </row>
    <row r="699" spans="2:6" ht="14.4" x14ac:dyDescent="0.3">
      <c r="B699" s="420" t="s">
        <v>771</v>
      </c>
      <c r="C699" s="419" t="s">
        <v>115</v>
      </c>
      <c r="E699" s="385">
        <v>6.8999999999999995</v>
      </c>
      <c r="F699" s="48">
        <f t="shared" si="19"/>
        <v>0</v>
      </c>
    </row>
    <row r="700" spans="2:6" ht="14.4" x14ac:dyDescent="0.3">
      <c r="B700" s="420" t="s">
        <v>772</v>
      </c>
      <c r="C700" s="419" t="s">
        <v>115</v>
      </c>
      <c r="D700" s="40">
        <v>5</v>
      </c>
      <c r="E700" s="385">
        <v>2.5667999999999997</v>
      </c>
      <c r="F700" s="48">
        <f t="shared" si="19"/>
        <v>12.834</v>
      </c>
    </row>
    <row r="701" spans="2:6" ht="14.4" x14ac:dyDescent="0.3">
      <c r="B701" s="420" t="s">
        <v>773</v>
      </c>
      <c r="C701" s="419" t="s">
        <v>115</v>
      </c>
      <c r="D701" s="40">
        <v>1</v>
      </c>
      <c r="E701" s="385">
        <v>2.3308200000000001</v>
      </c>
      <c r="F701" s="48">
        <f t="shared" si="19"/>
        <v>2.3308200000000001</v>
      </c>
    </row>
    <row r="702" spans="2:6" ht="14.4" x14ac:dyDescent="0.3">
      <c r="B702" s="420" t="s">
        <v>774</v>
      </c>
      <c r="C702" s="419" t="s">
        <v>115</v>
      </c>
      <c r="E702" s="385">
        <v>5.52</v>
      </c>
      <c r="F702" s="48">
        <f t="shared" si="19"/>
        <v>0</v>
      </c>
    </row>
    <row r="703" spans="2:6" ht="14.4" x14ac:dyDescent="0.3">
      <c r="B703" s="420" t="s">
        <v>775</v>
      </c>
      <c r="C703" s="419" t="s">
        <v>115</v>
      </c>
      <c r="E703" s="385">
        <v>2.6771999999999996</v>
      </c>
      <c r="F703" s="48">
        <f t="shared" si="19"/>
        <v>0</v>
      </c>
    </row>
    <row r="704" spans="2:6" ht="14.4" x14ac:dyDescent="0.3">
      <c r="B704" s="324" t="s">
        <v>776</v>
      </c>
      <c r="C704" s="328" t="s">
        <v>149</v>
      </c>
      <c r="E704" s="385">
        <v>6.8999999999999995</v>
      </c>
      <c r="F704" s="48">
        <f t="shared" si="19"/>
        <v>0</v>
      </c>
    </row>
    <row r="705" spans="2:6" ht="14.4" x14ac:dyDescent="0.3">
      <c r="B705" s="420" t="s">
        <v>777</v>
      </c>
      <c r="C705" s="328" t="s">
        <v>149</v>
      </c>
      <c r="E705" s="385">
        <v>5.52</v>
      </c>
      <c r="F705" s="48">
        <f t="shared" si="19"/>
        <v>0</v>
      </c>
    </row>
    <row r="706" spans="2:6" ht="14.4" x14ac:dyDescent="0.3">
      <c r="B706" s="324" t="s">
        <v>778</v>
      </c>
      <c r="C706" s="328" t="s">
        <v>149</v>
      </c>
      <c r="E706" s="385">
        <v>8.7354000000000003</v>
      </c>
      <c r="F706" s="48">
        <f t="shared" si="19"/>
        <v>0</v>
      </c>
    </row>
    <row r="707" spans="2:6" ht="14.4" x14ac:dyDescent="0.3">
      <c r="B707" s="420" t="s">
        <v>779</v>
      </c>
      <c r="C707" s="328" t="s">
        <v>149</v>
      </c>
      <c r="E707" s="385">
        <v>3.726</v>
      </c>
      <c r="F707" s="48">
        <f t="shared" si="19"/>
        <v>0</v>
      </c>
    </row>
    <row r="708" spans="2:6" ht="14.4" x14ac:dyDescent="0.3">
      <c r="B708" s="420" t="s">
        <v>780</v>
      </c>
      <c r="C708" s="328" t="s">
        <v>149</v>
      </c>
      <c r="E708" s="385">
        <v>2.8979999999999997</v>
      </c>
      <c r="F708" s="48">
        <f t="shared" si="19"/>
        <v>0</v>
      </c>
    </row>
    <row r="709" spans="2:6" ht="14.4" x14ac:dyDescent="0.3">
      <c r="B709" s="420" t="s">
        <v>783</v>
      </c>
      <c r="C709" s="419" t="s">
        <v>115</v>
      </c>
      <c r="E709" s="385">
        <v>2.3321999999999998</v>
      </c>
      <c r="F709" s="48">
        <f t="shared" si="19"/>
        <v>0</v>
      </c>
    </row>
    <row r="710" spans="2:6" ht="14.4" x14ac:dyDescent="0.3">
      <c r="B710" s="420" t="s">
        <v>784</v>
      </c>
      <c r="C710" s="419" t="s">
        <v>115</v>
      </c>
      <c r="E710" s="385">
        <v>4.1399999999999997</v>
      </c>
      <c r="F710" s="48">
        <f t="shared" si="19"/>
        <v>0</v>
      </c>
    </row>
    <row r="711" spans="2:6" ht="14.4" x14ac:dyDescent="0.3">
      <c r="B711" s="420" t="s">
        <v>785</v>
      </c>
      <c r="C711" s="419" t="s">
        <v>115</v>
      </c>
      <c r="E711" s="385">
        <v>0.93840000000000001</v>
      </c>
      <c r="F711" s="48">
        <f t="shared" si="19"/>
        <v>0</v>
      </c>
    </row>
    <row r="712" spans="2:6" ht="14.4" x14ac:dyDescent="0.3">
      <c r="B712" s="420" t="s">
        <v>786</v>
      </c>
      <c r="C712" s="419" t="s">
        <v>115</v>
      </c>
      <c r="E712" s="385">
        <v>11.716199999999999</v>
      </c>
      <c r="F712" s="48">
        <f t="shared" si="19"/>
        <v>0</v>
      </c>
    </row>
    <row r="713" spans="2:6" ht="14.4" x14ac:dyDescent="0.3">
      <c r="B713" s="324" t="s">
        <v>787</v>
      </c>
      <c r="C713" s="328" t="s">
        <v>149</v>
      </c>
      <c r="E713" s="326">
        <v>14</v>
      </c>
      <c r="F713" s="48">
        <f t="shared" si="19"/>
        <v>0</v>
      </c>
    </row>
    <row r="714" spans="2:6" ht="14.4" x14ac:dyDescent="0.3">
      <c r="B714" s="420" t="s">
        <v>788</v>
      </c>
      <c r="C714" s="328" t="s">
        <v>149</v>
      </c>
      <c r="E714" s="326">
        <v>6</v>
      </c>
      <c r="F714" s="48">
        <f t="shared" si="19"/>
        <v>0</v>
      </c>
    </row>
    <row r="715" spans="2:6" ht="14.4" x14ac:dyDescent="0.3">
      <c r="B715" s="324"/>
      <c r="C715" s="328"/>
      <c r="E715" s="328"/>
      <c r="F715" s="48">
        <f t="shared" si="19"/>
        <v>0</v>
      </c>
    </row>
    <row r="716" spans="2:6" ht="14.4" x14ac:dyDescent="0.3">
      <c r="B716" s="324" t="s">
        <v>789</v>
      </c>
      <c r="C716" s="328" t="s">
        <v>115</v>
      </c>
      <c r="E716" s="326">
        <v>40</v>
      </c>
      <c r="F716" s="48">
        <f t="shared" si="19"/>
        <v>0</v>
      </c>
    </row>
    <row r="717" spans="2:6" ht="14.4" x14ac:dyDescent="0.3">
      <c r="B717" s="420" t="s">
        <v>790</v>
      </c>
      <c r="C717" s="328" t="s">
        <v>115</v>
      </c>
      <c r="E717" s="326">
        <v>30</v>
      </c>
      <c r="F717" s="48">
        <f t="shared" si="19"/>
        <v>0</v>
      </c>
    </row>
    <row r="718" spans="2:6" ht="14.4" x14ac:dyDescent="0.3">
      <c r="B718" s="324" t="s">
        <v>791</v>
      </c>
      <c r="C718" s="328" t="s">
        <v>115</v>
      </c>
      <c r="D718" s="40">
        <v>1</v>
      </c>
      <c r="E718" s="326">
        <v>33</v>
      </c>
      <c r="F718" s="48">
        <f t="shared" si="19"/>
        <v>33</v>
      </c>
    </row>
    <row r="719" spans="2:6" ht="14.4" x14ac:dyDescent="0.3">
      <c r="B719" s="420" t="s">
        <v>792</v>
      </c>
      <c r="C719" s="328" t="s">
        <v>115</v>
      </c>
      <c r="D719" s="40">
        <v>1</v>
      </c>
      <c r="E719" s="326">
        <v>23.26</v>
      </c>
      <c r="F719" s="48">
        <f t="shared" si="19"/>
        <v>23.26</v>
      </c>
    </row>
    <row r="720" spans="2:6" ht="14.4" x14ac:dyDescent="0.3">
      <c r="B720" s="420" t="s">
        <v>793</v>
      </c>
      <c r="C720" s="328" t="s">
        <v>115</v>
      </c>
      <c r="E720" s="326">
        <v>50</v>
      </c>
      <c r="F720" s="48">
        <f t="shared" si="19"/>
        <v>0</v>
      </c>
    </row>
    <row r="721" spans="2:6" ht="14.4" x14ac:dyDescent="0.3">
      <c r="B721" s="324" t="s">
        <v>794</v>
      </c>
      <c r="C721" s="328" t="s">
        <v>115</v>
      </c>
      <c r="E721" s="326">
        <v>7.65</v>
      </c>
      <c r="F721" s="48">
        <f t="shared" si="19"/>
        <v>0</v>
      </c>
    </row>
    <row r="722" spans="2:6" ht="14.4" x14ac:dyDescent="0.3">
      <c r="B722" s="324" t="s">
        <v>795</v>
      </c>
      <c r="C722" s="328" t="s">
        <v>115</v>
      </c>
      <c r="E722" s="326">
        <v>7.65</v>
      </c>
      <c r="F722" s="48">
        <f t="shared" si="19"/>
        <v>0</v>
      </c>
    </row>
    <row r="723" spans="2:6" ht="14.4" x14ac:dyDescent="0.3">
      <c r="B723" s="324" t="s">
        <v>796</v>
      </c>
      <c r="C723" s="328" t="s">
        <v>115</v>
      </c>
      <c r="E723" s="326">
        <v>13.59</v>
      </c>
      <c r="F723" s="48">
        <f t="shared" si="19"/>
        <v>0</v>
      </c>
    </row>
    <row r="724" spans="2:6" ht="14.4" x14ac:dyDescent="0.3">
      <c r="B724" s="324" t="s">
        <v>797</v>
      </c>
      <c r="C724" s="328" t="s">
        <v>115</v>
      </c>
      <c r="E724" s="326">
        <v>0</v>
      </c>
      <c r="F724" s="48">
        <f t="shared" si="19"/>
        <v>0</v>
      </c>
    </row>
    <row r="725" spans="2:6" ht="14.4" x14ac:dyDescent="0.3">
      <c r="B725" s="324" t="s">
        <v>798</v>
      </c>
      <c r="C725" s="328" t="s">
        <v>115</v>
      </c>
      <c r="E725" s="326">
        <v>75</v>
      </c>
      <c r="F725" s="48">
        <f t="shared" si="19"/>
        <v>0</v>
      </c>
    </row>
    <row r="726" spans="2:6" ht="14.4" x14ac:dyDescent="0.3">
      <c r="B726" s="324"/>
      <c r="C726" s="328"/>
      <c r="E726" s="324"/>
      <c r="F726" s="48">
        <f t="shared" si="19"/>
        <v>0</v>
      </c>
    </row>
    <row r="727" spans="2:6" ht="14.4" x14ac:dyDescent="0.3">
      <c r="B727" s="324" t="s">
        <v>799</v>
      </c>
      <c r="C727" s="328" t="s">
        <v>115</v>
      </c>
      <c r="E727" s="326">
        <v>2</v>
      </c>
      <c r="F727" s="48">
        <f t="shared" si="19"/>
        <v>0</v>
      </c>
    </row>
    <row r="728" spans="2:6" ht="14.4" x14ac:dyDescent="0.3">
      <c r="B728" s="324" t="s">
        <v>800</v>
      </c>
      <c r="C728" s="328" t="s">
        <v>115</v>
      </c>
      <c r="E728" s="326">
        <v>1.5</v>
      </c>
      <c r="F728" s="48">
        <f t="shared" si="19"/>
        <v>0</v>
      </c>
    </row>
    <row r="729" spans="2:6" ht="14.4" x14ac:dyDescent="0.3">
      <c r="B729" s="324" t="s">
        <v>491</v>
      </c>
      <c r="C729" s="328" t="s">
        <v>149</v>
      </c>
      <c r="E729" s="326">
        <f>E623</f>
        <v>0</v>
      </c>
      <c r="F729" s="48">
        <f t="shared" si="19"/>
        <v>0</v>
      </c>
    </row>
    <row r="730" spans="2:6" ht="14.4" x14ac:dyDescent="0.3">
      <c r="B730" s="324"/>
      <c r="C730" s="328"/>
      <c r="E730" s="326"/>
      <c r="F730" s="48">
        <f t="shared" si="19"/>
        <v>0</v>
      </c>
    </row>
    <row r="731" spans="2:6" ht="14.4" x14ac:dyDescent="0.3">
      <c r="B731" s="324" t="s">
        <v>801</v>
      </c>
      <c r="C731" s="328" t="s">
        <v>115</v>
      </c>
      <c r="E731" s="326">
        <v>26.4</v>
      </c>
      <c r="F731" s="48">
        <f t="shared" si="19"/>
        <v>0</v>
      </c>
    </row>
    <row r="732" spans="2:6" ht="14.4" x14ac:dyDescent="0.3">
      <c r="B732" s="324" t="s">
        <v>802</v>
      </c>
      <c r="C732" s="328" t="s">
        <v>115</v>
      </c>
      <c r="E732" s="326">
        <v>23</v>
      </c>
      <c r="F732" s="48">
        <f t="shared" si="19"/>
        <v>0</v>
      </c>
    </row>
    <row r="733" spans="2:6" ht="14.4" x14ac:dyDescent="0.3">
      <c r="B733" s="324" t="s">
        <v>803</v>
      </c>
      <c r="C733" s="328" t="s">
        <v>115</v>
      </c>
      <c r="E733" s="326">
        <v>75</v>
      </c>
      <c r="F733" s="48">
        <f t="shared" si="19"/>
        <v>0</v>
      </c>
    </row>
    <row r="734" spans="2:6" ht="14.4" x14ac:dyDescent="0.3">
      <c r="B734" s="324" t="s">
        <v>804</v>
      </c>
      <c r="C734" s="328" t="s">
        <v>115</v>
      </c>
      <c r="E734" s="326">
        <v>22</v>
      </c>
      <c r="F734" s="48">
        <f t="shared" si="19"/>
        <v>0</v>
      </c>
    </row>
    <row r="735" spans="2:6" ht="14.4" x14ac:dyDescent="0.3">
      <c r="B735" s="324" t="s">
        <v>805</v>
      </c>
      <c r="C735" s="328" t="s">
        <v>115</v>
      </c>
      <c r="E735" s="326">
        <v>10</v>
      </c>
      <c r="F735" s="48">
        <f t="shared" si="19"/>
        <v>0</v>
      </c>
    </row>
    <row r="736" spans="2:6" ht="14.4" x14ac:dyDescent="0.3">
      <c r="B736" s="324"/>
      <c r="C736" s="328"/>
      <c r="E736" s="326"/>
      <c r="F736" s="48">
        <f t="shared" si="19"/>
        <v>0</v>
      </c>
    </row>
    <row r="737" spans="2:6" ht="14.4" x14ac:dyDescent="0.3">
      <c r="B737" s="420" t="s">
        <v>806</v>
      </c>
      <c r="C737" s="328" t="s">
        <v>115</v>
      </c>
      <c r="E737" s="326">
        <v>520</v>
      </c>
      <c r="F737" s="48">
        <f t="shared" si="19"/>
        <v>0</v>
      </c>
    </row>
    <row r="738" spans="2:6" ht="14.4" x14ac:dyDescent="0.3">
      <c r="B738" s="420" t="s">
        <v>807</v>
      </c>
      <c r="C738" s="328" t="s">
        <v>115</v>
      </c>
      <c r="E738" s="326">
        <v>230</v>
      </c>
      <c r="F738" s="48">
        <f t="shared" si="19"/>
        <v>0</v>
      </c>
    </row>
    <row r="739" spans="2:6" ht="14.4" x14ac:dyDescent="0.3">
      <c r="B739" s="420" t="s">
        <v>808</v>
      </c>
      <c r="C739" s="328" t="s">
        <v>115</v>
      </c>
      <c r="E739" s="326">
        <v>2800</v>
      </c>
      <c r="F739" s="48">
        <f t="shared" si="19"/>
        <v>0</v>
      </c>
    </row>
    <row r="740" spans="2:6" ht="14.4" x14ac:dyDescent="0.3">
      <c r="B740" s="420" t="s">
        <v>809</v>
      </c>
      <c r="C740" s="328" t="s">
        <v>115</v>
      </c>
      <c r="E740" s="326">
        <v>950</v>
      </c>
      <c r="F740" s="48">
        <f t="shared" si="19"/>
        <v>0</v>
      </c>
    </row>
    <row r="741" spans="2:6" ht="14.4" x14ac:dyDescent="0.3">
      <c r="B741" s="420" t="s">
        <v>745</v>
      </c>
      <c r="C741" s="328" t="s">
        <v>115</v>
      </c>
      <c r="E741" s="326">
        <v>1250</v>
      </c>
      <c r="F741" s="48">
        <f t="shared" si="19"/>
        <v>0</v>
      </c>
    </row>
    <row r="742" spans="2:6" ht="14.4" x14ac:dyDescent="0.3">
      <c r="B742" s="420" t="s">
        <v>810</v>
      </c>
      <c r="C742" s="328" t="s">
        <v>115</v>
      </c>
      <c r="E742" s="334">
        <v>200</v>
      </c>
      <c r="F742" s="48">
        <f t="shared" si="19"/>
        <v>0</v>
      </c>
    </row>
    <row r="743" spans="2:6" ht="14.4" x14ac:dyDescent="0.3">
      <c r="B743" s="420" t="s">
        <v>811</v>
      </c>
      <c r="C743" s="328" t="s">
        <v>115</v>
      </c>
      <c r="E743" s="334">
        <v>60</v>
      </c>
      <c r="F743" s="48">
        <f t="shared" si="19"/>
        <v>0</v>
      </c>
    </row>
    <row r="744" spans="2:6" ht="14.4" x14ac:dyDescent="0.3">
      <c r="B744" s="420" t="s">
        <v>812</v>
      </c>
      <c r="C744" s="328" t="s">
        <v>115</v>
      </c>
      <c r="E744" s="334">
        <v>120</v>
      </c>
      <c r="F744" s="48">
        <f t="shared" si="19"/>
        <v>0</v>
      </c>
    </row>
    <row r="745" spans="2:6" ht="14.4" x14ac:dyDescent="0.3">
      <c r="B745" s="420" t="s">
        <v>813</v>
      </c>
      <c r="C745" s="328" t="s">
        <v>115</v>
      </c>
      <c r="E745" s="326">
        <v>61.33</v>
      </c>
      <c r="F745" s="48">
        <f t="shared" si="19"/>
        <v>0</v>
      </c>
    </row>
    <row r="746" spans="2:6" ht="14.4" x14ac:dyDescent="0.3">
      <c r="B746" s="420" t="s">
        <v>814</v>
      </c>
      <c r="C746" s="328" t="s">
        <v>115</v>
      </c>
      <c r="D746" s="40">
        <v>4</v>
      </c>
      <c r="E746" s="334">
        <v>100</v>
      </c>
      <c r="F746" s="48">
        <f t="shared" si="19"/>
        <v>400</v>
      </c>
    </row>
    <row r="747" spans="2:6" ht="28.8" x14ac:dyDescent="0.3">
      <c r="B747" s="425" t="s">
        <v>815</v>
      </c>
      <c r="C747" s="328" t="s">
        <v>115</v>
      </c>
      <c r="D747" s="40">
        <v>1</v>
      </c>
      <c r="E747" s="334">
        <v>250</v>
      </c>
      <c r="F747" s="48">
        <f t="shared" si="19"/>
        <v>250</v>
      </c>
    </row>
    <row r="748" spans="2:6" ht="43.2" x14ac:dyDescent="0.3">
      <c r="B748" s="425" t="s">
        <v>816</v>
      </c>
      <c r="C748" s="328" t="s">
        <v>115</v>
      </c>
      <c r="E748" s="334">
        <v>250</v>
      </c>
      <c r="F748" s="48">
        <f t="shared" si="19"/>
        <v>0</v>
      </c>
    </row>
    <row r="749" spans="2:6" ht="14.4" x14ac:dyDescent="0.3">
      <c r="B749" s="425" t="s">
        <v>817</v>
      </c>
      <c r="C749" s="328" t="s">
        <v>115</v>
      </c>
      <c r="E749" s="326">
        <v>300</v>
      </c>
      <c r="F749" s="48">
        <f t="shared" si="19"/>
        <v>0</v>
      </c>
    </row>
    <row r="750" spans="2:6" ht="14.4" x14ac:dyDescent="0.3">
      <c r="B750" s="425" t="s">
        <v>818</v>
      </c>
      <c r="C750" s="328" t="s">
        <v>115</v>
      </c>
      <c r="E750" s="334">
        <v>1200</v>
      </c>
      <c r="F750" s="48">
        <f t="shared" si="19"/>
        <v>0</v>
      </c>
    </row>
    <row r="753" spans="2:6" ht="14.4" x14ac:dyDescent="0.3">
      <c r="B753" s="325" t="s">
        <v>840</v>
      </c>
    </row>
    <row r="754" spans="2:6" ht="14.4" x14ac:dyDescent="0.3">
      <c r="B754" s="327" t="s">
        <v>354</v>
      </c>
    </row>
    <row r="755" spans="2:6" ht="14.4" x14ac:dyDescent="0.3">
      <c r="B755" s="324"/>
    </row>
    <row r="756" spans="2:6" ht="14.4" x14ac:dyDescent="0.3">
      <c r="B756" s="324"/>
    </row>
    <row r="757" spans="2:6" ht="14.4" x14ac:dyDescent="0.3">
      <c r="B757" s="420" t="s">
        <v>841</v>
      </c>
      <c r="C757" s="328" t="s">
        <v>149</v>
      </c>
      <c r="E757" s="385">
        <v>165.6</v>
      </c>
      <c r="F757" s="48">
        <f>E757*D757</f>
        <v>0</v>
      </c>
    </row>
    <row r="758" spans="2:6" ht="14.4" x14ac:dyDescent="0.3">
      <c r="B758" s="420" t="s">
        <v>842</v>
      </c>
      <c r="C758" s="328" t="s">
        <v>149</v>
      </c>
      <c r="E758" s="385">
        <v>89.699999999999989</v>
      </c>
      <c r="F758" s="48">
        <f t="shared" ref="F758:F821" si="20">E758*D758</f>
        <v>0</v>
      </c>
    </row>
    <row r="759" spans="2:6" ht="14.4" x14ac:dyDescent="0.3">
      <c r="B759" s="420" t="s">
        <v>843</v>
      </c>
      <c r="C759" s="328" t="s">
        <v>149</v>
      </c>
      <c r="E759" s="385">
        <v>66.239999999999995</v>
      </c>
      <c r="F759" s="48">
        <f t="shared" si="20"/>
        <v>0</v>
      </c>
    </row>
    <row r="760" spans="2:6" ht="14.4" x14ac:dyDescent="0.3">
      <c r="B760" s="420" t="s">
        <v>844</v>
      </c>
      <c r="C760" s="328" t="s">
        <v>149</v>
      </c>
      <c r="E760" s="385">
        <v>0</v>
      </c>
      <c r="F760" s="48">
        <f t="shared" si="20"/>
        <v>0</v>
      </c>
    </row>
    <row r="761" spans="2:6" ht="14.4" x14ac:dyDescent="0.3">
      <c r="B761" s="420" t="s">
        <v>845</v>
      </c>
      <c r="C761" s="328" t="s">
        <v>149</v>
      </c>
      <c r="E761" s="385">
        <v>85.104599999999991</v>
      </c>
      <c r="F761" s="48">
        <f t="shared" si="20"/>
        <v>0</v>
      </c>
    </row>
    <row r="762" spans="2:6" ht="14.4" x14ac:dyDescent="0.3">
      <c r="B762" s="420" t="s">
        <v>846</v>
      </c>
      <c r="C762" s="328" t="s">
        <v>149</v>
      </c>
      <c r="E762" s="385">
        <v>84.179999999999993</v>
      </c>
      <c r="F762" s="48">
        <f t="shared" si="20"/>
        <v>0</v>
      </c>
    </row>
    <row r="763" spans="2:6" ht="14.4" x14ac:dyDescent="0.3">
      <c r="B763" s="324" t="s">
        <v>847</v>
      </c>
      <c r="C763" s="328" t="s">
        <v>149</v>
      </c>
      <c r="E763" s="385">
        <v>68.77</v>
      </c>
      <c r="F763" s="48">
        <f t="shared" si="20"/>
        <v>0</v>
      </c>
    </row>
    <row r="764" spans="2:6" ht="14.4" x14ac:dyDescent="0.3">
      <c r="B764" s="324" t="s">
        <v>848</v>
      </c>
      <c r="C764" s="328" t="s">
        <v>149</v>
      </c>
      <c r="E764" s="385">
        <v>55.199999999999996</v>
      </c>
      <c r="F764" s="48">
        <f t="shared" si="20"/>
        <v>0</v>
      </c>
    </row>
    <row r="765" spans="2:6" ht="14.4" x14ac:dyDescent="0.3">
      <c r="B765" s="420" t="s">
        <v>849</v>
      </c>
      <c r="C765" s="328" t="s">
        <v>149</v>
      </c>
      <c r="E765" s="385">
        <v>55.199999999999996</v>
      </c>
      <c r="F765" s="48">
        <f t="shared" si="20"/>
        <v>0</v>
      </c>
    </row>
    <row r="766" spans="2:6" ht="14.4" x14ac:dyDescent="0.3">
      <c r="B766" s="420" t="s">
        <v>850</v>
      </c>
      <c r="C766" s="328" t="s">
        <v>149</v>
      </c>
      <c r="E766" s="385">
        <v>42.779999999999994</v>
      </c>
      <c r="F766" s="48">
        <f t="shared" si="20"/>
        <v>0</v>
      </c>
    </row>
    <row r="767" spans="2:6" ht="14.4" x14ac:dyDescent="0.3">
      <c r="B767" s="324" t="s">
        <v>851</v>
      </c>
      <c r="C767" s="328" t="s">
        <v>149</v>
      </c>
      <c r="E767" s="385">
        <v>32.659999999999997</v>
      </c>
      <c r="F767" s="48">
        <f t="shared" si="20"/>
        <v>0</v>
      </c>
    </row>
    <row r="768" spans="2:6" ht="14.4" x14ac:dyDescent="0.3">
      <c r="B768" s="420" t="s">
        <v>852</v>
      </c>
      <c r="C768" s="328" t="s">
        <v>149</v>
      </c>
      <c r="E768" s="385">
        <v>19.549999999999997</v>
      </c>
      <c r="F768" s="48">
        <f t="shared" si="20"/>
        <v>0</v>
      </c>
    </row>
    <row r="769" spans="2:6" ht="14.4" x14ac:dyDescent="0.3">
      <c r="B769" s="324" t="s">
        <v>853</v>
      </c>
      <c r="C769" s="328" t="s">
        <v>149</v>
      </c>
      <c r="E769" s="385">
        <v>16.099999999999998</v>
      </c>
      <c r="F769" s="48">
        <f t="shared" si="20"/>
        <v>0</v>
      </c>
    </row>
    <row r="770" spans="2:6" ht="14.4" x14ac:dyDescent="0.3">
      <c r="B770" s="324" t="s">
        <v>854</v>
      </c>
      <c r="C770" s="328" t="s">
        <v>149</v>
      </c>
      <c r="E770" s="385">
        <v>19.549999999999997</v>
      </c>
      <c r="F770" s="48">
        <f t="shared" si="20"/>
        <v>0</v>
      </c>
    </row>
    <row r="771" spans="2:6" ht="14.4" x14ac:dyDescent="0.3">
      <c r="B771" s="420" t="s">
        <v>853</v>
      </c>
      <c r="C771" s="419" t="s">
        <v>149</v>
      </c>
      <c r="E771" s="385">
        <v>16.559999999999999</v>
      </c>
      <c r="F771" s="48">
        <f t="shared" si="20"/>
        <v>0</v>
      </c>
    </row>
    <row r="772" spans="2:6" ht="14.4" x14ac:dyDescent="0.3">
      <c r="B772" s="420" t="s">
        <v>764</v>
      </c>
      <c r="C772" s="419" t="s">
        <v>149</v>
      </c>
      <c r="E772" s="385">
        <f>(2415.3/(83*6))*1.38</f>
        <v>6.6930000000000005</v>
      </c>
      <c r="F772" s="48">
        <f t="shared" si="20"/>
        <v>0</v>
      </c>
    </row>
    <row r="773" spans="2:6" ht="14.4" x14ac:dyDescent="0.3">
      <c r="B773" s="420" t="s">
        <v>855</v>
      </c>
      <c r="C773" s="419" t="s">
        <v>149</v>
      </c>
      <c r="E773" s="385">
        <v>6.8999999999999995</v>
      </c>
      <c r="F773" s="48">
        <f t="shared" si="20"/>
        <v>0</v>
      </c>
    </row>
    <row r="774" spans="2:6" ht="14.4" x14ac:dyDescent="0.3">
      <c r="B774" s="420" t="s">
        <v>856</v>
      </c>
      <c r="C774" s="419" t="s">
        <v>149</v>
      </c>
      <c r="E774" s="385">
        <f>(2415.3/(83*6))*1.38</f>
        <v>6.6930000000000005</v>
      </c>
      <c r="F774" s="48">
        <f t="shared" si="20"/>
        <v>0</v>
      </c>
    </row>
    <row r="775" spans="2:6" ht="14.4" x14ac:dyDescent="0.3">
      <c r="B775" s="420"/>
      <c r="C775" s="419"/>
      <c r="E775" s="385">
        <v>0</v>
      </c>
      <c r="F775" s="48">
        <f t="shared" si="20"/>
        <v>0</v>
      </c>
    </row>
    <row r="776" spans="2:6" ht="14.4" x14ac:dyDescent="0.3">
      <c r="B776" s="335" t="s">
        <v>857</v>
      </c>
      <c r="C776" s="328"/>
      <c r="E776" s="385">
        <v>0</v>
      </c>
      <c r="F776" s="48">
        <f t="shared" si="20"/>
        <v>0</v>
      </c>
    </row>
    <row r="777" spans="2:6" ht="14.4" x14ac:dyDescent="0.3">
      <c r="B777" s="420"/>
      <c r="C777" s="328" t="s">
        <v>115</v>
      </c>
      <c r="E777" s="385">
        <v>0</v>
      </c>
      <c r="F777" s="48">
        <f t="shared" si="20"/>
        <v>0</v>
      </c>
    </row>
    <row r="778" spans="2:6" ht="14.4" x14ac:dyDescent="0.3">
      <c r="B778" t="s">
        <v>858</v>
      </c>
      <c r="C778" s="328" t="s">
        <v>115</v>
      </c>
      <c r="E778" s="385">
        <v>676.19999999999993</v>
      </c>
      <c r="F778" s="48">
        <f t="shared" si="20"/>
        <v>0</v>
      </c>
    </row>
    <row r="779" spans="2:6" ht="14.4" x14ac:dyDescent="0.3">
      <c r="B779" t="s">
        <v>859</v>
      </c>
      <c r="C779" s="328" t="s">
        <v>115</v>
      </c>
      <c r="E779" s="385">
        <v>896.99999999999989</v>
      </c>
      <c r="F779" s="48">
        <f t="shared" si="20"/>
        <v>0</v>
      </c>
    </row>
    <row r="780" spans="2:6" ht="14.4" x14ac:dyDescent="0.3">
      <c r="B780" t="s">
        <v>860</v>
      </c>
      <c r="C780" s="328" t="s">
        <v>115</v>
      </c>
      <c r="E780" s="385">
        <v>1517.9999999999998</v>
      </c>
      <c r="F780" s="48">
        <f t="shared" si="20"/>
        <v>0</v>
      </c>
    </row>
    <row r="781" spans="2:6" ht="14.4" x14ac:dyDescent="0.3">
      <c r="B781" t="s">
        <v>861</v>
      </c>
      <c r="C781" s="328" t="s">
        <v>115</v>
      </c>
      <c r="E781" s="385">
        <v>634.79999999999995</v>
      </c>
      <c r="F781" s="48">
        <f t="shared" si="20"/>
        <v>0</v>
      </c>
    </row>
    <row r="782" spans="2:6" ht="14.4" x14ac:dyDescent="0.3">
      <c r="B782" t="s">
        <v>862</v>
      </c>
      <c r="C782" s="328" t="s">
        <v>115</v>
      </c>
      <c r="E782" s="385">
        <v>800.4</v>
      </c>
      <c r="F782" s="48">
        <f t="shared" si="20"/>
        <v>0</v>
      </c>
    </row>
    <row r="783" spans="2:6" ht="14.4" x14ac:dyDescent="0.3">
      <c r="B783" t="s">
        <v>863</v>
      </c>
      <c r="C783" s="328" t="s">
        <v>115</v>
      </c>
      <c r="E783" s="385">
        <v>441.59999999999997</v>
      </c>
      <c r="F783" s="48">
        <f t="shared" si="20"/>
        <v>0</v>
      </c>
    </row>
    <row r="784" spans="2:6" ht="14.4" x14ac:dyDescent="0.3">
      <c r="B784" s="420" t="s">
        <v>864</v>
      </c>
      <c r="C784" s="328" t="s">
        <v>115</v>
      </c>
      <c r="E784" s="385">
        <v>579.59999999999991</v>
      </c>
      <c r="F784" s="48">
        <f t="shared" si="20"/>
        <v>0</v>
      </c>
    </row>
    <row r="785" spans="2:6" ht="14.4" x14ac:dyDescent="0.3">
      <c r="B785" s="420" t="s">
        <v>865</v>
      </c>
      <c r="C785" s="328" t="s">
        <v>115</v>
      </c>
      <c r="E785" s="385">
        <v>776.09819999999991</v>
      </c>
      <c r="F785" s="48">
        <f t="shared" si="20"/>
        <v>0</v>
      </c>
    </row>
    <row r="786" spans="2:6" ht="14.4" x14ac:dyDescent="0.3">
      <c r="B786" s="420" t="s">
        <v>866</v>
      </c>
      <c r="C786" s="328" t="s">
        <v>115</v>
      </c>
      <c r="E786" s="385">
        <v>777.4781999999999</v>
      </c>
      <c r="F786" s="48">
        <f t="shared" si="20"/>
        <v>0</v>
      </c>
    </row>
    <row r="787" spans="2:6" ht="14.4" x14ac:dyDescent="0.3">
      <c r="B787" s="420" t="s">
        <v>867</v>
      </c>
      <c r="C787" s="328" t="s">
        <v>115</v>
      </c>
      <c r="E787" s="385">
        <v>524.4</v>
      </c>
      <c r="F787" s="48">
        <f t="shared" si="20"/>
        <v>0</v>
      </c>
    </row>
    <row r="788" spans="2:6" ht="14.4" x14ac:dyDescent="0.3">
      <c r="B788" s="420" t="s">
        <v>868</v>
      </c>
      <c r="C788" s="328" t="s">
        <v>115</v>
      </c>
      <c r="E788" s="385">
        <v>496.79999999999995</v>
      </c>
      <c r="F788" s="48">
        <f t="shared" si="20"/>
        <v>0</v>
      </c>
    </row>
    <row r="789" spans="2:6" ht="14.4" x14ac:dyDescent="0.3">
      <c r="B789" s="420" t="s">
        <v>869</v>
      </c>
      <c r="C789" s="328" t="s">
        <v>115</v>
      </c>
      <c r="E789" s="385">
        <v>745.19999999999993</v>
      </c>
      <c r="F789" s="48">
        <f t="shared" si="20"/>
        <v>0</v>
      </c>
    </row>
    <row r="790" spans="2:6" ht="14.4" x14ac:dyDescent="0.3">
      <c r="B790" s="420" t="s">
        <v>870</v>
      </c>
      <c r="C790" s="328" t="s">
        <v>115</v>
      </c>
      <c r="E790" s="385">
        <v>621</v>
      </c>
      <c r="F790" s="48">
        <f t="shared" si="20"/>
        <v>0</v>
      </c>
    </row>
    <row r="791" spans="2:6" ht="14.4" x14ac:dyDescent="0.3">
      <c r="B791" s="420" t="s">
        <v>871</v>
      </c>
      <c r="C791" s="328" t="s">
        <v>115</v>
      </c>
      <c r="E791" s="385">
        <v>496.79999999999995</v>
      </c>
      <c r="F791" s="48">
        <f t="shared" si="20"/>
        <v>0</v>
      </c>
    </row>
    <row r="792" spans="2:6" ht="14.4" x14ac:dyDescent="0.3">
      <c r="B792" s="420" t="s">
        <v>872</v>
      </c>
      <c r="C792" s="328" t="s">
        <v>115</v>
      </c>
      <c r="E792" s="385">
        <v>441.59999999999997</v>
      </c>
      <c r="F792" s="48">
        <f t="shared" si="20"/>
        <v>0</v>
      </c>
    </row>
    <row r="793" spans="2:6" ht="14.4" x14ac:dyDescent="0.3">
      <c r="B793" s="420" t="s">
        <v>873</v>
      </c>
      <c r="C793" s="328" t="s">
        <v>115</v>
      </c>
      <c r="E793" s="385">
        <v>262.2</v>
      </c>
      <c r="F793" s="48">
        <f t="shared" si="20"/>
        <v>0</v>
      </c>
    </row>
    <row r="794" spans="2:6" ht="14.4" x14ac:dyDescent="0.3">
      <c r="B794" s="420" t="s">
        <v>874</v>
      </c>
      <c r="C794" s="328" t="s">
        <v>115</v>
      </c>
      <c r="E794" s="385">
        <v>345</v>
      </c>
      <c r="F794" s="48">
        <f t="shared" si="20"/>
        <v>0</v>
      </c>
    </row>
    <row r="795" spans="2:6" ht="14.4" x14ac:dyDescent="0.3">
      <c r="B795" s="420" t="s">
        <v>875</v>
      </c>
      <c r="C795" s="328" t="s">
        <v>115</v>
      </c>
      <c r="E795" s="385">
        <v>262.2</v>
      </c>
      <c r="F795" s="48">
        <f t="shared" si="20"/>
        <v>0</v>
      </c>
    </row>
    <row r="796" spans="2:6" ht="14.4" x14ac:dyDescent="0.3">
      <c r="B796" s="420" t="s">
        <v>876</v>
      </c>
      <c r="C796" s="328" t="s">
        <v>115</v>
      </c>
      <c r="E796" s="385">
        <v>455.4</v>
      </c>
      <c r="F796" s="48">
        <f t="shared" si="20"/>
        <v>0</v>
      </c>
    </row>
    <row r="797" spans="2:6" ht="14.4" x14ac:dyDescent="0.3">
      <c r="B797" s="420" t="s">
        <v>877</v>
      </c>
      <c r="C797" s="328" t="s">
        <v>115</v>
      </c>
      <c r="E797" s="385">
        <v>117.645</v>
      </c>
      <c r="F797" s="48">
        <f t="shared" si="20"/>
        <v>0</v>
      </c>
    </row>
    <row r="798" spans="2:6" ht="14.4" x14ac:dyDescent="0.3">
      <c r="B798" s="420" t="s">
        <v>878</v>
      </c>
      <c r="C798" s="328" t="s">
        <v>115</v>
      </c>
      <c r="E798" s="385">
        <v>289.79999999999995</v>
      </c>
      <c r="F798" s="48">
        <f t="shared" si="20"/>
        <v>0</v>
      </c>
    </row>
    <row r="799" spans="2:6" ht="14.4" x14ac:dyDescent="0.3">
      <c r="B799" s="420" t="s">
        <v>879</v>
      </c>
      <c r="C799" s="328" t="s">
        <v>115</v>
      </c>
      <c r="E799" s="385">
        <v>85.559999999999988</v>
      </c>
      <c r="F799" s="48">
        <f t="shared" si="20"/>
        <v>0</v>
      </c>
    </row>
    <row r="800" spans="2:6" ht="14.4" x14ac:dyDescent="0.3">
      <c r="B800" s="420" t="s">
        <v>880</v>
      </c>
      <c r="C800" s="328" t="s">
        <v>115</v>
      </c>
      <c r="E800" s="385">
        <v>84.179999999999993</v>
      </c>
      <c r="F800" s="48">
        <f t="shared" si="20"/>
        <v>0</v>
      </c>
    </row>
    <row r="801" spans="2:6" ht="14.4" x14ac:dyDescent="0.3">
      <c r="B801" s="420" t="s">
        <v>881</v>
      </c>
      <c r="C801" s="419" t="s">
        <v>115</v>
      </c>
      <c r="E801" s="385">
        <v>62.099999999999994</v>
      </c>
      <c r="F801" s="48">
        <f t="shared" si="20"/>
        <v>0</v>
      </c>
    </row>
    <row r="802" spans="2:6" ht="14.4" x14ac:dyDescent="0.3">
      <c r="B802" s="420" t="s">
        <v>882</v>
      </c>
      <c r="C802" s="328" t="s">
        <v>115</v>
      </c>
      <c r="E802" s="385">
        <v>24.839999999999996</v>
      </c>
      <c r="F802" s="48">
        <f t="shared" si="20"/>
        <v>0</v>
      </c>
    </row>
    <row r="803" spans="2:6" ht="14.4" x14ac:dyDescent="0.3">
      <c r="B803" s="420" t="s">
        <v>883</v>
      </c>
      <c r="C803" s="328" t="s">
        <v>115</v>
      </c>
      <c r="E803" s="385">
        <v>22.08</v>
      </c>
      <c r="F803" s="48">
        <f t="shared" si="20"/>
        <v>0</v>
      </c>
    </row>
    <row r="804" spans="2:6" ht="14.4" x14ac:dyDescent="0.3">
      <c r="B804" s="420" t="s">
        <v>884</v>
      </c>
      <c r="C804" s="328" t="s">
        <v>115</v>
      </c>
      <c r="E804" s="385">
        <v>16.559999999999999</v>
      </c>
      <c r="F804" s="48">
        <f t="shared" si="20"/>
        <v>0</v>
      </c>
    </row>
    <row r="805" spans="2:6" ht="14.4" x14ac:dyDescent="0.3">
      <c r="B805" s="420" t="s">
        <v>885</v>
      </c>
      <c r="C805" s="419" t="s">
        <v>115</v>
      </c>
      <c r="E805" s="385">
        <v>22.08</v>
      </c>
      <c r="F805" s="48">
        <f t="shared" si="20"/>
        <v>0</v>
      </c>
    </row>
    <row r="806" spans="2:6" ht="14.4" x14ac:dyDescent="0.3">
      <c r="B806" s="420" t="s">
        <v>886</v>
      </c>
      <c r="C806" s="419" t="s">
        <v>115</v>
      </c>
      <c r="E806" s="385">
        <v>22.08</v>
      </c>
      <c r="F806" s="48">
        <f t="shared" si="20"/>
        <v>0</v>
      </c>
    </row>
    <row r="807" spans="2:6" ht="14.4" x14ac:dyDescent="0.3">
      <c r="B807" s="420" t="s">
        <v>766</v>
      </c>
      <c r="C807" s="419" t="s">
        <v>115</v>
      </c>
      <c r="E807" s="385">
        <v>6.4859999999999998</v>
      </c>
      <c r="F807" s="48">
        <f t="shared" si="20"/>
        <v>0</v>
      </c>
    </row>
    <row r="808" spans="2:6" ht="14.4" x14ac:dyDescent="0.3">
      <c r="B808" s="420" t="s">
        <v>887</v>
      </c>
      <c r="C808" s="419" t="s">
        <v>115</v>
      </c>
      <c r="E808" s="385">
        <v>22.08</v>
      </c>
      <c r="F808" s="48">
        <f t="shared" si="20"/>
        <v>0</v>
      </c>
    </row>
    <row r="809" spans="2:6" ht="14.4" x14ac:dyDescent="0.3">
      <c r="B809" s="420" t="s">
        <v>888</v>
      </c>
      <c r="C809" s="419" t="s">
        <v>115</v>
      </c>
      <c r="E809" s="385">
        <v>22.08</v>
      </c>
      <c r="F809" s="48">
        <f t="shared" si="20"/>
        <v>0</v>
      </c>
    </row>
    <row r="810" spans="2:6" ht="14.4" x14ac:dyDescent="0.3">
      <c r="B810" s="420" t="s">
        <v>772</v>
      </c>
      <c r="C810" s="419" t="s">
        <v>115</v>
      </c>
      <c r="E810" s="385">
        <v>16.559999999999999</v>
      </c>
      <c r="F810" s="48">
        <f t="shared" si="20"/>
        <v>0</v>
      </c>
    </row>
    <row r="811" spans="2:6" ht="14.4" x14ac:dyDescent="0.3">
      <c r="B811" s="420" t="s">
        <v>773</v>
      </c>
      <c r="C811" s="419" t="s">
        <v>115</v>
      </c>
      <c r="E811" s="385">
        <v>16.559999999999999</v>
      </c>
      <c r="F811" s="48">
        <f t="shared" si="20"/>
        <v>0</v>
      </c>
    </row>
    <row r="812" spans="2:6" ht="14.4" x14ac:dyDescent="0.3">
      <c r="B812" s="420" t="s">
        <v>889</v>
      </c>
      <c r="C812" s="419" t="s">
        <v>115</v>
      </c>
      <c r="E812" s="385">
        <v>19.32</v>
      </c>
      <c r="F812" s="48">
        <f t="shared" si="20"/>
        <v>0</v>
      </c>
    </row>
    <row r="813" spans="2:6" ht="14.4" x14ac:dyDescent="0.3">
      <c r="B813" s="420" t="s">
        <v>890</v>
      </c>
      <c r="C813" s="419" t="s">
        <v>115</v>
      </c>
      <c r="E813" s="385">
        <v>0.89699999999999991</v>
      </c>
      <c r="F813" s="48">
        <f t="shared" si="20"/>
        <v>0</v>
      </c>
    </row>
    <row r="814" spans="2:6" ht="14.4" x14ac:dyDescent="0.3">
      <c r="B814" s="420" t="s">
        <v>891</v>
      </c>
      <c r="C814" s="419" t="s">
        <v>115</v>
      </c>
      <c r="E814" s="385">
        <v>0.89699999999999991</v>
      </c>
      <c r="F814" s="48">
        <f t="shared" si="20"/>
        <v>0</v>
      </c>
    </row>
    <row r="815" spans="2:6" ht="14.4" x14ac:dyDescent="0.3">
      <c r="B815" s="420"/>
      <c r="C815" s="419"/>
      <c r="E815" s="385">
        <v>0</v>
      </c>
      <c r="F815" s="48">
        <f t="shared" si="20"/>
        <v>0</v>
      </c>
    </row>
    <row r="816" spans="2:6" ht="14.4" x14ac:dyDescent="0.3">
      <c r="B816" s="420"/>
      <c r="C816" s="419"/>
      <c r="E816" s="385">
        <v>0</v>
      </c>
      <c r="F816" s="48">
        <f t="shared" si="20"/>
        <v>0</v>
      </c>
    </row>
    <row r="817" spans="2:6" ht="14.4" x14ac:dyDescent="0.3">
      <c r="B817" s="324" t="s">
        <v>892</v>
      </c>
      <c r="C817" s="328" t="s">
        <v>115</v>
      </c>
      <c r="E817" s="385">
        <v>2.6219999999999999</v>
      </c>
      <c r="F817" s="48">
        <f t="shared" si="20"/>
        <v>0</v>
      </c>
    </row>
    <row r="818" spans="2:6" ht="14.4" x14ac:dyDescent="0.3">
      <c r="B818" s="324" t="s">
        <v>491</v>
      </c>
      <c r="C818" s="328" t="s">
        <v>149</v>
      </c>
      <c r="E818" s="385">
        <v>2.76</v>
      </c>
      <c r="F818" s="48">
        <f t="shared" si="20"/>
        <v>0</v>
      </c>
    </row>
    <row r="819" spans="2:6" ht="14.4" x14ac:dyDescent="0.3">
      <c r="B819" s="324" t="s">
        <v>801</v>
      </c>
      <c r="C819" s="328" t="s">
        <v>115</v>
      </c>
      <c r="E819" s="385">
        <v>36.431999999999995</v>
      </c>
      <c r="F819" s="48">
        <f t="shared" si="20"/>
        <v>0</v>
      </c>
    </row>
    <row r="820" spans="2:6" ht="14.4" x14ac:dyDescent="0.3">
      <c r="B820" s="324" t="s">
        <v>802</v>
      </c>
      <c r="C820" s="328" t="s">
        <v>115</v>
      </c>
      <c r="E820" s="385">
        <v>31.74</v>
      </c>
      <c r="F820" s="48">
        <f t="shared" si="20"/>
        <v>0</v>
      </c>
    </row>
    <row r="821" spans="2:6" ht="14.4" x14ac:dyDescent="0.3">
      <c r="B821" s="324"/>
      <c r="C821" s="328"/>
      <c r="E821" s="385">
        <v>0</v>
      </c>
      <c r="F821" s="48">
        <f t="shared" si="20"/>
        <v>0</v>
      </c>
    </row>
    <row r="822" spans="2:6" ht="14.4" x14ac:dyDescent="0.3">
      <c r="B822" s="426" t="s">
        <v>893</v>
      </c>
      <c r="C822" s="328"/>
      <c r="E822" s="385">
        <v>0</v>
      </c>
      <c r="F822" s="48">
        <f t="shared" ref="F822:F835" si="21">E822*D822</f>
        <v>0</v>
      </c>
    </row>
    <row r="823" spans="2:6" ht="14.4" x14ac:dyDescent="0.3">
      <c r="B823" s="324"/>
      <c r="C823" s="328"/>
      <c r="E823" s="385">
        <v>0</v>
      </c>
      <c r="F823" s="48">
        <f t="shared" si="21"/>
        <v>0</v>
      </c>
    </row>
    <row r="824" spans="2:6" ht="14.4" x14ac:dyDescent="0.3">
      <c r="B824" s="420" t="s">
        <v>894</v>
      </c>
      <c r="C824" s="328" t="s">
        <v>115</v>
      </c>
      <c r="E824" s="385">
        <v>362.13959999999997</v>
      </c>
      <c r="F824" s="48">
        <f t="shared" si="21"/>
        <v>0</v>
      </c>
    </row>
    <row r="825" spans="2:6" ht="14.4" x14ac:dyDescent="0.3">
      <c r="B825" s="420" t="s">
        <v>895</v>
      </c>
      <c r="C825" s="328" t="s">
        <v>115</v>
      </c>
      <c r="E825" s="385">
        <v>827.99999999999989</v>
      </c>
      <c r="F825" s="48">
        <f t="shared" si="21"/>
        <v>0</v>
      </c>
    </row>
    <row r="826" spans="2:6" ht="14.4" x14ac:dyDescent="0.3">
      <c r="B826" s="420" t="s">
        <v>896</v>
      </c>
      <c r="C826" s="328" t="s">
        <v>115</v>
      </c>
      <c r="E826" s="385">
        <v>552</v>
      </c>
      <c r="F826" s="48">
        <f t="shared" si="21"/>
        <v>0</v>
      </c>
    </row>
    <row r="827" spans="2:6" ht="14.4" x14ac:dyDescent="0.3">
      <c r="B827" s="420"/>
      <c r="C827" s="328"/>
      <c r="E827" s="385">
        <v>0</v>
      </c>
      <c r="F827" s="48">
        <f t="shared" si="21"/>
        <v>0</v>
      </c>
    </row>
    <row r="828" spans="2:6" ht="14.4" x14ac:dyDescent="0.3">
      <c r="B828" s="420" t="s">
        <v>897</v>
      </c>
      <c r="C828" s="328" t="s">
        <v>115</v>
      </c>
      <c r="E828" s="385">
        <v>690</v>
      </c>
      <c r="F828" s="48">
        <f t="shared" si="21"/>
        <v>0</v>
      </c>
    </row>
    <row r="829" spans="2:6" ht="14.4" x14ac:dyDescent="0.3">
      <c r="B829" s="420" t="s">
        <v>898</v>
      </c>
      <c r="C829" s="328" t="s">
        <v>115</v>
      </c>
      <c r="E829" s="385">
        <v>413.99999999999994</v>
      </c>
      <c r="F829" s="48">
        <f t="shared" si="21"/>
        <v>0</v>
      </c>
    </row>
    <row r="830" spans="2:6" ht="14.4" x14ac:dyDescent="0.3">
      <c r="B830" s="420" t="s">
        <v>899</v>
      </c>
      <c r="C830" s="328" t="s">
        <v>115</v>
      </c>
      <c r="E830" s="385">
        <v>413.99999999999994</v>
      </c>
      <c r="F830" s="48">
        <f t="shared" si="21"/>
        <v>0</v>
      </c>
    </row>
    <row r="831" spans="2:6" ht="14.4" x14ac:dyDescent="0.3">
      <c r="B831" s="420" t="s">
        <v>898</v>
      </c>
      <c r="C831" s="328" t="s">
        <v>115</v>
      </c>
      <c r="E831" s="385">
        <v>413.99999999999994</v>
      </c>
      <c r="F831" s="48">
        <f t="shared" si="21"/>
        <v>0</v>
      </c>
    </row>
    <row r="832" spans="2:6" ht="14.4" x14ac:dyDescent="0.3">
      <c r="B832" s="420"/>
      <c r="C832" s="328" t="s">
        <v>115</v>
      </c>
      <c r="E832" s="385">
        <v>0</v>
      </c>
      <c r="F832" s="48">
        <f t="shared" si="21"/>
        <v>0</v>
      </c>
    </row>
    <row r="833" spans="2:6" ht="14.4" x14ac:dyDescent="0.3">
      <c r="B833" s="420" t="s">
        <v>905</v>
      </c>
      <c r="C833" s="328" t="s">
        <v>115</v>
      </c>
      <c r="E833" s="385">
        <v>20.7</v>
      </c>
      <c r="F833" s="48">
        <f t="shared" si="21"/>
        <v>0</v>
      </c>
    </row>
    <row r="834" spans="2:6" ht="14.4" x14ac:dyDescent="0.3">
      <c r="B834" s="420" t="s">
        <v>906</v>
      </c>
      <c r="C834" s="419" t="s">
        <v>115</v>
      </c>
      <c r="E834" s="385">
        <v>110.39999999999999</v>
      </c>
      <c r="F834" s="48">
        <f t="shared" si="21"/>
        <v>0</v>
      </c>
    </row>
    <row r="835" spans="2:6" ht="14.4" x14ac:dyDescent="0.3">
      <c r="B835" s="420" t="s">
        <v>907</v>
      </c>
      <c r="C835" s="419" t="s">
        <v>115</v>
      </c>
      <c r="E835" s="326">
        <v>180</v>
      </c>
      <c r="F835" s="48">
        <f t="shared" si="21"/>
        <v>0</v>
      </c>
    </row>
    <row r="838" spans="2:6" ht="14.4" x14ac:dyDescent="0.3">
      <c r="B838" s="325" t="s">
        <v>908</v>
      </c>
    </row>
    <row r="840" spans="2:6" ht="14.4" x14ac:dyDescent="0.3">
      <c r="B840" t="s">
        <v>909</v>
      </c>
      <c r="C840" s="419" t="s">
        <v>115</v>
      </c>
      <c r="D840" s="40">
        <v>10</v>
      </c>
      <c r="E840" s="326">
        <v>180</v>
      </c>
      <c r="F840" s="48">
        <f t="shared" ref="F840:F841" si="22">E840*D840</f>
        <v>1800</v>
      </c>
    </row>
    <row r="841" spans="2:6" ht="14.4" x14ac:dyDescent="0.3">
      <c r="B841" t="s">
        <v>909</v>
      </c>
      <c r="C841" s="419" t="s">
        <v>115</v>
      </c>
      <c r="E841" s="326">
        <v>0</v>
      </c>
      <c r="F841" s="48">
        <f t="shared" si="22"/>
        <v>0</v>
      </c>
    </row>
    <row r="845" spans="2:6" x14ac:dyDescent="0.2">
      <c r="C845" s="548" t="s">
        <v>910</v>
      </c>
      <c r="D845" s="548"/>
      <c r="E845" s="548"/>
    </row>
    <row r="846" spans="2:6" x14ac:dyDescent="0.2">
      <c r="C846" s="548"/>
      <c r="D846" s="548"/>
      <c r="E846" s="548"/>
      <c r="F846" s="41">
        <f>SUM(F15:F845)</f>
        <v>42703.313786081882</v>
      </c>
    </row>
    <row r="847" spans="2:6" x14ac:dyDescent="0.2">
      <c r="C847" s="548"/>
      <c r="D847" s="548"/>
      <c r="E847" s="548"/>
    </row>
    <row r="849" spans="2:11" x14ac:dyDescent="0.2">
      <c r="E849" s="392" t="s">
        <v>911</v>
      </c>
      <c r="F849" s="393">
        <v>1.18</v>
      </c>
    </row>
    <row r="850" spans="2:11" x14ac:dyDescent="0.2">
      <c r="E850" s="392" t="s">
        <v>912</v>
      </c>
      <c r="F850" s="41">
        <v>3650</v>
      </c>
    </row>
    <row r="852" spans="2:11" x14ac:dyDescent="0.2">
      <c r="C852" s="548" t="s">
        <v>14</v>
      </c>
      <c r="D852" s="548"/>
      <c r="E852" s="548"/>
    </row>
    <row r="853" spans="2:11" x14ac:dyDescent="0.2">
      <c r="C853" s="548"/>
      <c r="D853" s="548"/>
      <c r="E853" s="548"/>
      <c r="F853" s="41">
        <f>F846*F849+F850</f>
        <v>54039.910267576619</v>
      </c>
    </row>
    <row r="854" spans="2:11" x14ac:dyDescent="0.2">
      <c r="C854" s="548"/>
      <c r="D854" s="548"/>
      <c r="E854" s="548"/>
    </row>
    <row r="858" spans="2:11" ht="10.8" thickBot="1" x14ac:dyDescent="0.25"/>
    <row r="859" spans="2:11" s="120" customFormat="1" ht="15" thickBot="1" x14ac:dyDescent="0.35">
      <c r="B859" s="173" t="s">
        <v>913</v>
      </c>
      <c r="C859" s="121"/>
      <c r="D859" s="122"/>
      <c r="E859" s="125"/>
      <c r="F859" s="125"/>
      <c r="G859" s="125"/>
      <c r="H859" s="124"/>
      <c r="K859" s="196"/>
    </row>
    <row r="860" spans="2:11" s="120" customFormat="1" ht="14.4" x14ac:dyDescent="0.3">
      <c r="B860" s="126"/>
      <c r="C860" s="193" t="s">
        <v>914</v>
      </c>
      <c r="D860" s="193" t="s">
        <v>102</v>
      </c>
      <c r="E860" s="194"/>
      <c r="F860" s="194"/>
      <c r="G860" s="125"/>
      <c r="H860" s="124"/>
      <c r="K860" s="196"/>
    </row>
    <row r="861" spans="2:11" s="120" customFormat="1" ht="14.4" x14ac:dyDescent="0.3">
      <c r="B861" s="427" t="s">
        <v>915</v>
      </c>
      <c r="C861" s="196">
        <f>C865</f>
        <v>36</v>
      </c>
      <c r="D861" s="196" t="s">
        <v>149</v>
      </c>
      <c r="E861" s="125"/>
      <c r="F861" s="125"/>
      <c r="G861" s="125"/>
      <c r="H861" s="124"/>
      <c r="K861" s="196"/>
    </row>
    <row r="862" spans="2:11" s="120" customFormat="1" ht="14.4" x14ac:dyDescent="0.3">
      <c r="B862" s="336" t="s">
        <v>916</v>
      </c>
      <c r="C862" s="196">
        <v>0</v>
      </c>
      <c r="D862" s="196" t="s">
        <v>149</v>
      </c>
      <c r="E862" s="125"/>
      <c r="F862" s="125"/>
      <c r="G862" s="125"/>
      <c r="H862" s="124"/>
      <c r="K862" s="196"/>
    </row>
    <row r="863" spans="2:11" s="120" customFormat="1" ht="14.4" x14ac:dyDescent="0.3">
      <c r="B863" s="336" t="s">
        <v>917</v>
      </c>
      <c r="C863" s="196">
        <v>0</v>
      </c>
      <c r="D863" s="196" t="s">
        <v>154</v>
      </c>
      <c r="E863" s="125"/>
      <c r="F863" s="125"/>
      <c r="G863" s="125"/>
      <c r="H863" s="124"/>
      <c r="K863" s="196"/>
    </row>
    <row r="864" spans="2:11" s="120" customFormat="1" ht="14.4" x14ac:dyDescent="0.3">
      <c r="B864" s="336" t="s">
        <v>918</v>
      </c>
      <c r="C864" s="196">
        <v>0</v>
      </c>
      <c r="D864" s="196" t="s">
        <v>149</v>
      </c>
      <c r="E864" s="125"/>
      <c r="F864" s="125"/>
      <c r="G864" s="125"/>
      <c r="H864" s="124"/>
      <c r="K864" s="196"/>
    </row>
    <row r="865" spans="2:13" s="120" customFormat="1" ht="14.4" x14ac:dyDescent="0.3">
      <c r="B865" s="427" t="s">
        <v>919</v>
      </c>
      <c r="C865" s="428">
        <f>SUM(D171:D174)+SUM(D347:D356)++D692+SUM(D757:D774)</f>
        <v>36</v>
      </c>
      <c r="D865" s="196" t="s">
        <v>149</v>
      </c>
      <c r="E865" s="125"/>
      <c r="F865" s="125"/>
      <c r="G865" s="125"/>
      <c r="H865" s="124"/>
      <c r="K865" s="196"/>
    </row>
    <row r="866" spans="2:13" s="120" customFormat="1" ht="14.4" x14ac:dyDescent="0.3">
      <c r="B866" s="427" t="s">
        <v>920</v>
      </c>
      <c r="C866" s="338"/>
      <c r="D866" s="196" t="s">
        <v>149</v>
      </c>
      <c r="E866" s="125"/>
      <c r="F866" s="125"/>
      <c r="G866" s="125"/>
      <c r="H866" s="124"/>
      <c r="K866" s="196"/>
    </row>
    <row r="867" spans="2:13" s="120" customFormat="1" ht="14.4" x14ac:dyDescent="0.3">
      <c r="B867" s="427" t="s">
        <v>921</v>
      </c>
      <c r="C867" s="339">
        <v>0.1</v>
      </c>
      <c r="D867" s="196" t="s">
        <v>149</v>
      </c>
      <c r="F867" s="125"/>
      <c r="G867" s="125"/>
      <c r="H867" s="124"/>
      <c r="K867" s="196"/>
    </row>
    <row r="868" spans="2:13" s="120" customFormat="1" ht="14.4" x14ac:dyDescent="0.3">
      <c r="B868" s="427" t="s">
        <v>922</v>
      </c>
      <c r="C868" s="339"/>
      <c r="D868" s="196" t="s">
        <v>149</v>
      </c>
      <c r="E868" s="429">
        <f>C868/(C865+C866)</f>
        <v>0</v>
      </c>
      <c r="F868" s="125"/>
      <c r="G868" s="125"/>
      <c r="H868" s="124"/>
      <c r="K868" s="196"/>
    </row>
    <row r="869" spans="2:13" s="120" customFormat="1" ht="14.4" x14ac:dyDescent="0.3">
      <c r="B869" s="427" t="s">
        <v>923</v>
      </c>
      <c r="C869" s="339"/>
      <c r="D869" s="196" t="s">
        <v>149</v>
      </c>
      <c r="E869" s="429">
        <f>C869/(C865+C866)</f>
        <v>0</v>
      </c>
      <c r="F869" s="125"/>
      <c r="G869" s="125"/>
      <c r="H869" s="124"/>
      <c r="K869" s="196"/>
    </row>
    <row r="870" spans="2:13" s="120" customFormat="1" ht="14.4" x14ac:dyDescent="0.3">
      <c r="B870" s="427" t="s">
        <v>924</v>
      </c>
      <c r="C870" s="339"/>
      <c r="D870" s="196" t="s">
        <v>149</v>
      </c>
      <c r="E870" s="429">
        <f>C870/(C865+C866)</f>
        <v>0</v>
      </c>
      <c r="F870" s="125"/>
      <c r="G870" s="125"/>
      <c r="H870" s="124"/>
      <c r="K870" s="196"/>
    </row>
    <row r="871" spans="2:13" s="120" customFormat="1" ht="14.4" x14ac:dyDescent="0.3">
      <c r="B871" s="336"/>
      <c r="F871" s="125"/>
      <c r="G871" s="125"/>
      <c r="H871" s="124"/>
      <c r="K871" s="196"/>
    </row>
    <row r="872" spans="2:13" s="120" customFormat="1" ht="14.4" x14ac:dyDescent="0.3">
      <c r="B872" s="126"/>
      <c r="E872" s="125"/>
      <c r="F872" s="125"/>
      <c r="G872" s="125"/>
      <c r="H872" s="124"/>
      <c r="K872" s="196"/>
    </row>
    <row r="873" spans="2:13" s="340" customFormat="1" ht="72" x14ac:dyDescent="0.25">
      <c r="B873" s="341"/>
      <c r="C873" s="342" t="s">
        <v>32</v>
      </c>
      <c r="D873" s="342" t="s">
        <v>925</v>
      </c>
      <c r="E873" s="125" t="s">
        <v>926</v>
      </c>
      <c r="F873" s="430" t="s">
        <v>927</v>
      </c>
      <c r="G873" s="431" t="s">
        <v>928</v>
      </c>
      <c r="H873" s="343" t="s">
        <v>929</v>
      </c>
      <c r="I873" s="344" t="s">
        <v>930</v>
      </c>
      <c r="J873" s="344" t="s">
        <v>931</v>
      </c>
      <c r="K873" s="344" t="s">
        <v>932</v>
      </c>
      <c r="L873" s="431" t="s">
        <v>933</v>
      </c>
    </row>
    <row r="874" spans="2:13" s="120" customFormat="1" ht="14.4" x14ac:dyDescent="0.3">
      <c r="B874" s="336" t="str">
        <f>B865</f>
        <v>L/M of Inground Pipe (Average Depth)</v>
      </c>
      <c r="C874" s="345">
        <v>0.95</v>
      </c>
      <c r="D874" s="345">
        <v>0.6</v>
      </c>
      <c r="E874" s="337">
        <f>C865</f>
        <v>36</v>
      </c>
      <c r="F874" s="432">
        <v>1.3</v>
      </c>
      <c r="G874" s="346">
        <f>C867</f>
        <v>0.1</v>
      </c>
      <c r="H874" s="199">
        <f>(C874*D874*E874)*F874-(C874*D874*E874*G874)</f>
        <v>24.624000000000002</v>
      </c>
      <c r="I874" s="347"/>
      <c r="J874" s="347"/>
      <c r="K874" s="348"/>
    </row>
    <row r="875" spans="2:13" s="120" customFormat="1" ht="14.4" x14ac:dyDescent="0.3">
      <c r="B875" s="427" t="str">
        <f>B866</f>
        <v>L/M of Inground Pipe (Deeper Than Average Depth)</v>
      </c>
      <c r="C875" s="345">
        <v>1.1000000000000001</v>
      </c>
      <c r="D875" s="345">
        <v>0.5</v>
      </c>
      <c r="E875" s="337">
        <f>C866</f>
        <v>0</v>
      </c>
      <c r="F875" s="432">
        <v>1.3</v>
      </c>
      <c r="G875" s="345">
        <v>0</v>
      </c>
      <c r="H875" s="199">
        <f>(C875*D875*E875)*F875</f>
        <v>0</v>
      </c>
      <c r="I875" s="347"/>
      <c r="J875" s="347"/>
      <c r="K875" s="348"/>
    </row>
    <row r="876" spans="2:13" s="120" customFormat="1" ht="14.4" x14ac:dyDescent="0.3">
      <c r="B876" s="427" t="s">
        <v>934</v>
      </c>
      <c r="C876" s="345">
        <v>0.35</v>
      </c>
      <c r="D876" s="346">
        <f>D874</f>
        <v>0.6</v>
      </c>
      <c r="E876" s="346">
        <f>E874</f>
        <v>36</v>
      </c>
      <c r="F876" s="432">
        <v>0</v>
      </c>
      <c r="G876" s="346">
        <f>C867</f>
        <v>0.1</v>
      </c>
      <c r="H876" s="199"/>
      <c r="I876" s="199">
        <f>(C876*D876*E876)-(C876*D876*E876*G876)</f>
        <v>6.8039999999999994</v>
      </c>
      <c r="J876" s="199"/>
      <c r="K876" s="348"/>
    </row>
    <row r="877" spans="2:13" s="120" customFormat="1" ht="14.4" x14ac:dyDescent="0.3">
      <c r="B877" s="427" t="s">
        <v>935</v>
      </c>
      <c r="C877" s="345">
        <v>0.2</v>
      </c>
      <c r="D877" s="346">
        <f>D875</f>
        <v>0.5</v>
      </c>
      <c r="E877" s="349">
        <f>E875</f>
        <v>0</v>
      </c>
      <c r="F877" s="432">
        <v>0</v>
      </c>
      <c r="G877" s="346">
        <f>G875</f>
        <v>0</v>
      </c>
      <c r="H877" s="199"/>
      <c r="I877" s="199">
        <f>(C877*D877*E877)-(C877*D877*E877*G877)</f>
        <v>0</v>
      </c>
      <c r="J877" s="199"/>
      <c r="K877" s="348"/>
    </row>
    <row r="878" spans="2:13" s="120" customFormat="1" ht="14.4" x14ac:dyDescent="0.3">
      <c r="B878" s="427" t="s">
        <v>936</v>
      </c>
      <c r="C878" s="346">
        <f>C874</f>
        <v>0.95</v>
      </c>
      <c r="D878" s="346">
        <f>D874</f>
        <v>0.6</v>
      </c>
      <c r="E878" s="349">
        <f>E874</f>
        <v>36</v>
      </c>
      <c r="F878" s="432">
        <v>1.3</v>
      </c>
      <c r="G878" s="346">
        <f>C867</f>
        <v>0.1</v>
      </c>
      <c r="H878" s="199"/>
      <c r="I878" s="199"/>
      <c r="J878" s="199">
        <f>(C878*D878*E878*F878)-(C878*D878*E878*G878)-I876</f>
        <v>17.820000000000004</v>
      </c>
      <c r="K878" s="348"/>
    </row>
    <row r="879" spans="2:13" s="120" customFormat="1" ht="14.4" x14ac:dyDescent="0.3">
      <c r="B879" s="427" t="s">
        <v>937</v>
      </c>
      <c r="C879" s="346">
        <f>C875</f>
        <v>1.1000000000000001</v>
      </c>
      <c r="D879" s="346">
        <f t="shared" ref="D879:E879" si="23">D875</f>
        <v>0.5</v>
      </c>
      <c r="E879" s="346">
        <f t="shared" si="23"/>
        <v>0</v>
      </c>
      <c r="F879" s="432">
        <v>1.3</v>
      </c>
      <c r="G879" s="346">
        <f>G875</f>
        <v>0</v>
      </c>
      <c r="H879" s="199"/>
      <c r="I879" s="199"/>
      <c r="J879" s="199">
        <f>(C879*D879*E879*F879)-(C879*D879*E879*G879)-I877</f>
        <v>0</v>
      </c>
      <c r="K879" s="348"/>
    </row>
    <row r="880" spans="2:13" s="120" customFormat="1" ht="15" thickBot="1" x14ac:dyDescent="0.35">
      <c r="B880" s="336"/>
      <c r="C880" s="348"/>
      <c r="D880" s="348"/>
      <c r="E880" s="348"/>
      <c r="F880" s="433"/>
      <c r="G880" s="199"/>
      <c r="H880" s="348"/>
      <c r="I880" s="347"/>
      <c r="J880" s="347"/>
      <c r="K880" s="199" t="s">
        <v>938</v>
      </c>
      <c r="L880" s="350" t="s">
        <v>939</v>
      </c>
      <c r="M880" s="350" t="s">
        <v>940</v>
      </c>
    </row>
    <row r="881" spans="2:18" s="120" customFormat="1" ht="15" thickBot="1" x14ac:dyDescent="0.35">
      <c r="B881" s="336"/>
      <c r="C881" s="348"/>
      <c r="D881" s="348"/>
      <c r="E881" s="348"/>
      <c r="F881" s="433"/>
      <c r="G881" s="199"/>
      <c r="H881" s="351">
        <f>SUM(H874:H880)</f>
        <v>24.624000000000002</v>
      </c>
      <c r="I881" s="351">
        <f>SUM(I874:I880)</f>
        <v>6.8039999999999994</v>
      </c>
      <c r="J881" s="351">
        <f>SUM(J874:J880)</f>
        <v>17.820000000000004</v>
      </c>
      <c r="K881" s="352">
        <f>H881-J881</f>
        <v>6.8039999999999985</v>
      </c>
      <c r="L881" s="353">
        <v>15</v>
      </c>
      <c r="M881" s="354">
        <f>K881*L881</f>
        <v>102.05999999999997</v>
      </c>
      <c r="O881" s="192"/>
    </row>
    <row r="882" spans="2:18" s="120" customFormat="1" ht="14.4" x14ac:dyDescent="0.3">
      <c r="B882" s="336"/>
      <c r="C882" s="196"/>
      <c r="D882" s="196"/>
      <c r="E882" s="196"/>
      <c r="F882" s="433"/>
      <c r="G882" s="199"/>
      <c r="H882" s="124"/>
      <c r="K882" s="196"/>
      <c r="O882" s="347"/>
    </row>
    <row r="883" spans="2:18" s="120" customFormat="1" ht="14.4" x14ac:dyDescent="0.3">
      <c r="B883" s="336"/>
      <c r="C883" s="196"/>
      <c r="D883" s="196"/>
      <c r="E883" s="196"/>
      <c r="F883" s="433"/>
      <c r="G883" s="199"/>
      <c r="H883" s="124"/>
      <c r="K883" s="196"/>
      <c r="O883" s="347"/>
    </row>
    <row r="884" spans="2:18" s="120" customFormat="1" ht="14.4" x14ac:dyDescent="0.3">
      <c r="B884" s="336"/>
      <c r="C884" s="196"/>
      <c r="D884" s="196"/>
      <c r="E884" s="196"/>
      <c r="F884" s="433"/>
      <c r="G884" s="199"/>
      <c r="H884" s="124"/>
      <c r="K884" s="196"/>
      <c r="O884" s="347"/>
    </row>
    <row r="885" spans="2:18" s="120" customFormat="1" ht="14.4" x14ac:dyDescent="0.3">
      <c r="B885" s="336"/>
      <c r="C885" s="196"/>
      <c r="D885" s="196"/>
      <c r="E885" s="196"/>
      <c r="F885" s="433"/>
      <c r="G885" s="199"/>
      <c r="H885" s="124"/>
      <c r="K885" s="196"/>
      <c r="O885" s="347"/>
    </row>
    <row r="886" spans="2:18" s="120" customFormat="1" ht="7.2" customHeight="1" x14ac:dyDescent="0.3">
      <c r="B886" s="355"/>
      <c r="C886" s="232"/>
      <c r="D886" s="232"/>
      <c r="E886" s="232"/>
      <c r="F886" s="233"/>
      <c r="G886" s="233"/>
      <c r="H886" s="234"/>
      <c r="I886" s="232"/>
      <c r="K886" s="196"/>
    </row>
    <row r="887" spans="2:18" s="120" customFormat="1" ht="14.4" x14ac:dyDescent="0.3">
      <c r="B887" s="126" t="s">
        <v>941</v>
      </c>
      <c r="C887" s="196" t="s">
        <v>942</v>
      </c>
      <c r="D887" s="196" t="s">
        <v>914</v>
      </c>
      <c r="E887" s="125" t="s">
        <v>943</v>
      </c>
      <c r="F887" s="120" t="s">
        <v>911</v>
      </c>
      <c r="G887" s="194" t="s">
        <v>943</v>
      </c>
      <c r="H887" s="200" t="s">
        <v>944</v>
      </c>
      <c r="K887" s="196"/>
    </row>
    <row r="888" spans="2:18" s="120" customFormat="1" ht="14.4" x14ac:dyDescent="0.3">
      <c r="B888" s="336"/>
      <c r="C888" s="196">
        <v>0.1</v>
      </c>
      <c r="D888" s="339"/>
      <c r="E888" s="196">
        <f>D888*C888</f>
        <v>0</v>
      </c>
      <c r="F888" s="433">
        <v>1.1000000000000001</v>
      </c>
      <c r="G888" s="198">
        <f>E888*F888</f>
        <v>0</v>
      </c>
      <c r="H888" s="124">
        <f>G888*E913</f>
        <v>0</v>
      </c>
      <c r="I888" s="195"/>
      <c r="K888" s="196"/>
    </row>
    <row r="889" spans="2:18" s="324" customFormat="1" ht="14.4" x14ac:dyDescent="0.3">
      <c r="C889" s="328"/>
      <c r="D889" s="328"/>
      <c r="E889" s="326"/>
      <c r="F889" s="326"/>
    </row>
    <row r="890" spans="2:18" s="324" customFormat="1" ht="15" thickBot="1" x14ac:dyDescent="0.35">
      <c r="C890" s="328"/>
      <c r="D890" s="328"/>
      <c r="E890" s="326"/>
      <c r="F890" s="326"/>
    </row>
    <row r="891" spans="2:18" s="324" customFormat="1" ht="15" thickBot="1" x14ac:dyDescent="0.35">
      <c r="B891" s="173" t="s">
        <v>945</v>
      </c>
      <c r="C891" s="121"/>
      <c r="D891" s="122"/>
      <c r="E891" s="125"/>
      <c r="F891" s="125"/>
      <c r="G891" s="125"/>
      <c r="H891" s="124"/>
      <c r="I891" s="120"/>
      <c r="J891" s="120"/>
      <c r="K891" s="120"/>
      <c r="L891" s="120"/>
      <c r="M891" s="120"/>
      <c r="N891" s="120"/>
      <c r="O891" s="120"/>
      <c r="P891" s="120"/>
    </row>
    <row r="892" spans="2:18" s="324" customFormat="1" ht="15" thickBot="1" x14ac:dyDescent="0.35">
      <c r="B892" s="192"/>
      <c r="C892" s="120"/>
      <c r="D892" s="120"/>
      <c r="E892" s="125"/>
      <c r="F892" s="125"/>
      <c r="G892" s="125"/>
      <c r="H892" s="124"/>
      <c r="I892" s="120"/>
      <c r="J892" s="120"/>
      <c r="K892" s="120"/>
      <c r="L892" s="120"/>
      <c r="M892" s="342">
        <v>1.4</v>
      </c>
      <c r="N892" s="120"/>
      <c r="O892" s="120"/>
      <c r="P892" s="120"/>
    </row>
    <row r="893" spans="2:18" s="356" customFormat="1" ht="43.8" thickBot="1" x14ac:dyDescent="0.3">
      <c r="B893" s="357" t="s">
        <v>354</v>
      </c>
      <c r="C893" s="350" t="s">
        <v>946</v>
      </c>
      <c r="D893" s="350" t="s">
        <v>102</v>
      </c>
      <c r="E893" s="194" t="s">
        <v>939</v>
      </c>
      <c r="F893" s="194" t="s">
        <v>947</v>
      </c>
      <c r="G893" s="125"/>
      <c r="H893" s="125"/>
      <c r="I893" s="350" t="s">
        <v>938</v>
      </c>
      <c r="J893" s="344" t="s">
        <v>928</v>
      </c>
      <c r="K893" s="350" t="s">
        <v>948</v>
      </c>
      <c r="L893" s="350" t="s">
        <v>940</v>
      </c>
      <c r="M893" s="350" t="s">
        <v>911</v>
      </c>
      <c r="N893" s="358" t="s">
        <v>23</v>
      </c>
      <c r="O893" s="434" t="s">
        <v>949</v>
      </c>
      <c r="P893" s="431" t="s">
        <v>950</v>
      </c>
      <c r="Q893" s="435" t="s">
        <v>951</v>
      </c>
    </row>
    <row r="894" spans="2:18" s="324" customFormat="1" ht="15" thickBot="1" x14ac:dyDescent="0.35">
      <c r="B894" s="120" t="s">
        <v>952</v>
      </c>
      <c r="C894" s="359">
        <v>0.20300000000000001</v>
      </c>
      <c r="D894" s="360" t="s">
        <v>953</v>
      </c>
      <c r="E894" s="361">
        <f>E906</f>
        <v>62</v>
      </c>
      <c r="F894" s="361">
        <f>E894*C894</f>
        <v>12.586</v>
      </c>
      <c r="G894" s="125"/>
      <c r="H894" s="124"/>
      <c r="I894" s="362">
        <f>C894*(C865+C866)</f>
        <v>7.3080000000000007</v>
      </c>
      <c r="J894" s="346">
        <f>C867</f>
        <v>0.1</v>
      </c>
      <c r="K894" s="363">
        <f>I894-(I894*J894)</f>
        <v>6.5772000000000004</v>
      </c>
      <c r="L894" s="195">
        <f>K894*E894</f>
        <v>407.78640000000001</v>
      </c>
      <c r="M894" s="326">
        <f>(L894*M892)-L894</f>
        <v>163.11455999999993</v>
      </c>
      <c r="N894" s="364">
        <f>L894*M892</f>
        <v>570.90095999999994</v>
      </c>
      <c r="O894" s="195">
        <f>N894*E868</f>
        <v>0</v>
      </c>
      <c r="P894" s="120"/>
      <c r="Q894" s="326"/>
      <c r="R894" s="326"/>
    </row>
    <row r="895" spans="2:18" s="324" customFormat="1" ht="14.4" x14ac:dyDescent="0.3">
      <c r="B895" s="120" t="s">
        <v>952</v>
      </c>
      <c r="C895" s="359">
        <v>0.14000000000000001</v>
      </c>
      <c r="D895" s="196" t="s">
        <v>954</v>
      </c>
      <c r="E895" s="125">
        <f>E906</f>
        <v>62</v>
      </c>
      <c r="F895" s="125">
        <f>(E895*C895)*1.95</f>
        <v>16.926000000000002</v>
      </c>
      <c r="G895" s="125"/>
      <c r="H895" s="124"/>
      <c r="I895" s="120"/>
      <c r="J895" s="120"/>
      <c r="L895" s="195"/>
      <c r="N895" s="365"/>
      <c r="O895" s="120"/>
      <c r="P895" s="120"/>
    </row>
    <row r="896" spans="2:18" s="324" customFormat="1" ht="14.4" x14ac:dyDescent="0.3">
      <c r="B896" s="120" t="s">
        <v>955</v>
      </c>
      <c r="C896" s="359">
        <v>0.45</v>
      </c>
      <c r="D896" s="196" t="s">
        <v>953</v>
      </c>
      <c r="E896" s="125">
        <f>E907</f>
        <v>62</v>
      </c>
      <c r="F896" s="125">
        <f>E896*C896</f>
        <v>27.900000000000002</v>
      </c>
      <c r="G896" s="125"/>
      <c r="H896" s="124"/>
      <c r="I896" s="120">
        <v>0</v>
      </c>
      <c r="J896" s="120"/>
      <c r="L896" s="195">
        <f>I896*E896</f>
        <v>0</v>
      </c>
      <c r="N896" s="366">
        <f>L896*$L$289</f>
        <v>0</v>
      </c>
      <c r="O896" s="120"/>
      <c r="P896" s="120"/>
    </row>
    <row r="897" spans="2:17" s="324" customFormat="1" ht="15" thickBot="1" x14ac:dyDescent="0.35">
      <c r="B897" s="120" t="s">
        <v>956</v>
      </c>
      <c r="C897" s="120">
        <v>0</v>
      </c>
      <c r="D897" s="196" t="s">
        <v>953</v>
      </c>
      <c r="E897" s="125">
        <f>E908</f>
        <v>25</v>
      </c>
      <c r="F897" s="125">
        <f t="shared" ref="F897:F902" si="24">E897*C897</f>
        <v>0</v>
      </c>
      <c r="G897" s="125"/>
      <c r="H897" s="124"/>
      <c r="I897" s="120">
        <v>0</v>
      </c>
      <c r="J897" s="120"/>
      <c r="L897" s="195">
        <f>I897*E897</f>
        <v>0</v>
      </c>
      <c r="N897" s="366">
        <f>L897*$L$289</f>
        <v>0</v>
      </c>
      <c r="O897" s="120"/>
      <c r="P897" s="120"/>
    </row>
    <row r="898" spans="2:17" s="324" customFormat="1" ht="15" thickBot="1" x14ac:dyDescent="0.35">
      <c r="B898" s="120" t="s">
        <v>957</v>
      </c>
      <c r="C898" s="359">
        <v>0.22500000000000001</v>
      </c>
      <c r="D898" s="360" t="s">
        <v>953</v>
      </c>
      <c r="E898" s="361">
        <f>E909</f>
        <v>62</v>
      </c>
      <c r="F898" s="361">
        <f t="shared" si="24"/>
        <v>13.950000000000001</v>
      </c>
      <c r="G898" s="125"/>
      <c r="H898" s="124"/>
      <c r="I898" s="362">
        <f>C898*(C865+C866)</f>
        <v>8.1</v>
      </c>
      <c r="J898" s="346">
        <f>C867</f>
        <v>0.1</v>
      </c>
      <c r="K898" s="363">
        <f>I898-(I898*J898)</f>
        <v>7.2899999999999991</v>
      </c>
      <c r="L898" s="195">
        <f>K898*E898</f>
        <v>451.97999999999996</v>
      </c>
      <c r="M898" s="326">
        <f>(L898*M892)-L898</f>
        <v>180.79199999999997</v>
      </c>
      <c r="N898" s="364">
        <f>L898*M892</f>
        <v>632.77199999999993</v>
      </c>
      <c r="O898" s="120"/>
      <c r="P898" s="195">
        <f>N898*E869</f>
        <v>0</v>
      </c>
      <c r="Q898" s="326">
        <f>N898*E870</f>
        <v>0</v>
      </c>
    </row>
    <row r="899" spans="2:17" s="324" customFormat="1" ht="14.4" x14ac:dyDescent="0.3">
      <c r="B899" s="120" t="s">
        <v>957</v>
      </c>
      <c r="C899" s="359">
        <v>0.14000000000000001</v>
      </c>
      <c r="D899" s="196" t="s">
        <v>954</v>
      </c>
      <c r="E899" s="125">
        <f>E909</f>
        <v>62</v>
      </c>
      <c r="F899" s="125">
        <f>(E899*C899)*1.5</f>
        <v>13.020000000000003</v>
      </c>
      <c r="G899" s="125"/>
      <c r="H899" s="124"/>
      <c r="I899" s="120"/>
      <c r="J899" s="120"/>
      <c r="L899" s="195"/>
      <c r="N899" s="365"/>
      <c r="O899" s="120"/>
      <c r="P899" s="120"/>
    </row>
    <row r="900" spans="2:17" s="324" customFormat="1" ht="14.4" x14ac:dyDescent="0.3">
      <c r="B900" s="120" t="s">
        <v>958</v>
      </c>
      <c r="C900" s="359">
        <v>0.36</v>
      </c>
      <c r="D900" s="196" t="s">
        <v>953</v>
      </c>
      <c r="E900" s="125">
        <f>F910</f>
        <v>27</v>
      </c>
      <c r="F900" s="125">
        <f t="shared" si="24"/>
        <v>9.7199999999999989</v>
      </c>
      <c r="G900" s="125"/>
      <c r="H900" s="124"/>
      <c r="I900" s="120">
        <f>C864*C900</f>
        <v>0</v>
      </c>
      <c r="J900" s="120"/>
      <c r="L900" s="195">
        <f>I900*E900</f>
        <v>0</v>
      </c>
      <c r="N900" s="366">
        <f>L900*$L$289</f>
        <v>0</v>
      </c>
      <c r="O900" s="120"/>
      <c r="P900" s="120"/>
    </row>
    <row r="901" spans="2:17" s="324" customFormat="1" ht="14.4" x14ac:dyDescent="0.3">
      <c r="B901" s="120" t="s">
        <v>959</v>
      </c>
      <c r="C901" s="359">
        <v>0.36</v>
      </c>
      <c r="D901" s="196" t="s">
        <v>953</v>
      </c>
      <c r="E901" s="125">
        <f>F911</f>
        <v>30</v>
      </c>
      <c r="F901" s="125">
        <f t="shared" si="24"/>
        <v>10.799999999999999</v>
      </c>
      <c r="G901" s="125"/>
      <c r="H901" s="124"/>
      <c r="I901" s="120">
        <f>C901*C864</f>
        <v>0</v>
      </c>
      <c r="J901" s="120"/>
      <c r="L901" s="195">
        <f>I901*E901</f>
        <v>0</v>
      </c>
      <c r="N901" s="366">
        <f>L901*$L$289</f>
        <v>0</v>
      </c>
      <c r="O901" s="120"/>
      <c r="P901" s="120"/>
    </row>
    <row r="902" spans="2:17" s="324" customFormat="1" ht="15" thickBot="1" x14ac:dyDescent="0.35">
      <c r="B902" s="120" t="s">
        <v>960</v>
      </c>
      <c r="C902" s="359">
        <v>0.3</v>
      </c>
      <c r="D902" s="196" t="s">
        <v>954</v>
      </c>
      <c r="E902" s="125">
        <f>N912</f>
        <v>0</v>
      </c>
      <c r="F902" s="125">
        <f t="shared" si="24"/>
        <v>0</v>
      </c>
      <c r="G902" s="125"/>
      <c r="H902" s="124"/>
      <c r="I902" s="120">
        <f>C902*C862</f>
        <v>0</v>
      </c>
      <c r="J902" s="120"/>
      <c r="L902" s="195">
        <f>E902*I902</f>
        <v>0</v>
      </c>
      <c r="N902" s="367">
        <f>L902*$L$289</f>
        <v>0</v>
      </c>
      <c r="O902" s="120"/>
      <c r="P902" s="120"/>
    </row>
    <row r="903" spans="2:17" s="324" customFormat="1" ht="15" thickBot="1" x14ac:dyDescent="0.35">
      <c r="B903" s="120"/>
      <c r="C903" s="120"/>
      <c r="D903" s="196"/>
      <c r="E903" s="368"/>
      <c r="F903" s="368"/>
      <c r="G903" s="125"/>
      <c r="H903" s="124"/>
      <c r="I903" s="120"/>
      <c r="J903" s="120"/>
      <c r="K903" s="120"/>
      <c r="L903" s="120"/>
      <c r="M903" s="120"/>
      <c r="N903" s="120"/>
      <c r="O903" s="120"/>
      <c r="P903" s="120"/>
    </row>
    <row r="904" spans="2:17" s="324" customFormat="1" ht="14.4" x14ac:dyDescent="0.3">
      <c r="B904" s="123"/>
      <c r="C904" s="369"/>
      <c r="D904" s="370"/>
      <c r="E904" s="371" t="s">
        <v>961</v>
      </c>
      <c r="F904" s="372" t="s">
        <v>962</v>
      </c>
      <c r="G904" s="124"/>
      <c r="H904" s="125"/>
      <c r="I904" s="125"/>
      <c r="J904" s="125"/>
      <c r="K904" s="125"/>
      <c r="L904" s="125"/>
      <c r="M904" s="125"/>
      <c r="N904" s="125"/>
      <c r="O904" s="125"/>
    </row>
    <row r="905" spans="2:17" s="324" customFormat="1" ht="15" thickBot="1" x14ac:dyDescent="0.35">
      <c r="B905" s="373" t="s">
        <v>354</v>
      </c>
      <c r="C905" s="374"/>
      <c r="D905" s="375" t="s">
        <v>102</v>
      </c>
      <c r="E905" s="376" t="s">
        <v>939</v>
      </c>
      <c r="F905" s="376" t="s">
        <v>939</v>
      </c>
      <c r="G905" s="377"/>
      <c r="H905" s="125"/>
      <c r="I905" s="124"/>
      <c r="J905" s="125"/>
      <c r="K905" s="124"/>
      <c r="L905" s="125"/>
      <c r="M905" s="124"/>
      <c r="N905" s="125"/>
      <c r="O905" s="124"/>
    </row>
    <row r="906" spans="2:17" s="324" customFormat="1" ht="14.4" x14ac:dyDescent="0.3">
      <c r="B906" s="120" t="s">
        <v>952</v>
      </c>
      <c r="C906" s="196"/>
      <c r="D906" s="378" t="s">
        <v>963</v>
      </c>
      <c r="E906" s="379">
        <v>62</v>
      </c>
      <c r="F906" s="380">
        <v>31</v>
      </c>
      <c r="G906" s="124"/>
      <c r="H906" s="125"/>
      <c r="I906" s="124"/>
      <c r="J906" s="125"/>
      <c r="K906" s="124"/>
      <c r="L906" s="125"/>
      <c r="M906" s="124"/>
      <c r="N906" s="125"/>
      <c r="O906" s="124"/>
    </row>
    <row r="907" spans="2:17" s="324" customFormat="1" ht="14.4" x14ac:dyDescent="0.3">
      <c r="B907" s="120" t="s">
        <v>955</v>
      </c>
      <c r="C907" s="196"/>
      <c r="D907" s="378" t="s">
        <v>963</v>
      </c>
      <c r="E907" s="379">
        <v>62</v>
      </c>
      <c r="F907" s="381">
        <v>39</v>
      </c>
      <c r="G907" s="124"/>
      <c r="H907" s="125"/>
      <c r="I907" s="124"/>
      <c r="J907" s="125"/>
      <c r="K907" s="124"/>
      <c r="L907" s="125"/>
      <c r="M907" s="124"/>
      <c r="N907" s="125"/>
      <c r="O907" s="124"/>
    </row>
    <row r="908" spans="2:17" s="324" customFormat="1" ht="14.4" x14ac:dyDescent="0.3">
      <c r="B908" s="120" t="s">
        <v>956</v>
      </c>
      <c r="C908" s="196"/>
      <c r="D908" s="378" t="s">
        <v>963</v>
      </c>
      <c r="E908" s="382">
        <v>25</v>
      </c>
      <c r="F908" s="381">
        <v>29</v>
      </c>
      <c r="G908" s="124"/>
      <c r="H908" s="125"/>
      <c r="I908" s="124"/>
      <c r="J908" s="436"/>
      <c r="K908" s="124"/>
      <c r="L908" s="125"/>
      <c r="M908" s="124"/>
      <c r="N908" s="125"/>
      <c r="O908" s="124"/>
    </row>
    <row r="909" spans="2:17" s="324" customFormat="1" ht="14.4" x14ac:dyDescent="0.3">
      <c r="B909" s="120" t="s">
        <v>957</v>
      </c>
      <c r="C909" s="196"/>
      <c r="D909" s="378" t="s">
        <v>963</v>
      </c>
      <c r="E909" s="379">
        <v>62</v>
      </c>
      <c r="F909" s="381">
        <v>26</v>
      </c>
      <c r="G909" s="124"/>
      <c r="H909" s="125"/>
      <c r="I909" s="124"/>
      <c r="J909" s="125"/>
      <c r="K909" s="348"/>
      <c r="L909" s="436"/>
      <c r="M909" s="124"/>
      <c r="N909" s="125"/>
      <c r="O909" s="124"/>
    </row>
    <row r="910" spans="2:17" s="324" customFormat="1" ht="14.4" x14ac:dyDescent="0.3">
      <c r="B910" s="120" t="s">
        <v>958</v>
      </c>
      <c r="C910" s="196"/>
      <c r="D910" s="378" t="s">
        <v>963</v>
      </c>
      <c r="E910" s="382">
        <v>48</v>
      </c>
      <c r="F910" s="381">
        <v>27</v>
      </c>
      <c r="G910" s="124"/>
      <c r="H910" s="125"/>
      <c r="I910" s="124"/>
      <c r="J910" s="125"/>
      <c r="K910" s="348"/>
      <c r="L910" s="436"/>
      <c r="M910" s="124"/>
      <c r="N910" s="125"/>
      <c r="O910" s="124"/>
    </row>
    <row r="911" spans="2:17" s="324" customFormat="1" ht="14.4" x14ac:dyDescent="0.3">
      <c r="B911" s="120" t="s">
        <v>959</v>
      </c>
      <c r="C911" s="196"/>
      <c r="D911" s="378" t="s">
        <v>963</v>
      </c>
      <c r="E911" s="382">
        <v>50</v>
      </c>
      <c r="F911" s="381">
        <v>30</v>
      </c>
      <c r="G911" s="124"/>
      <c r="H911" s="125"/>
      <c r="I911" s="124"/>
      <c r="J911" s="125"/>
      <c r="K911" s="348"/>
      <c r="L911" s="436"/>
      <c r="M911" s="124"/>
      <c r="N911" s="125"/>
      <c r="O911" s="124"/>
    </row>
    <row r="912" spans="2:17" s="324" customFormat="1" ht="14.4" x14ac:dyDescent="0.3">
      <c r="B912" s="120" t="s">
        <v>964</v>
      </c>
      <c r="C912" s="196"/>
      <c r="D912" s="378" t="s">
        <v>965</v>
      </c>
      <c r="E912" s="383">
        <v>168</v>
      </c>
      <c r="F912" s="381">
        <v>0</v>
      </c>
      <c r="G912" s="124"/>
      <c r="H912" s="125"/>
      <c r="I912" s="124"/>
      <c r="J912" s="125"/>
      <c r="K912" s="124"/>
      <c r="L912" s="125"/>
      <c r="M912" s="124"/>
      <c r="N912" s="125"/>
      <c r="O912" s="124"/>
    </row>
    <row r="913" spans="2:15" s="324" customFormat="1" ht="15" thickBot="1" x14ac:dyDescent="0.35">
      <c r="B913" s="120" t="s">
        <v>966</v>
      </c>
      <c r="C913" s="348"/>
      <c r="D913" s="378" t="s">
        <v>965</v>
      </c>
      <c r="E913" s="384">
        <v>153</v>
      </c>
      <c r="F913" s="384">
        <v>0</v>
      </c>
      <c r="G913" s="124"/>
      <c r="H913" s="125"/>
      <c r="I913" s="124"/>
      <c r="J913" s="125"/>
      <c r="K913" s="348"/>
      <c r="L913" s="436"/>
      <c r="M913" s="124"/>
      <c r="N913" s="125"/>
      <c r="O913" s="124"/>
    </row>
  </sheetData>
  <mergeCells count="6">
    <mergeCell ref="C852:E854"/>
    <mergeCell ref="A6:F6"/>
    <mergeCell ref="B9:G9"/>
    <mergeCell ref="D14:E14"/>
    <mergeCell ref="J14:P14"/>
    <mergeCell ref="C845:E847"/>
  </mergeCells>
  <printOptions gridLines="1"/>
  <pageMargins left="0.46" right="0.42" top="0.37" bottom="0.4" header="0.39" footer="0.38"/>
  <pageSetup paperSize="8" scale="80" orientation="portrait" horizontalDpi="1200" verticalDpi="1200"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2B7A-B6BE-42EA-AE4B-6C330760E60D}">
  <sheetPr>
    <tabColor theme="7"/>
  </sheetPr>
  <dimension ref="A1:R914"/>
  <sheetViews>
    <sheetView topLeftCell="A895" zoomScale="115" zoomScaleNormal="115" workbookViewId="0">
      <selection activeCell="M686" sqref="M686"/>
    </sheetView>
  </sheetViews>
  <sheetFormatPr defaultColWidth="9.109375" defaultRowHeight="10.199999999999999" x14ac:dyDescent="0.2"/>
  <cols>
    <col min="1" max="1" width="8.109375" style="38" customWidth="1"/>
    <col min="2" max="2" width="72.109375" style="38" customWidth="1"/>
    <col min="3" max="3" width="23.5546875" style="40" customWidth="1"/>
    <col min="4" max="4" width="10.44140625" style="40" customWidth="1"/>
    <col min="5" max="5" width="17.33203125" style="41" customWidth="1"/>
    <col min="6" max="6" width="14.109375" style="41" customWidth="1"/>
    <col min="7" max="7" width="15.5546875" style="38" customWidth="1"/>
    <col min="8"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23"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c r="E18" s="48">
        <f>'LabourProject Rates_Master'!$E$37</f>
        <v>2650.394536340852</v>
      </c>
      <c r="F18" s="48">
        <f t="shared" si="0"/>
        <v>0</v>
      </c>
      <c r="K18" s="149" t="s">
        <v>143</v>
      </c>
      <c r="L18" s="189">
        <v>0.15</v>
      </c>
      <c r="M18" s="40">
        <v>1.1499999999999999</v>
      </c>
    </row>
    <row r="19" spans="1:13" s="40" customFormat="1" x14ac:dyDescent="0.2">
      <c r="A19" s="42"/>
      <c r="B19" s="38" t="str">
        <f>'LabourProject Rates_Master'!$B$43</f>
        <v>Crew #2 - InGround Water/Fire</v>
      </c>
      <c r="C19" s="40" t="s">
        <v>93</v>
      </c>
      <c r="D19" s="333"/>
      <c r="E19" s="48">
        <f>'LabourProject Rates_Master'!$E$44</f>
        <v>2650.394536340852</v>
      </c>
      <c r="F19" s="48">
        <f t="shared" si="0"/>
        <v>0</v>
      </c>
      <c r="K19" s="149" t="s">
        <v>144</v>
      </c>
      <c r="L19" s="189">
        <v>0.2</v>
      </c>
      <c r="M19" s="40">
        <v>1.2</v>
      </c>
    </row>
    <row r="20" spans="1:13" s="40" customFormat="1" x14ac:dyDescent="0.2">
      <c r="A20" s="42"/>
      <c r="B20" s="38" t="str">
        <f>'LabourProject Rates_Master'!B51</f>
        <v>Crew #3 - Above Ground Drainage</v>
      </c>
      <c r="C20" s="40" t="s">
        <v>93</v>
      </c>
      <c r="D20" s="333">
        <v>9</v>
      </c>
      <c r="E20" s="48">
        <f>'LabourProject Rates_Master'!E52</f>
        <v>2650.394536340852</v>
      </c>
      <c r="F20" s="48">
        <f t="shared" si="0"/>
        <v>23853.550827067669</v>
      </c>
      <c r="K20" s="149"/>
      <c r="L20" s="189"/>
    </row>
    <row r="21" spans="1:13" s="40" customFormat="1" x14ac:dyDescent="0.2">
      <c r="A21" s="42"/>
      <c r="B21" s="38" t="str">
        <f>'LabourProject Rates_Master'!B59</f>
        <v>Crew #4 - Above Ground WATER/FIRE</v>
      </c>
      <c r="C21" s="40" t="s">
        <v>93</v>
      </c>
      <c r="D21" s="333">
        <v>13</v>
      </c>
      <c r="E21" s="48">
        <f>'LabourProject Rates_Master'!E60</f>
        <v>2650.394536340852</v>
      </c>
      <c r="F21" s="48">
        <f t="shared" si="0"/>
        <v>34455.128972431077</v>
      </c>
      <c r="K21" s="149"/>
      <c r="L21" s="189"/>
    </row>
    <row r="22" spans="1:13" s="40" customFormat="1" x14ac:dyDescent="0.2">
      <c r="A22" s="42"/>
      <c r="B22" s="38" t="str">
        <f>'LabourProject Rates_Master'!B67</f>
        <v>Crew #5 - Above Ground FitOff / Misc</v>
      </c>
      <c r="C22" s="40" t="s">
        <v>93</v>
      </c>
      <c r="D22" s="333">
        <v>8</v>
      </c>
      <c r="E22" s="48">
        <f>'LabourProject Rates_Master'!E68</f>
        <v>2650.394536340852</v>
      </c>
      <c r="F22" s="48">
        <f t="shared" si="0"/>
        <v>21203.156290726816</v>
      </c>
      <c r="K22" s="149"/>
      <c r="L22" s="189"/>
    </row>
    <row r="23" spans="1:13" s="40" customFormat="1" x14ac:dyDescent="0.2">
      <c r="A23" s="42"/>
      <c r="B23" s="38" t="str">
        <f>'LabourProject Rates_Master'!B75</f>
        <v>Crew #6 - DEMO</v>
      </c>
      <c r="C23" s="40" t="s">
        <v>93</v>
      </c>
      <c r="D23" s="333">
        <v>9</v>
      </c>
      <c r="E23" s="48">
        <f>'LabourProject Rates_Master'!E76</f>
        <v>1709.2298078529657</v>
      </c>
      <c r="F23" s="48">
        <f t="shared" si="0"/>
        <v>15383.068270676691</v>
      </c>
      <c r="K23" s="149"/>
      <c r="L23" s="189"/>
    </row>
    <row r="24" spans="1:13" s="40" customFormat="1" ht="6.6" customHeight="1" x14ac:dyDescent="0.2">
      <c r="A24" s="42"/>
      <c r="B24" s="38"/>
      <c r="E24" s="311"/>
      <c r="F24" s="41"/>
    </row>
    <row r="25" spans="1:13" s="40" customFormat="1" x14ac:dyDescent="0.2">
      <c r="A25" s="38"/>
      <c r="B25" s="191" t="s">
        <v>145</v>
      </c>
      <c r="C25" s="42"/>
      <c r="D25" s="42"/>
      <c r="E25" s="45"/>
      <c r="F25" s="48"/>
    </row>
    <row r="26" spans="1:13" s="40" customFormat="1" x14ac:dyDescent="0.2">
      <c r="A26" s="38"/>
      <c r="B26" s="38" t="str">
        <f>'LabourProject Rates_Master'!$B$14</f>
        <v>TRADESMAN_LEADING HAND</v>
      </c>
      <c r="C26" s="40" t="s">
        <v>146</v>
      </c>
      <c r="D26" s="40">
        <v>0</v>
      </c>
      <c r="E26" s="48">
        <f>'LabourProject Rates_Master'!$E$14</f>
        <v>123.11428571428571</v>
      </c>
      <c r="F26" s="48">
        <f t="shared" ref="F26:F30" si="1">E26*D26</f>
        <v>0</v>
      </c>
    </row>
    <row r="27" spans="1:13" s="40" customFormat="1" ht="11.4" customHeight="1" x14ac:dyDescent="0.2">
      <c r="A27" s="38"/>
      <c r="B27" s="38" t="str">
        <f>'LabourProject Rates_Master'!$B$23</f>
        <v>TRADESMAN_PLUMBER_OPERATOR</v>
      </c>
      <c r="C27" s="40" t="s">
        <v>146</v>
      </c>
      <c r="D27" s="40">
        <v>0</v>
      </c>
      <c r="E27" s="48">
        <f>'LabourProject Rates_Master'!$E$21</f>
        <v>94.116472848788632</v>
      </c>
      <c r="F27" s="48">
        <f t="shared" si="1"/>
        <v>0</v>
      </c>
    </row>
    <row r="28" spans="1:13" s="40" customFormat="1" ht="11.4" customHeight="1" x14ac:dyDescent="0.2">
      <c r="A28" s="42"/>
      <c r="B28" s="38" t="str">
        <f>'LabourProject Rates_Master'!$B$30</f>
        <v>T/A &amp; Apprentice</v>
      </c>
      <c r="C28" s="40" t="s">
        <v>146</v>
      </c>
      <c r="D28" s="40">
        <v>0</v>
      </c>
      <c r="E28" s="48">
        <f>'LabourProject Rates_Master'!$E$28</f>
        <v>76.806507936507941</v>
      </c>
      <c r="F28" s="48">
        <f t="shared" si="1"/>
        <v>0</v>
      </c>
    </row>
    <row r="29" spans="1:13" s="40" customFormat="1" ht="11.4" customHeight="1" x14ac:dyDescent="0.2">
      <c r="A29" s="42"/>
      <c r="B29" s="38" t="str">
        <f>'LabourProject Rates_Master'!$B$36</f>
        <v>Crew #1 - InGround Drainage</v>
      </c>
      <c r="C29" s="40" t="s">
        <v>146</v>
      </c>
      <c r="D29" s="40">
        <v>0</v>
      </c>
      <c r="E29" s="48">
        <f>'LabourProject Rates_Master'!$E$36</f>
        <v>265.03945363408519</v>
      </c>
      <c r="F29" s="48">
        <f t="shared" si="1"/>
        <v>0</v>
      </c>
    </row>
    <row r="30" spans="1:13" s="40" customFormat="1" x14ac:dyDescent="0.2">
      <c r="A30" s="42"/>
      <c r="B30" s="38" t="str">
        <f>'LabourProject Rates_Master'!$B$43</f>
        <v>Crew #2 - InGround Water/Fire</v>
      </c>
      <c r="C30" s="40" t="s">
        <v>146</v>
      </c>
      <c r="D30" s="40">
        <v>0</v>
      </c>
      <c r="E30" s="48">
        <f>'LabourProject Rates_Master'!$E$43</f>
        <v>265.03945363408519</v>
      </c>
      <c r="F30" s="48">
        <f t="shared" si="1"/>
        <v>0</v>
      </c>
    </row>
    <row r="31" spans="1:13" ht="7.5" customHeight="1" x14ac:dyDescent="0.2">
      <c r="E31" s="48"/>
    </row>
    <row r="32" spans="1:13" ht="10.8" thickBot="1" x14ac:dyDescent="0.25">
      <c r="A32" s="40"/>
      <c r="E32" s="48"/>
      <c r="F32" s="48"/>
    </row>
    <row r="33" spans="1:6" ht="10.8" thickBot="1" x14ac:dyDescent="0.25">
      <c r="A33" s="42"/>
      <c r="B33" s="386" t="s">
        <v>147</v>
      </c>
      <c r="C33" s="387"/>
      <c r="D33" s="387"/>
      <c r="E33" s="388"/>
      <c r="F33" s="388"/>
    </row>
    <row r="34" spans="1:6" x14ac:dyDescent="0.2">
      <c r="A34" s="40"/>
      <c r="B34" s="389" t="s">
        <v>148</v>
      </c>
      <c r="C34" s="387"/>
      <c r="D34" s="387"/>
      <c r="E34" s="388"/>
      <c r="F34" s="388"/>
    </row>
    <row r="35" spans="1:6" x14ac:dyDescent="0.2">
      <c r="A35" s="40"/>
      <c r="B35" s="390" t="str">
        <f>'Misc Subbie Rates_Master'!A49</f>
        <v>Asphalt Cutting</v>
      </c>
      <c r="C35" s="387" t="s">
        <v>149</v>
      </c>
      <c r="D35" s="391"/>
      <c r="E35" s="388">
        <f>'Misc Subbie Rates_Master'!D49+('Misc Subbie Rates_Master'!D49*$L$18)</f>
        <v>15.525</v>
      </c>
      <c r="F35" s="388">
        <f>E35*D35</f>
        <v>0</v>
      </c>
    </row>
    <row r="36" spans="1:6" x14ac:dyDescent="0.2">
      <c r="A36" s="40"/>
      <c r="B36" s="390" t="str">
        <f>'Misc Subbie Rates_Master'!A50</f>
        <v>Concrete Cutting</v>
      </c>
      <c r="C36" s="387" t="s">
        <v>149</v>
      </c>
      <c r="D36" s="387"/>
      <c r="E36" s="388">
        <f>'Misc Subbie Rates_Master'!D50+('Misc Subbie Rates_Master'!D50*$L$18)</f>
        <v>18.399999999999999</v>
      </c>
      <c r="F36" s="388">
        <f t="shared" ref="F36:F46" si="2">E36*D36</f>
        <v>0</v>
      </c>
    </row>
    <row r="37" spans="1:6" x14ac:dyDescent="0.2">
      <c r="A37" s="40"/>
      <c r="B37" s="390" t="s">
        <v>150</v>
      </c>
      <c r="C37" s="387" t="s">
        <v>115</v>
      </c>
      <c r="D37" s="387"/>
      <c r="E37" s="388">
        <f>'Misc Subbie Rates_Master'!D51+('Misc Subbie Rates_Master'!D51*$L$18)</f>
        <v>92</v>
      </c>
      <c r="F37" s="388">
        <f t="shared" si="2"/>
        <v>0</v>
      </c>
    </row>
    <row r="38" spans="1:6" x14ac:dyDescent="0.2">
      <c r="A38" s="40"/>
      <c r="B38" s="389" t="s">
        <v>151</v>
      </c>
      <c r="C38" s="387"/>
      <c r="D38" s="387"/>
      <c r="E38" s="388"/>
      <c r="F38" s="388"/>
    </row>
    <row r="39" spans="1:6" x14ac:dyDescent="0.2">
      <c r="A39" s="40"/>
      <c r="B39" s="390" t="str">
        <f>'Misc Subbie Rates_Master'!A56</f>
        <v>Road/Drveway Reinstate; 1mW x 150 Thck, N25/20/80, Incl Reinforcement</v>
      </c>
      <c r="C39" s="387" t="s">
        <v>149</v>
      </c>
      <c r="D39" s="387"/>
      <c r="E39" s="388">
        <f>'Misc Subbie Rates_Master'!D56</f>
        <v>145</v>
      </c>
      <c r="F39" s="388">
        <f t="shared" si="2"/>
        <v>0</v>
      </c>
    </row>
    <row r="40" spans="1:6" x14ac:dyDescent="0.2">
      <c r="A40" s="40"/>
      <c r="B40" s="390" t="str">
        <f>'Misc Subbie Rates_Master'!A57</f>
        <v>Kerb &amp; Channel - 1m Wide</v>
      </c>
      <c r="C40" s="387" t="s">
        <v>115</v>
      </c>
      <c r="D40" s="387"/>
      <c r="E40" s="388">
        <f>'Misc Subbie Rates_Master'!D57</f>
        <v>155</v>
      </c>
      <c r="F40" s="388">
        <f t="shared" si="2"/>
        <v>0</v>
      </c>
    </row>
    <row r="41" spans="1:6" x14ac:dyDescent="0.2">
      <c r="A41" s="40"/>
      <c r="B41" s="390" t="str">
        <f>'Misc Subbie Rates_Master'!A58</f>
        <v>Footpath - 1.5mW, N25/20/80, Incl Reinforcement</v>
      </c>
      <c r="C41" s="387" t="s">
        <v>152</v>
      </c>
      <c r="D41" s="387"/>
      <c r="E41" s="388">
        <f>'Misc Subbie Rates_Master'!D58</f>
        <v>180</v>
      </c>
      <c r="F41" s="388">
        <f t="shared" si="2"/>
        <v>0</v>
      </c>
    </row>
    <row r="42" spans="1:6" x14ac:dyDescent="0.2">
      <c r="A42" s="40"/>
      <c r="B42" s="390" t="str">
        <f>'Misc Subbie Rates_Master'!A59</f>
        <v>Footpath - 1.5mW, EXPOSED AGG, N25/20/80, Incl Reinforcement</v>
      </c>
      <c r="C42" s="387" t="s">
        <v>152</v>
      </c>
      <c r="D42" s="387"/>
      <c r="E42" s="388">
        <f>'Misc Subbie Rates_Master'!D59</f>
        <v>185</v>
      </c>
      <c r="F42" s="388">
        <f t="shared" si="2"/>
        <v>0</v>
      </c>
    </row>
    <row r="43" spans="1:6" x14ac:dyDescent="0.2">
      <c r="A43" s="40"/>
      <c r="B43" s="389" t="s">
        <v>153</v>
      </c>
      <c r="C43" s="387"/>
      <c r="D43" s="387"/>
      <c r="E43" s="388"/>
      <c r="F43" s="388"/>
    </row>
    <row r="44" spans="1:6" x14ac:dyDescent="0.2">
      <c r="A44" s="40"/>
      <c r="B44" s="390" t="str">
        <f>'Misc Subbie Rates_Master'!A64</f>
        <v xml:space="preserve">50mm Thck - Trench Reinstatement Through Road/Driveway </v>
      </c>
      <c r="C44" s="387" t="s">
        <v>154</v>
      </c>
      <c r="D44" s="387"/>
      <c r="E44" s="388">
        <f>'Misc Subbie Rates_Master'!D64</f>
        <v>97</v>
      </c>
      <c r="F44" s="388">
        <f t="shared" si="2"/>
        <v>0</v>
      </c>
    </row>
    <row r="45" spans="1:6" x14ac:dyDescent="0.2">
      <c r="A45" s="40"/>
      <c r="B45" s="390" t="str">
        <f>'Misc Subbie Rates_Master'!A65</f>
        <v xml:space="preserve">50mm Thck - 1.5-2m Wide Footpath reinstatements </v>
      </c>
      <c r="C45" s="387" t="s">
        <v>154</v>
      </c>
      <c r="D45" s="387"/>
      <c r="E45" s="388">
        <f>'Misc Subbie Rates_Master'!D65</f>
        <v>97</v>
      </c>
      <c r="F45" s="388">
        <f t="shared" si="2"/>
        <v>0</v>
      </c>
    </row>
    <row r="46" spans="1:6" x14ac:dyDescent="0.2">
      <c r="A46" s="40"/>
      <c r="B46" s="390" t="str">
        <f>'Misc Subbie Rates_Master'!A66</f>
        <v>Establishment Fee (1 per stage)</v>
      </c>
      <c r="C46" s="387" t="s">
        <v>155</v>
      </c>
      <c r="D46" s="387"/>
      <c r="E46" s="388">
        <f>'Misc Subbie Rates_Master'!D66</f>
        <v>5500</v>
      </c>
      <c r="F46" s="388">
        <f t="shared" si="2"/>
        <v>0</v>
      </c>
    </row>
    <row r="47" spans="1:6" ht="10.8" thickBot="1" x14ac:dyDescent="0.25">
      <c r="A47" s="40"/>
      <c r="E47" s="48"/>
      <c r="F47" s="48"/>
    </row>
    <row r="48" spans="1:6" ht="10.8" thickBot="1" x14ac:dyDescent="0.25">
      <c r="A48" s="42"/>
      <c r="B48" s="49" t="s">
        <v>156</v>
      </c>
      <c r="E48" s="48"/>
      <c r="F48" s="48"/>
    </row>
    <row r="49" spans="1:6" x14ac:dyDescent="0.2">
      <c r="A49" s="40"/>
      <c r="E49" s="48"/>
      <c r="F49" s="48"/>
    </row>
    <row r="50" spans="1:6" x14ac:dyDescent="0.2">
      <c r="B50" s="284" t="s">
        <v>157</v>
      </c>
      <c r="E50" s="48"/>
      <c r="F50" s="48"/>
    </row>
    <row r="51" spans="1:6" hidden="1" x14ac:dyDescent="0.2">
      <c r="B51" s="38" t="s">
        <v>158</v>
      </c>
      <c r="C51" s="40" t="s">
        <v>159</v>
      </c>
      <c r="E51" s="48">
        <f>'Misc Subbie Rates_Master'!D10</f>
        <v>100</v>
      </c>
      <c r="F51" s="48">
        <f>E51*D51</f>
        <v>0</v>
      </c>
    </row>
    <row r="52" spans="1:6" hidden="1" x14ac:dyDescent="0.2">
      <c r="B52" s="38" t="s">
        <v>160</v>
      </c>
      <c r="C52" s="40" t="s">
        <v>159</v>
      </c>
      <c r="E52" s="48">
        <f>'Misc Subbie Rates_Master'!D11</f>
        <v>115</v>
      </c>
      <c r="F52" s="48">
        <f t="shared" ref="F52:F69" si="3">E52*D52</f>
        <v>0</v>
      </c>
    </row>
    <row r="53" spans="1:6" hidden="1" x14ac:dyDescent="0.2">
      <c r="B53" s="38" t="s">
        <v>161</v>
      </c>
      <c r="C53" s="40" t="s">
        <v>159</v>
      </c>
      <c r="E53" s="48">
        <f>'Misc Subbie Rates_Master'!D12</f>
        <v>154</v>
      </c>
      <c r="F53" s="48">
        <f t="shared" si="3"/>
        <v>0</v>
      </c>
    </row>
    <row r="54" spans="1:6" hidden="1" x14ac:dyDescent="0.2">
      <c r="B54" s="38" t="s">
        <v>162</v>
      </c>
      <c r="C54" s="40" t="s">
        <v>159</v>
      </c>
      <c r="E54" s="48">
        <f>'Misc Subbie Rates_Master'!D13</f>
        <v>21</v>
      </c>
      <c r="F54" s="48">
        <f t="shared" si="3"/>
        <v>0</v>
      </c>
    </row>
    <row r="55" spans="1:6" hidden="1" x14ac:dyDescent="0.2">
      <c r="B55" s="38" t="s">
        <v>163</v>
      </c>
      <c r="C55" s="40" t="s">
        <v>159</v>
      </c>
      <c r="E55" s="48">
        <f>'Misc Subbie Rates_Master'!D14</f>
        <v>10</v>
      </c>
      <c r="F55" s="48">
        <f t="shared" si="3"/>
        <v>0</v>
      </c>
    </row>
    <row r="56" spans="1:6" hidden="1" x14ac:dyDescent="0.2">
      <c r="B56" s="38" t="s">
        <v>164</v>
      </c>
      <c r="C56" s="40" t="s">
        <v>159</v>
      </c>
      <c r="E56" s="48">
        <f>'Misc Subbie Rates_Master'!D15</f>
        <v>150</v>
      </c>
      <c r="F56" s="48">
        <f t="shared" si="3"/>
        <v>0</v>
      </c>
    </row>
    <row r="57" spans="1:6" hidden="1" x14ac:dyDescent="0.2">
      <c r="B57" s="38" t="s">
        <v>165</v>
      </c>
      <c r="C57" s="40" t="s">
        <v>159</v>
      </c>
      <c r="E57" s="48">
        <f>'Misc Subbie Rates_Master'!D16</f>
        <v>50</v>
      </c>
      <c r="F57" s="48">
        <f t="shared" si="3"/>
        <v>0</v>
      </c>
    </row>
    <row r="58" spans="1:6" hidden="1" x14ac:dyDescent="0.2">
      <c r="B58" s="38" t="s">
        <v>166</v>
      </c>
      <c r="C58" s="40" t="s">
        <v>159</v>
      </c>
      <c r="E58" s="48">
        <f>'Misc Subbie Rates_Master'!D17</f>
        <v>140</v>
      </c>
      <c r="F58" s="48">
        <f t="shared" si="3"/>
        <v>0</v>
      </c>
    </row>
    <row r="59" spans="1:6" hidden="1" x14ac:dyDescent="0.2">
      <c r="B59" s="38" t="s">
        <v>167</v>
      </c>
      <c r="C59" s="40" t="s">
        <v>159</v>
      </c>
      <c r="E59" s="48">
        <f>'Misc Subbie Rates_Master'!D18</f>
        <v>128</v>
      </c>
      <c r="F59" s="48">
        <f t="shared" si="3"/>
        <v>0</v>
      </c>
    </row>
    <row r="60" spans="1:6" hidden="1" x14ac:dyDescent="0.2">
      <c r="B60" s="38" t="s">
        <v>168</v>
      </c>
      <c r="C60" s="40" t="s">
        <v>159</v>
      </c>
      <c r="E60" s="48">
        <f>'Misc Subbie Rates_Master'!D19</f>
        <v>26</v>
      </c>
      <c r="F60" s="48">
        <f t="shared" si="3"/>
        <v>0</v>
      </c>
    </row>
    <row r="61" spans="1:6" hidden="1" x14ac:dyDescent="0.2">
      <c r="B61" s="38" t="s">
        <v>169</v>
      </c>
      <c r="C61" s="40" t="s">
        <v>159</v>
      </c>
      <c r="E61" s="48">
        <f>'Misc Subbie Rates_Master'!D20</f>
        <v>10</v>
      </c>
      <c r="F61" s="48">
        <f t="shared" si="3"/>
        <v>0</v>
      </c>
    </row>
    <row r="62" spans="1:6" hidden="1" x14ac:dyDescent="0.2">
      <c r="B62" s="38" t="s">
        <v>170</v>
      </c>
      <c r="C62" s="40" t="s">
        <v>159</v>
      </c>
      <c r="E62" s="48">
        <f>'Misc Subbie Rates_Master'!D21</f>
        <v>153</v>
      </c>
      <c r="F62" s="48">
        <f t="shared" si="3"/>
        <v>0</v>
      </c>
    </row>
    <row r="63" spans="1:6" hidden="1" x14ac:dyDescent="0.2">
      <c r="B63" s="38" t="s">
        <v>171</v>
      </c>
      <c r="C63" s="40" t="s">
        <v>159</v>
      </c>
      <c r="E63" s="48">
        <f>'Misc Subbie Rates_Master'!D22</f>
        <v>36</v>
      </c>
      <c r="F63" s="48">
        <f t="shared" si="3"/>
        <v>0</v>
      </c>
    </row>
    <row r="64" spans="1:6" hidden="1" x14ac:dyDescent="0.2">
      <c r="B64" s="38" t="s">
        <v>172</v>
      </c>
      <c r="C64" s="40" t="s">
        <v>159</v>
      </c>
      <c r="E64" s="48">
        <f>'Misc Subbie Rates_Master'!D23</f>
        <v>10</v>
      </c>
      <c r="F64" s="48">
        <f t="shared" si="3"/>
        <v>0</v>
      </c>
    </row>
    <row r="65" spans="1:6" hidden="1" x14ac:dyDescent="0.2">
      <c r="B65" s="38" t="s">
        <v>173</v>
      </c>
      <c r="C65" s="40" t="s">
        <v>159</v>
      </c>
      <c r="E65" s="48">
        <f>'Misc Subbie Rates_Master'!D24</f>
        <v>190</v>
      </c>
      <c r="F65" s="48">
        <f t="shared" si="3"/>
        <v>0</v>
      </c>
    </row>
    <row r="66" spans="1:6" hidden="1" x14ac:dyDescent="0.2">
      <c r="B66" s="38" t="s">
        <v>174</v>
      </c>
      <c r="C66" s="40" t="s">
        <v>159</v>
      </c>
      <c r="E66" s="48">
        <f>'Misc Subbie Rates_Master'!D25</f>
        <v>220</v>
      </c>
      <c r="F66" s="48">
        <f t="shared" si="3"/>
        <v>0</v>
      </c>
    </row>
    <row r="67" spans="1:6" hidden="1" x14ac:dyDescent="0.2">
      <c r="B67" s="38" t="s">
        <v>175</v>
      </c>
      <c r="C67" s="40" t="s">
        <v>159</v>
      </c>
      <c r="E67" s="48">
        <f>'Misc Subbie Rates_Master'!D26</f>
        <v>250</v>
      </c>
      <c r="F67" s="48">
        <f t="shared" si="3"/>
        <v>0</v>
      </c>
    </row>
    <row r="68" spans="1:6" hidden="1" x14ac:dyDescent="0.2">
      <c r="B68" s="38" t="s">
        <v>176</v>
      </c>
      <c r="C68" s="40" t="s">
        <v>159</v>
      </c>
      <c r="E68" s="48">
        <f>'Misc Subbie Rates_Master'!D27</f>
        <v>110</v>
      </c>
      <c r="F68" s="48">
        <f t="shared" si="3"/>
        <v>0</v>
      </c>
    </row>
    <row r="69" spans="1:6" hidden="1" x14ac:dyDescent="0.2">
      <c r="B69" s="38" t="s">
        <v>177</v>
      </c>
      <c r="C69" s="40" t="s">
        <v>159</v>
      </c>
      <c r="E69" s="48">
        <f>'Misc Subbie Rates_Master'!D28</f>
        <v>110</v>
      </c>
      <c r="F69" s="48">
        <f t="shared" si="3"/>
        <v>0</v>
      </c>
    </row>
    <row r="70" spans="1:6" x14ac:dyDescent="0.2">
      <c r="E70" s="48"/>
      <c r="F70" s="48"/>
    </row>
    <row r="71" spans="1:6" x14ac:dyDescent="0.2">
      <c r="B71" s="284" t="s">
        <v>178</v>
      </c>
      <c r="E71" s="48"/>
      <c r="F71" s="48"/>
    </row>
    <row r="72" spans="1:6" x14ac:dyDescent="0.2">
      <c r="A72" s="40"/>
      <c r="B72" s="201" t="s">
        <v>179</v>
      </c>
      <c r="C72" s="40" t="s">
        <v>93</v>
      </c>
      <c r="E72" s="48">
        <f>'Equip&amp;HIRE_Master'!D4</f>
        <v>225.43333333333334</v>
      </c>
      <c r="F72" s="48">
        <f>E72*D72</f>
        <v>0</v>
      </c>
    </row>
    <row r="73" spans="1:6" x14ac:dyDescent="0.2">
      <c r="A73" s="40"/>
      <c r="B73" s="201" t="s">
        <v>180</v>
      </c>
      <c r="C73" s="40" t="s">
        <v>93</v>
      </c>
      <c r="E73" s="48">
        <f>'Equip&amp;HIRE_Master'!D5</f>
        <v>163.96666666666667</v>
      </c>
      <c r="F73" s="48">
        <f t="shared" ref="F73:F136" si="4">E73*D73</f>
        <v>0</v>
      </c>
    </row>
    <row r="74" spans="1:6" x14ac:dyDescent="0.2">
      <c r="A74" s="40"/>
      <c r="B74" s="201" t="s">
        <v>181</v>
      </c>
      <c r="C74" s="40" t="s">
        <v>93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182</v>
      </c>
      <c r="C76" s="40" t="s">
        <v>93</v>
      </c>
      <c r="E76" s="48">
        <f>'Equip&amp;HIRE_Master'!D8</f>
        <v>137.14285714285714</v>
      </c>
      <c r="F76" s="48">
        <f t="shared" si="4"/>
        <v>0</v>
      </c>
    </row>
    <row r="77" spans="1:6" x14ac:dyDescent="0.2">
      <c r="A77" s="40"/>
      <c r="B77" s="201" t="s">
        <v>183</v>
      </c>
      <c r="C77" s="40" t="s">
        <v>93</v>
      </c>
      <c r="E77" s="48">
        <f>'Equip&amp;HIRE_Master'!D9</f>
        <v>0</v>
      </c>
      <c r="F77" s="48">
        <f t="shared" si="4"/>
        <v>0</v>
      </c>
    </row>
    <row r="78" spans="1:6" x14ac:dyDescent="0.2">
      <c r="A78" s="40"/>
      <c r="B78" s="201" t="s">
        <v>184</v>
      </c>
      <c r="C78" s="40" t="s">
        <v>93</v>
      </c>
      <c r="E78" s="48">
        <f>'Equip&amp;HIRE_Master'!D10</f>
        <v>238.66666666666666</v>
      </c>
      <c r="F78" s="48">
        <f t="shared" si="4"/>
        <v>0</v>
      </c>
    </row>
    <row r="79" spans="1:6" x14ac:dyDescent="0.2">
      <c r="A79" s="40"/>
      <c r="B79" s="201" t="s">
        <v>185</v>
      </c>
      <c r="C79" s="40" t="s">
        <v>93</v>
      </c>
      <c r="E79" s="48">
        <f>'Equip&amp;HIRE_Master'!D11</f>
        <v>261.16666666666669</v>
      </c>
      <c r="F79" s="48">
        <f t="shared" si="4"/>
        <v>0</v>
      </c>
    </row>
    <row r="80" spans="1:6" x14ac:dyDescent="0.2">
      <c r="A80" s="40"/>
      <c r="B80" s="201" t="s">
        <v>186</v>
      </c>
      <c r="C80" s="40" t="s">
        <v>93</v>
      </c>
      <c r="E80" s="48">
        <f>'Equip&amp;HIRE_Master'!D12</f>
        <v>0</v>
      </c>
      <c r="F80" s="48">
        <f t="shared" si="4"/>
        <v>0</v>
      </c>
    </row>
    <row r="81" spans="1:6" x14ac:dyDescent="0.2">
      <c r="A81" s="40"/>
      <c r="B81" s="201" t="s">
        <v>187</v>
      </c>
      <c r="C81" s="40" t="s">
        <v>93</v>
      </c>
      <c r="E81" s="48">
        <f>'Equip&amp;HIRE_Master'!D13</f>
        <v>317.2</v>
      </c>
      <c r="F81" s="48">
        <f t="shared" si="4"/>
        <v>0</v>
      </c>
    </row>
    <row r="82" spans="1:6" x14ac:dyDescent="0.2">
      <c r="A82" s="40"/>
      <c r="B82" s="201" t="s">
        <v>188</v>
      </c>
      <c r="C82" s="40" t="s">
        <v>93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189</v>
      </c>
      <c r="C84" s="40" t="s">
        <v>93</v>
      </c>
      <c r="E84" s="48">
        <f>'Equip&amp;HIRE_Master'!D16</f>
        <v>0</v>
      </c>
      <c r="F84" s="48">
        <f t="shared" si="4"/>
        <v>0</v>
      </c>
    </row>
    <row r="85" spans="1:6" x14ac:dyDescent="0.2">
      <c r="A85" s="40"/>
      <c r="B85" s="201" t="s">
        <v>190</v>
      </c>
      <c r="C85" s="40" t="s">
        <v>93</v>
      </c>
      <c r="E85" s="48">
        <f>'Equip&amp;HIRE_Master'!D17</f>
        <v>32.74</v>
      </c>
      <c r="F85" s="48">
        <f t="shared" si="4"/>
        <v>0</v>
      </c>
    </row>
    <row r="86" spans="1:6" x14ac:dyDescent="0.2">
      <c r="A86" s="40"/>
      <c r="B86" s="201" t="s">
        <v>191</v>
      </c>
      <c r="C86" s="40" t="s">
        <v>93</v>
      </c>
      <c r="E86" s="48">
        <f>'Equip&amp;HIRE_Master'!D18</f>
        <v>0</v>
      </c>
      <c r="F86" s="48">
        <f t="shared" si="4"/>
        <v>0</v>
      </c>
    </row>
    <row r="87" spans="1:6" x14ac:dyDescent="0.2">
      <c r="A87" s="40"/>
      <c r="B87" s="201" t="s">
        <v>192</v>
      </c>
      <c r="C87" s="40" t="s">
        <v>93</v>
      </c>
      <c r="E87" s="48">
        <f>'Equip&amp;HIRE_Master'!D19</f>
        <v>40.380000000000003</v>
      </c>
      <c r="F87" s="48">
        <f t="shared" si="4"/>
        <v>0</v>
      </c>
    </row>
    <row r="88" spans="1:6" x14ac:dyDescent="0.2">
      <c r="A88" s="40"/>
      <c r="B88" s="201" t="s">
        <v>193</v>
      </c>
      <c r="C88" s="40" t="s">
        <v>93</v>
      </c>
      <c r="E88" s="48">
        <f>'Equip&amp;HIRE_Master'!D20</f>
        <v>123.33</v>
      </c>
      <c r="F88" s="48">
        <f t="shared" si="4"/>
        <v>0</v>
      </c>
    </row>
    <row r="89" spans="1:6" x14ac:dyDescent="0.2">
      <c r="A89" s="40"/>
      <c r="B89" s="201" t="s">
        <v>194</v>
      </c>
      <c r="C89" s="40" t="s">
        <v>93</v>
      </c>
      <c r="E89" s="48">
        <f>'Equip&amp;HIRE_Master'!D21</f>
        <v>165.89</v>
      </c>
      <c r="F89" s="48">
        <f t="shared" si="4"/>
        <v>0</v>
      </c>
    </row>
    <row r="90" spans="1:6" x14ac:dyDescent="0.2">
      <c r="A90" s="40"/>
      <c r="B90" s="201" t="s">
        <v>195</v>
      </c>
      <c r="C90" s="40" t="s">
        <v>93</v>
      </c>
      <c r="E90" s="48">
        <f>'Equip&amp;HIRE_Master'!D22</f>
        <v>165.89</v>
      </c>
      <c r="F90" s="48">
        <f t="shared" si="4"/>
        <v>0</v>
      </c>
    </row>
    <row r="91" spans="1:6" x14ac:dyDescent="0.2">
      <c r="A91" s="40"/>
      <c r="B91" s="201" t="s">
        <v>196</v>
      </c>
      <c r="C91" s="40" t="s">
        <v>93</v>
      </c>
      <c r="E91" s="48">
        <f>'Equip&amp;HIRE_Master'!D23</f>
        <v>0</v>
      </c>
      <c r="F91" s="48">
        <f t="shared" si="4"/>
        <v>0</v>
      </c>
    </row>
    <row r="92" spans="1:6" x14ac:dyDescent="0.2">
      <c r="A92" s="40"/>
      <c r="B92" s="201" t="s">
        <v>197</v>
      </c>
      <c r="C92" s="40" t="s">
        <v>93</v>
      </c>
      <c r="E92" s="48">
        <f>'Equip&amp;HIRE_Master'!D24</f>
        <v>203</v>
      </c>
      <c r="F92" s="48">
        <f t="shared" si="4"/>
        <v>0</v>
      </c>
    </row>
    <row r="93" spans="1:6" x14ac:dyDescent="0.2">
      <c r="A93" s="40"/>
      <c r="B93" s="201" t="s">
        <v>198</v>
      </c>
      <c r="E93" s="48">
        <f>'Equip&amp;HIRE_Master'!D25</f>
        <v>0</v>
      </c>
      <c r="F93" s="48">
        <f t="shared" si="4"/>
        <v>0</v>
      </c>
    </row>
    <row r="94" spans="1:6" x14ac:dyDescent="0.2">
      <c r="A94" s="40"/>
      <c r="B94" s="201" t="s">
        <v>199</v>
      </c>
      <c r="E94" s="48">
        <f>'Equip&amp;HIRE_Master'!D26</f>
        <v>0</v>
      </c>
      <c r="F94" s="48">
        <f t="shared" si="4"/>
        <v>0</v>
      </c>
    </row>
    <row r="95" spans="1:6" ht="4.95" customHeight="1" x14ac:dyDescent="0.2">
      <c r="A95" s="40"/>
      <c r="B95" s="201"/>
      <c r="E95" s="48">
        <f>'Equip&amp;HIRE_Master'!D27</f>
        <v>0</v>
      </c>
      <c r="F95" s="48">
        <f t="shared" si="4"/>
        <v>0</v>
      </c>
    </row>
    <row r="96" spans="1:6" x14ac:dyDescent="0.2">
      <c r="A96" s="40"/>
      <c r="B96" s="201" t="s">
        <v>200</v>
      </c>
      <c r="C96" s="40" t="s">
        <v>93</v>
      </c>
      <c r="E96" s="48">
        <f>'Equip&amp;HIRE_Master'!D28</f>
        <v>205</v>
      </c>
      <c r="F96" s="48">
        <f t="shared" si="4"/>
        <v>0</v>
      </c>
    </row>
    <row r="97" spans="1:6" x14ac:dyDescent="0.2">
      <c r="A97" s="40"/>
      <c r="B97" s="201" t="s">
        <v>201</v>
      </c>
      <c r="C97" s="40" t="s">
        <v>93</v>
      </c>
      <c r="E97" s="48">
        <f>'Equip&amp;HIRE_Master'!D29</f>
        <v>166.98</v>
      </c>
      <c r="F97" s="48">
        <f t="shared" si="4"/>
        <v>0</v>
      </c>
    </row>
    <row r="98" spans="1:6" x14ac:dyDescent="0.2">
      <c r="A98" s="40"/>
      <c r="B98" s="201" t="s">
        <v>202</v>
      </c>
      <c r="C98" s="40" t="s">
        <v>93</v>
      </c>
      <c r="E98" s="48">
        <f>'Equip&amp;HIRE_Master'!D30</f>
        <v>171.42857142857142</v>
      </c>
      <c r="F98" s="48">
        <f t="shared" si="4"/>
        <v>0</v>
      </c>
    </row>
    <row r="99" spans="1:6" ht="4.2" customHeight="1" x14ac:dyDescent="0.2">
      <c r="A99" s="40"/>
      <c r="B99" s="201"/>
      <c r="E99" s="48">
        <f>'Equip&amp;HIRE_Master'!D31</f>
        <v>0</v>
      </c>
      <c r="F99" s="48">
        <f t="shared" si="4"/>
        <v>0</v>
      </c>
    </row>
    <row r="100" spans="1:6" x14ac:dyDescent="0.2">
      <c r="A100" s="40"/>
      <c r="B100" s="201" t="s">
        <v>203</v>
      </c>
      <c r="C100" s="40" t="s">
        <v>93</v>
      </c>
      <c r="E100" s="48">
        <f>'Equip&amp;HIRE_Master'!D32</f>
        <v>0</v>
      </c>
      <c r="F100" s="48">
        <f t="shared" si="4"/>
        <v>0</v>
      </c>
    </row>
    <row r="101" spans="1:6" x14ac:dyDescent="0.2">
      <c r="A101" s="40"/>
      <c r="B101" s="201" t="s">
        <v>204</v>
      </c>
      <c r="C101" s="40" t="s">
        <v>93</v>
      </c>
      <c r="E101" s="48">
        <f>'Equip&amp;HIRE_Master'!D33</f>
        <v>34.285714285714285</v>
      </c>
      <c r="F101" s="48">
        <f t="shared" si="4"/>
        <v>0</v>
      </c>
    </row>
    <row r="102" spans="1:6" x14ac:dyDescent="0.2">
      <c r="A102" s="40"/>
      <c r="B102" s="201" t="s">
        <v>205</v>
      </c>
      <c r="C102" s="40" t="s">
        <v>93</v>
      </c>
      <c r="E102" s="48">
        <f>'Equip&amp;HIRE_Master'!D34</f>
        <v>165</v>
      </c>
      <c r="F102" s="48">
        <f t="shared" si="4"/>
        <v>0</v>
      </c>
    </row>
    <row r="103" spans="1:6" x14ac:dyDescent="0.2">
      <c r="A103" s="40"/>
      <c r="B103" s="201" t="s">
        <v>206</v>
      </c>
      <c r="C103" s="40" t="s">
        <v>93</v>
      </c>
      <c r="E103" s="48">
        <f>'Equip&amp;HIRE_Master'!D35</f>
        <v>0</v>
      </c>
      <c r="F103" s="48">
        <f t="shared" si="4"/>
        <v>0</v>
      </c>
    </row>
    <row r="104" spans="1:6" x14ac:dyDescent="0.2">
      <c r="A104" s="40"/>
      <c r="B104" s="201" t="s">
        <v>207</v>
      </c>
      <c r="C104" s="40" t="s">
        <v>93</v>
      </c>
      <c r="D104" s="40">
        <v>20</v>
      </c>
      <c r="E104" s="48">
        <v>300</v>
      </c>
      <c r="F104" s="48">
        <f t="shared" si="4"/>
        <v>6000</v>
      </c>
    </row>
    <row r="105" spans="1:6" x14ac:dyDescent="0.2">
      <c r="A105" s="40"/>
      <c r="B105" s="201" t="s">
        <v>208</v>
      </c>
      <c r="C105" s="40" t="s">
        <v>93</v>
      </c>
      <c r="E105" s="48">
        <f>'Equip&amp;HIRE_Master'!D37</f>
        <v>0</v>
      </c>
      <c r="F105" s="48">
        <f t="shared" si="4"/>
        <v>0</v>
      </c>
    </row>
    <row r="106" spans="1:6" x14ac:dyDescent="0.2">
      <c r="A106" s="40"/>
      <c r="B106" s="201" t="s">
        <v>209</v>
      </c>
      <c r="C106" s="40" t="s">
        <v>93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210</v>
      </c>
      <c r="C108" s="40" t="s">
        <v>93</v>
      </c>
      <c r="E108" s="48">
        <f>'Equip&amp;HIRE_Master'!D40</f>
        <v>5.46</v>
      </c>
      <c r="F108" s="48">
        <f t="shared" si="4"/>
        <v>0</v>
      </c>
    </row>
    <row r="109" spans="1:6" x14ac:dyDescent="0.2">
      <c r="A109" s="40"/>
      <c r="B109" s="201" t="s">
        <v>211</v>
      </c>
      <c r="C109" s="40" t="s">
        <v>93</v>
      </c>
      <c r="E109" s="48">
        <f>'Equip&amp;HIRE_Master'!D41</f>
        <v>23</v>
      </c>
      <c r="F109" s="48">
        <f t="shared" si="4"/>
        <v>0</v>
      </c>
    </row>
    <row r="110" spans="1:6" x14ac:dyDescent="0.2">
      <c r="A110" s="40"/>
      <c r="B110" s="201" t="s">
        <v>212</v>
      </c>
      <c r="C110" s="40" t="s">
        <v>93</v>
      </c>
      <c r="E110" s="48">
        <f>'Equip&amp;HIRE_Master'!D42</f>
        <v>23</v>
      </c>
      <c r="F110" s="48">
        <f t="shared" si="4"/>
        <v>0</v>
      </c>
    </row>
    <row r="111" spans="1:6" hidden="1" x14ac:dyDescent="0.2">
      <c r="A111" s="40"/>
      <c r="B111" s="201" t="s">
        <v>213</v>
      </c>
      <c r="C111" s="40" t="s">
        <v>93</v>
      </c>
      <c r="E111" s="48">
        <f>'Equip&amp;HIRE_Master'!D43</f>
        <v>0</v>
      </c>
      <c r="F111" s="48">
        <f t="shared" si="4"/>
        <v>0</v>
      </c>
    </row>
    <row r="112" spans="1:6" hidden="1" x14ac:dyDescent="0.2">
      <c r="A112" s="40"/>
      <c r="B112" s="201" t="s">
        <v>214</v>
      </c>
      <c r="C112" s="40" t="s">
        <v>93</v>
      </c>
      <c r="E112" s="48">
        <f>'Equip&amp;HIRE_Master'!D44</f>
        <v>0</v>
      </c>
      <c r="F112" s="48">
        <f t="shared" si="4"/>
        <v>0</v>
      </c>
    </row>
    <row r="113" spans="1:6" hidden="1" x14ac:dyDescent="0.2">
      <c r="A113" s="40"/>
      <c r="B113" s="201" t="s">
        <v>215</v>
      </c>
      <c r="C113" s="40" t="s">
        <v>93</v>
      </c>
      <c r="E113" s="48">
        <f>'Equip&amp;HIRE_Master'!D45</f>
        <v>0</v>
      </c>
      <c r="F113" s="48">
        <f t="shared" si="4"/>
        <v>0</v>
      </c>
    </row>
    <row r="114" spans="1:6" hidden="1" x14ac:dyDescent="0.2">
      <c r="A114" s="40"/>
      <c r="B114" s="201" t="s">
        <v>216</v>
      </c>
      <c r="C114" s="40" t="s">
        <v>93</v>
      </c>
      <c r="E114" s="48">
        <f>'Equip&amp;HIRE_Master'!D46</f>
        <v>0</v>
      </c>
      <c r="F114" s="48">
        <f t="shared" si="4"/>
        <v>0</v>
      </c>
    </row>
    <row r="115" spans="1:6" hidden="1" x14ac:dyDescent="0.2">
      <c r="A115" s="40"/>
      <c r="B115" s="201" t="s">
        <v>217</v>
      </c>
      <c r="C115" s="40" t="s">
        <v>93</v>
      </c>
      <c r="E115" s="48">
        <f>'Equip&amp;HIRE_Master'!D47</f>
        <v>0</v>
      </c>
      <c r="F115" s="48">
        <f t="shared" si="4"/>
        <v>0</v>
      </c>
    </row>
    <row r="116" spans="1:6" hidden="1" x14ac:dyDescent="0.2">
      <c r="A116" s="40"/>
      <c r="B116" s="201" t="s">
        <v>218</v>
      </c>
      <c r="C116" s="40" t="s">
        <v>93</v>
      </c>
      <c r="E116" s="48">
        <f>'Equip&amp;HIRE_Master'!D48</f>
        <v>0</v>
      </c>
      <c r="F116" s="48">
        <f t="shared" si="4"/>
        <v>0</v>
      </c>
    </row>
    <row r="117" spans="1:6" hidden="1" x14ac:dyDescent="0.2">
      <c r="A117" s="40"/>
      <c r="B117" s="201" t="s">
        <v>219</v>
      </c>
      <c r="C117" s="40" t="s">
        <v>93</v>
      </c>
      <c r="E117" s="48">
        <f>'Equip&amp;HIRE_Master'!D49</f>
        <v>0</v>
      </c>
      <c r="F117" s="48">
        <f t="shared" si="4"/>
        <v>0</v>
      </c>
    </row>
    <row r="118" spans="1:6" hidden="1" x14ac:dyDescent="0.2">
      <c r="A118" s="40"/>
      <c r="B118" s="201" t="s">
        <v>220</v>
      </c>
      <c r="C118" s="40" t="s">
        <v>93</v>
      </c>
      <c r="E118" s="48">
        <f>'Equip&amp;HIRE_Master'!D50</f>
        <v>0</v>
      </c>
      <c r="F118" s="48">
        <f t="shared" si="4"/>
        <v>0</v>
      </c>
    </row>
    <row r="119" spans="1:6" hidden="1" x14ac:dyDescent="0.2">
      <c r="A119" s="40"/>
      <c r="B119" s="201" t="s">
        <v>221</v>
      </c>
      <c r="C119" s="40" t="s">
        <v>93</v>
      </c>
      <c r="E119" s="48">
        <f>'Equip&amp;HIRE_Master'!D51</f>
        <v>0</v>
      </c>
      <c r="F119" s="48">
        <f t="shared" si="4"/>
        <v>0</v>
      </c>
    </row>
    <row r="120" spans="1:6" hidden="1" x14ac:dyDescent="0.2">
      <c r="A120" s="40"/>
      <c r="B120" s="201" t="s">
        <v>222</v>
      </c>
      <c r="C120" s="40" t="s">
        <v>93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223</v>
      </c>
      <c r="C122" s="40" t="s">
        <v>93</v>
      </c>
      <c r="E122" s="48">
        <f>'Equip&amp;HIRE_Master'!D54</f>
        <v>0</v>
      </c>
      <c r="F122" s="48">
        <f t="shared" si="4"/>
        <v>0</v>
      </c>
    </row>
    <row r="123" spans="1:6" x14ac:dyDescent="0.2">
      <c r="A123" s="40"/>
      <c r="B123" s="201" t="s">
        <v>224</v>
      </c>
      <c r="C123" s="40" t="s">
        <v>225</v>
      </c>
      <c r="E123" s="48">
        <f>'Equip&amp;HIRE_Master'!D55</f>
        <v>230</v>
      </c>
      <c r="F123" s="48">
        <f t="shared" si="4"/>
        <v>0</v>
      </c>
    </row>
    <row r="124" spans="1:6" x14ac:dyDescent="0.2">
      <c r="A124" s="40"/>
      <c r="B124" s="201" t="s">
        <v>226</v>
      </c>
      <c r="C124" s="40" t="s">
        <v>227</v>
      </c>
      <c r="E124" s="48">
        <f>'Equip&amp;HIRE_Master'!D56</f>
        <v>309</v>
      </c>
      <c r="F124" s="48">
        <f t="shared" si="4"/>
        <v>0</v>
      </c>
    </row>
    <row r="125" spans="1:6" x14ac:dyDescent="0.2">
      <c r="A125" s="40"/>
      <c r="B125" s="201" t="s">
        <v>228</v>
      </c>
      <c r="C125" s="40" t="s">
        <v>229</v>
      </c>
      <c r="E125" s="48">
        <f>'Equip&amp;HIRE_Master'!D57</f>
        <v>35</v>
      </c>
      <c r="F125" s="48">
        <f t="shared" si="4"/>
        <v>0</v>
      </c>
    </row>
    <row r="126" spans="1:6" x14ac:dyDescent="0.2">
      <c r="A126" s="40"/>
      <c r="B126" s="201" t="s">
        <v>230</v>
      </c>
      <c r="C126" s="40" t="s">
        <v>231</v>
      </c>
      <c r="E126" s="48">
        <f>'Equip&amp;HIRE_Master'!D58</f>
        <v>229.9</v>
      </c>
      <c r="F126" s="48">
        <f t="shared" si="4"/>
        <v>0</v>
      </c>
    </row>
    <row r="127" spans="1:6" x14ac:dyDescent="0.2">
      <c r="A127" s="40"/>
      <c r="B127" s="201" t="s">
        <v>232</v>
      </c>
      <c r="C127" s="40" t="s">
        <v>231</v>
      </c>
      <c r="E127" s="48">
        <f>'Equip&amp;HIRE_Master'!D59</f>
        <v>239.8</v>
      </c>
      <c r="F127" s="48">
        <f t="shared" si="4"/>
        <v>0</v>
      </c>
    </row>
    <row r="128" spans="1:6" x14ac:dyDescent="0.2">
      <c r="A128" s="40"/>
      <c r="B128" s="201" t="s">
        <v>233</v>
      </c>
      <c r="C128" s="40" t="s">
        <v>227</v>
      </c>
      <c r="E128" s="48">
        <f>'Equip&amp;HIRE_Master'!D60</f>
        <v>309</v>
      </c>
      <c r="F128" s="48">
        <f t="shared" si="4"/>
        <v>0</v>
      </c>
    </row>
    <row r="129" spans="1:6" x14ac:dyDescent="0.2">
      <c r="A129" s="40"/>
      <c r="B129" s="201" t="s">
        <v>234</v>
      </c>
      <c r="C129" s="40" t="s">
        <v>229</v>
      </c>
      <c r="E129" s="48">
        <f>'Equip&amp;HIRE_Master'!D61</f>
        <v>35</v>
      </c>
      <c r="F129" s="48">
        <f t="shared" si="4"/>
        <v>0</v>
      </c>
    </row>
    <row r="130" spans="1:6" x14ac:dyDescent="0.2">
      <c r="A130" s="40"/>
      <c r="B130" s="201" t="s">
        <v>235</v>
      </c>
      <c r="C130" s="40" t="s">
        <v>93</v>
      </c>
      <c r="E130" s="48">
        <f>'Equip&amp;HIRE_Master'!D62</f>
        <v>295.77</v>
      </c>
      <c r="F130" s="48">
        <f t="shared" si="4"/>
        <v>0</v>
      </c>
    </row>
    <row r="131" spans="1:6" x14ac:dyDescent="0.2">
      <c r="A131" s="40"/>
      <c r="B131" s="201" t="s">
        <v>236</v>
      </c>
      <c r="C131" s="40" t="s">
        <v>93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237</v>
      </c>
      <c r="C133" s="40" t="s">
        <v>93</v>
      </c>
      <c r="E133" s="48">
        <f>'Equip&amp;HIRE_Master'!D65</f>
        <v>0</v>
      </c>
      <c r="F133" s="48">
        <f t="shared" si="4"/>
        <v>0</v>
      </c>
    </row>
    <row r="134" spans="1:6" x14ac:dyDescent="0.2">
      <c r="A134" s="40"/>
      <c r="B134" s="201" t="s">
        <v>238</v>
      </c>
      <c r="C134" s="40" t="s">
        <v>239</v>
      </c>
      <c r="E134" s="48">
        <f>'Equip&amp;HIRE_Master'!D66</f>
        <v>180</v>
      </c>
      <c r="F134" s="48">
        <f t="shared" si="4"/>
        <v>0</v>
      </c>
    </row>
    <row r="135" spans="1:6" x14ac:dyDescent="0.2">
      <c r="A135" s="40"/>
      <c r="B135" s="201" t="s">
        <v>240</v>
      </c>
      <c r="C135" s="40" t="s">
        <v>239</v>
      </c>
      <c r="E135" s="48">
        <f>'Equip&amp;HIRE_Master'!D67</f>
        <v>125</v>
      </c>
      <c r="F135" s="48">
        <f t="shared" si="4"/>
        <v>0</v>
      </c>
    </row>
    <row r="136" spans="1:6" x14ac:dyDescent="0.2">
      <c r="A136" s="40"/>
      <c r="B136" s="201" t="s">
        <v>241</v>
      </c>
      <c r="C136" s="40" t="s">
        <v>239</v>
      </c>
      <c r="E136" s="48">
        <f>'Equip&amp;HIRE_Master'!D68</f>
        <v>160</v>
      </c>
      <c r="F136" s="48">
        <f t="shared" si="4"/>
        <v>0</v>
      </c>
    </row>
    <row r="137" spans="1:6" x14ac:dyDescent="0.2">
      <c r="A137" s="40"/>
      <c r="B137" s="201" t="s">
        <v>242</v>
      </c>
      <c r="C137" s="40" t="s">
        <v>239</v>
      </c>
      <c r="E137" s="48">
        <f>'Equip&amp;HIRE_Master'!D69</f>
        <v>200</v>
      </c>
      <c r="F137" s="48">
        <f t="shared" ref="F137" si="5">E137*D137</f>
        <v>0</v>
      </c>
    </row>
    <row r="138" spans="1:6" x14ac:dyDescent="0.2">
      <c r="A138" s="40"/>
      <c r="E138" s="48"/>
      <c r="F138" s="48"/>
    </row>
    <row r="139" spans="1:6" x14ac:dyDescent="0.2">
      <c r="A139" s="40"/>
      <c r="B139" s="201" t="s">
        <v>244</v>
      </c>
      <c r="C139" s="40" t="s">
        <v>229</v>
      </c>
      <c r="E139" s="48">
        <v>1850</v>
      </c>
      <c r="F139" s="48">
        <f>E139*D140</f>
        <v>1480</v>
      </c>
    </row>
    <row r="140" spans="1:6" ht="10.8" thickBot="1" x14ac:dyDescent="0.25">
      <c r="A140" s="40"/>
      <c r="D140" s="40">
        <v>0.8</v>
      </c>
      <c r="E140" s="48"/>
      <c r="F140" s="48"/>
    </row>
    <row r="141" spans="1:6" ht="10.8" thickBot="1" x14ac:dyDescent="0.25">
      <c r="A141" s="42"/>
      <c r="B141" s="49" t="s">
        <v>245</v>
      </c>
      <c r="E141" s="48"/>
      <c r="F141" s="48"/>
    </row>
    <row r="142" spans="1:6" x14ac:dyDescent="0.2">
      <c r="E142" s="48"/>
      <c r="F142" s="48"/>
    </row>
    <row r="143" spans="1:6" x14ac:dyDescent="0.2">
      <c r="B143" s="38" t="s">
        <v>246</v>
      </c>
      <c r="C143" s="40" t="s">
        <v>115</v>
      </c>
      <c r="E143" s="48">
        <f>'Misc Subbie Rates_Master'!D35</f>
        <v>180</v>
      </c>
      <c r="F143" s="48">
        <f>E143*D143</f>
        <v>0</v>
      </c>
    </row>
    <row r="144" spans="1:6" x14ac:dyDescent="0.2">
      <c r="B144" s="38" t="s">
        <v>247</v>
      </c>
      <c r="C144" s="40" t="s">
        <v>115</v>
      </c>
      <c r="E144" s="48">
        <f>'Misc Subbie Rates_Master'!D42</f>
        <v>130</v>
      </c>
      <c r="F144" s="48">
        <f t="shared" ref="F144:F151" si="6">E144*D144</f>
        <v>0</v>
      </c>
    </row>
    <row r="145" spans="1:6" x14ac:dyDescent="0.2">
      <c r="B145" s="38" t="s">
        <v>248</v>
      </c>
      <c r="C145" s="40" t="s">
        <v>115</v>
      </c>
      <c r="E145" s="48">
        <f>'Misc Subbie Rates_Master'!D72</f>
        <v>115</v>
      </c>
      <c r="F145" s="48">
        <f t="shared" si="6"/>
        <v>0</v>
      </c>
    </row>
    <row r="146" spans="1:6" x14ac:dyDescent="0.2">
      <c r="B146" s="38" t="s">
        <v>249</v>
      </c>
      <c r="C146" s="40" t="s">
        <v>115</v>
      </c>
      <c r="E146" s="48">
        <f>'Misc Subbie Rates_Master'!D73</f>
        <v>90</v>
      </c>
      <c r="F146" s="48">
        <f t="shared" si="6"/>
        <v>0</v>
      </c>
    </row>
    <row r="147" spans="1:6" x14ac:dyDescent="0.2">
      <c r="C147" s="40" t="s">
        <v>115</v>
      </c>
      <c r="E147" s="48"/>
      <c r="F147" s="48">
        <f t="shared" si="6"/>
        <v>0</v>
      </c>
    </row>
    <row r="148" spans="1:6" x14ac:dyDescent="0.2">
      <c r="C148" s="40" t="s">
        <v>115</v>
      </c>
      <c r="E148" s="48"/>
      <c r="F148" s="48">
        <f t="shared" si="6"/>
        <v>0</v>
      </c>
    </row>
    <row r="149" spans="1:6" x14ac:dyDescent="0.2">
      <c r="B149" s="284" t="s">
        <v>250</v>
      </c>
      <c r="C149" s="40" t="s">
        <v>115</v>
      </c>
      <c r="E149" s="48"/>
      <c r="F149" s="48">
        <f t="shared" si="6"/>
        <v>0</v>
      </c>
    </row>
    <row r="150" spans="1:6" x14ac:dyDescent="0.2">
      <c r="B150" s="1" t="s">
        <v>251</v>
      </c>
      <c r="C150" s="40" t="s">
        <v>115</v>
      </c>
      <c r="D150" s="40">
        <v>1</v>
      </c>
      <c r="E150" s="48">
        <f>'Misc Subbie Rates_Master'!D84</f>
        <v>1945</v>
      </c>
      <c r="F150" s="48">
        <f t="shared" si="6"/>
        <v>1945</v>
      </c>
    </row>
    <row r="151" spans="1:6" x14ac:dyDescent="0.2">
      <c r="B151" s="38" t="s">
        <v>252</v>
      </c>
      <c r="C151" s="40" t="s">
        <v>115</v>
      </c>
      <c r="D151" s="40">
        <v>1</v>
      </c>
      <c r="E151" s="48">
        <f>'Misc Subbie Rates_Master'!D86</f>
        <v>350</v>
      </c>
      <c r="F151" s="48">
        <f t="shared" si="6"/>
        <v>350</v>
      </c>
    </row>
    <row r="152" spans="1:6" x14ac:dyDescent="0.2">
      <c r="E152" s="48"/>
      <c r="F152" s="48"/>
    </row>
    <row r="153" spans="1:6" ht="10.8" thickBot="1" x14ac:dyDescent="0.25">
      <c r="E153" s="48"/>
      <c r="F153" s="48"/>
    </row>
    <row r="154" spans="1:6" ht="10.8" thickBot="1" x14ac:dyDescent="0.25">
      <c r="A154" s="42"/>
      <c r="B154" s="49" t="s">
        <v>253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7">E157*D157</f>
        <v>0</v>
      </c>
    </row>
    <row r="158" spans="1:6" x14ac:dyDescent="0.2">
      <c r="B158" s="38" t="str">
        <f>'Material Rates_Master'!A187</f>
        <v>Turf Underlay/Topsoil</v>
      </c>
      <c r="C158" s="40" t="str">
        <f>'Material Rates_Master'!B187</f>
        <v>m3</v>
      </c>
      <c r="E158" s="48">
        <f>'Material Rates_Master'!D187</f>
        <v>45.25</v>
      </c>
      <c r="F158" s="48">
        <f t="shared" si="7"/>
        <v>0</v>
      </c>
    </row>
    <row r="159" spans="1:6" x14ac:dyDescent="0.2">
      <c r="B159" s="38" t="str">
        <f>'Material Rates_Master'!A188</f>
        <v>Standard Garden Woodchip</v>
      </c>
      <c r="C159" s="40" t="str">
        <f>'Material Rates_Master'!B188</f>
        <v>m3</v>
      </c>
      <c r="E159" s="48">
        <f>'Material Rates_Master'!D188</f>
        <v>87</v>
      </c>
      <c r="F159" s="48">
        <f t="shared" si="7"/>
        <v>0</v>
      </c>
    </row>
    <row r="160" spans="1:6" x14ac:dyDescent="0.2">
      <c r="B160" s="38" t="str">
        <f>'Material Rates_Master'!A189</f>
        <v>Turf - Standard Couch or Similar</v>
      </c>
      <c r="C160" s="40" t="str">
        <f>'Material Rates_Master'!B189</f>
        <v>Slab (.5m2)</v>
      </c>
      <c r="E160" s="48">
        <f>'Material Rates_Master'!D189</f>
        <v>6.48</v>
      </c>
      <c r="F160" s="48">
        <f t="shared" si="7"/>
        <v>0</v>
      </c>
    </row>
    <row r="161" spans="1:10" ht="4.2"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7"/>
        <v>0</v>
      </c>
    </row>
    <row r="163" spans="1:10" x14ac:dyDescent="0.2">
      <c r="B163" s="38" t="str">
        <f>'Material Rates_Master'!A194</f>
        <v>Exposed Agg Concrete - Standard/Cheapest Exposed Agg Stone</v>
      </c>
      <c r="C163" s="40" t="str">
        <f>'Material Rates_Master'!B194</f>
        <v>m3</v>
      </c>
      <c r="E163" s="48">
        <f>'Material Rates_Master'!D194</f>
        <v>252</v>
      </c>
      <c r="F163" s="48">
        <f t="shared" si="7"/>
        <v>0</v>
      </c>
    </row>
    <row r="164" spans="1:10" x14ac:dyDescent="0.2">
      <c r="B164" s="38" t="str">
        <f>'Material Rates_Master'!A195</f>
        <v>N25 20mm 80 Slump Concrete</v>
      </c>
      <c r="C164" s="40" t="str">
        <f>'Material Rates_Master'!B195</f>
        <v>m3</v>
      </c>
      <c r="E164" s="48">
        <f>'Material Rates_Master'!D195</f>
        <v>263</v>
      </c>
      <c r="F164" s="48">
        <f t="shared" si="7"/>
        <v>0</v>
      </c>
    </row>
    <row r="165" spans="1:10" x14ac:dyDescent="0.2">
      <c r="E165" s="48"/>
      <c r="F165" s="48"/>
    </row>
    <row r="166" spans="1:10" x14ac:dyDescent="0.2">
      <c r="B166" s="38" t="s">
        <v>254</v>
      </c>
      <c r="C166" s="40" t="s">
        <v>115</v>
      </c>
      <c r="E166" s="48">
        <v>380</v>
      </c>
      <c r="F166" s="48">
        <f t="shared" ref="F166" si="8">E166*D166</f>
        <v>0</v>
      </c>
    </row>
    <row r="167" spans="1:10" x14ac:dyDescent="0.2">
      <c r="E167" s="48"/>
      <c r="F167" s="48"/>
    </row>
    <row r="168" spans="1:10" x14ac:dyDescent="0.2">
      <c r="B168" s="201"/>
      <c r="C168" s="38"/>
      <c r="D168" s="38"/>
      <c r="E168" s="38"/>
      <c r="F168" s="38"/>
    </row>
    <row r="169" spans="1:10" x14ac:dyDescent="0.2">
      <c r="A169" s="42"/>
      <c r="B169" s="332" t="s">
        <v>255</v>
      </c>
      <c r="E169" s="48"/>
      <c r="F169" s="48"/>
    </row>
    <row r="170" spans="1:10" x14ac:dyDescent="0.2">
      <c r="E170" s="48"/>
      <c r="F170" s="48"/>
    </row>
    <row r="171" spans="1:10" ht="13.2" x14ac:dyDescent="0.2">
      <c r="A171" s="40"/>
      <c r="B171" s="300" t="s">
        <v>256</v>
      </c>
      <c r="C171" s="40" t="str">
        <f>'Material Rates_Master'!B5</f>
        <v>m</v>
      </c>
      <c r="D171" s="292"/>
      <c r="E171" s="48">
        <f>'Material Rates_Master'!D5*$M$16</f>
        <v>46.810749999999999</v>
      </c>
      <c r="F171" s="48">
        <f t="shared" ref="F171:F234" si="9">E171*D171</f>
        <v>0</v>
      </c>
      <c r="H171" s="20"/>
      <c r="I171" s="47"/>
      <c r="J171" s="47"/>
    </row>
    <row r="172" spans="1:10" x14ac:dyDescent="0.2">
      <c r="A172" s="40"/>
      <c r="B172" s="300" t="s">
        <v>257</v>
      </c>
      <c r="C172" s="40" t="str">
        <f>'Material Rates_Master'!B6</f>
        <v>m</v>
      </c>
      <c r="D172" s="240"/>
      <c r="E172" s="48">
        <f>'Material Rates_Master'!D6*$M$16</f>
        <v>35.143999999999998</v>
      </c>
      <c r="F172" s="48">
        <f t="shared" si="9"/>
        <v>0</v>
      </c>
      <c r="H172" s="20"/>
    </row>
    <row r="173" spans="1:10" x14ac:dyDescent="0.2">
      <c r="A173" s="40"/>
      <c r="B173" s="300" t="s">
        <v>258</v>
      </c>
      <c r="C173" s="40" t="str">
        <f>'Material Rates_Master'!B7</f>
        <v>m</v>
      </c>
      <c r="D173" s="37"/>
      <c r="E173" s="48">
        <f>'Material Rates_Master'!D7*$M$16</f>
        <v>16.993549999999999</v>
      </c>
      <c r="F173" s="48">
        <f t="shared" si="9"/>
        <v>0</v>
      </c>
      <c r="H173" s="20"/>
    </row>
    <row r="174" spans="1:10" x14ac:dyDescent="0.2">
      <c r="A174" s="40"/>
      <c r="B174" s="300" t="s">
        <v>260</v>
      </c>
      <c r="C174" s="40" t="str">
        <f>'Material Rates_Master'!B8</f>
        <v>m</v>
      </c>
      <c r="D174" s="37"/>
      <c r="E174" s="48">
        <f>'Material Rates_Master'!D8*$M$16</f>
        <v>1.6779419999999998</v>
      </c>
      <c r="F174" s="48">
        <f t="shared" si="9"/>
        <v>0</v>
      </c>
      <c r="H174" s="20"/>
    </row>
    <row r="175" spans="1:10" ht="4.2" customHeight="1" x14ac:dyDescent="0.2">
      <c r="A175" s="40"/>
      <c r="B175" s="300"/>
      <c r="E175" s="48">
        <f>'Material Rates_Master'!D9*$M$16</f>
        <v>0</v>
      </c>
      <c r="F175" s="48"/>
      <c r="H175" s="20"/>
    </row>
    <row r="176" spans="1:10" x14ac:dyDescent="0.2">
      <c r="A176" s="40"/>
      <c r="B176" s="300" t="s">
        <v>261</v>
      </c>
      <c r="C176" s="40" t="str">
        <f>'Material Rates_Master'!B10</f>
        <v>ea</v>
      </c>
      <c r="D176" s="240"/>
      <c r="E176" s="48">
        <f>'Material Rates_Master'!D10*$M$16</f>
        <v>60.802799999999998</v>
      </c>
      <c r="F176" s="48">
        <f t="shared" si="9"/>
        <v>0</v>
      </c>
      <c r="H176" s="20"/>
    </row>
    <row r="177" spans="1:8" x14ac:dyDescent="0.2">
      <c r="A177" s="40"/>
      <c r="B177" s="300" t="s">
        <v>262</v>
      </c>
      <c r="C177" s="40" t="str">
        <f>'Material Rates_Master'!B11</f>
        <v>ea</v>
      </c>
      <c r="D177" s="37"/>
      <c r="E177" s="48">
        <f>'Material Rates_Master'!D11*$M$16</f>
        <v>35.493599999999994</v>
      </c>
      <c r="F177" s="48">
        <f t="shared" si="9"/>
        <v>0</v>
      </c>
      <c r="H177" s="20"/>
    </row>
    <row r="178" spans="1:8" x14ac:dyDescent="0.2">
      <c r="A178" s="40"/>
      <c r="B178" s="300" t="s">
        <v>263</v>
      </c>
      <c r="C178" s="40" t="str">
        <f>'Material Rates_Master'!B12</f>
        <v>ea</v>
      </c>
      <c r="D178" s="240"/>
      <c r="E178" s="48">
        <f>'Material Rates_Master'!D12*$M$16</f>
        <v>19.471799999999998</v>
      </c>
      <c r="F178" s="48">
        <f t="shared" si="9"/>
        <v>0</v>
      </c>
      <c r="H178" s="20"/>
    </row>
    <row r="179" spans="1:8" x14ac:dyDescent="0.2">
      <c r="A179" s="40"/>
      <c r="B179" s="300" t="s">
        <v>264</v>
      </c>
      <c r="C179" s="40" t="str">
        <f>'Material Rates_Master'!B13</f>
        <v>ea</v>
      </c>
      <c r="D179" s="240"/>
      <c r="E179" s="48">
        <f>'Material Rates_Master'!D13*$M$16</f>
        <v>150.64079999999998</v>
      </c>
      <c r="F179" s="48">
        <f t="shared" si="9"/>
        <v>0</v>
      </c>
      <c r="H179" s="20"/>
    </row>
    <row r="180" spans="1:8" x14ac:dyDescent="0.2">
      <c r="A180" s="40"/>
      <c r="B180" s="300" t="s">
        <v>265</v>
      </c>
      <c r="C180" s="40" t="str">
        <f>'Material Rates_Master'!B14</f>
        <v>ea</v>
      </c>
      <c r="D180" s="240"/>
      <c r="E180" s="48">
        <f>'Material Rates_Master'!D14*$M$16</f>
        <v>135.1986</v>
      </c>
      <c r="F180" s="48">
        <f t="shared" si="9"/>
        <v>0</v>
      </c>
      <c r="H180" s="20"/>
    </row>
    <row r="181" spans="1:8" x14ac:dyDescent="0.2">
      <c r="A181" s="40"/>
      <c r="B181" s="300" t="s">
        <v>266</v>
      </c>
      <c r="C181" s="40" t="str">
        <f>'Material Rates_Master'!B15</f>
        <v>ea</v>
      </c>
      <c r="D181" s="240"/>
      <c r="E181" s="48">
        <f>'Material Rates_Master'!D15*$M$16</f>
        <v>61.672199999999989</v>
      </c>
      <c r="F181" s="48">
        <f t="shared" si="9"/>
        <v>0</v>
      </c>
      <c r="H181" s="20"/>
    </row>
    <row r="182" spans="1:8" x14ac:dyDescent="0.2">
      <c r="A182" s="40"/>
      <c r="B182" s="300" t="s">
        <v>267</v>
      </c>
      <c r="C182" s="40" t="str">
        <f>'Material Rates_Master'!B16</f>
        <v>ea</v>
      </c>
      <c r="D182" s="240"/>
      <c r="E182" s="48">
        <f>'Material Rates_Master'!D16*$M$16</f>
        <v>150.64079999999998</v>
      </c>
      <c r="F182" s="48">
        <f t="shared" si="9"/>
        <v>0</v>
      </c>
      <c r="H182" s="20"/>
    </row>
    <row r="183" spans="1:8" x14ac:dyDescent="0.2">
      <c r="A183" s="40"/>
      <c r="B183" s="300" t="s">
        <v>268</v>
      </c>
      <c r="C183" s="40" t="str">
        <f>'Material Rates_Master'!B17</f>
        <v>ea</v>
      </c>
      <c r="D183" s="240"/>
      <c r="E183" s="48">
        <f>'Material Rates_Master'!D17*$M$16</f>
        <v>134.9778</v>
      </c>
      <c r="F183" s="48">
        <f t="shared" si="9"/>
        <v>0</v>
      </c>
      <c r="H183" s="20"/>
    </row>
    <row r="184" spans="1:8" x14ac:dyDescent="0.2">
      <c r="A184" s="40"/>
      <c r="B184" s="300" t="s">
        <v>269</v>
      </c>
      <c r="C184" s="40" t="str">
        <f>'Material Rates_Master'!B18</f>
        <v>ea</v>
      </c>
      <c r="D184" s="240"/>
      <c r="E184" s="48">
        <f>'Material Rates_Master'!D18*$M$16</f>
        <v>61.61699999999999</v>
      </c>
      <c r="F184" s="48">
        <f t="shared" si="9"/>
        <v>0</v>
      </c>
      <c r="H184" s="20"/>
    </row>
    <row r="185" spans="1:8" x14ac:dyDescent="0.2">
      <c r="A185" s="40"/>
      <c r="B185" s="300" t="s">
        <v>270</v>
      </c>
      <c r="C185" s="40" t="str">
        <f>'Material Rates_Master'!B19</f>
        <v>ea</v>
      </c>
      <c r="D185" s="240"/>
      <c r="E185" s="48">
        <f>'Material Rates_Master'!D19*$M$16</f>
        <v>151.45499999999998</v>
      </c>
      <c r="F185" s="48">
        <f t="shared" si="9"/>
        <v>0</v>
      </c>
      <c r="H185" s="20"/>
    </row>
    <row r="186" spans="1:8" x14ac:dyDescent="0.2">
      <c r="A186" s="40"/>
      <c r="B186" s="300" t="s">
        <v>271</v>
      </c>
      <c r="C186" s="40" t="str">
        <f>'Material Rates_Master'!B20</f>
        <v>ea</v>
      </c>
      <c r="D186" s="240"/>
      <c r="E186" s="48">
        <f>'Material Rates_Master'!D20*$M$16</f>
        <v>157.7064</v>
      </c>
      <c r="F186" s="48">
        <f t="shared" si="9"/>
        <v>0</v>
      </c>
      <c r="H186" s="20"/>
    </row>
    <row r="187" spans="1:8" x14ac:dyDescent="0.2">
      <c r="A187" s="40"/>
      <c r="B187" s="300" t="s">
        <v>272</v>
      </c>
      <c r="C187" s="40" t="str">
        <f>'Material Rates_Master'!B21</f>
        <v>ea</v>
      </c>
      <c r="D187" s="240"/>
      <c r="E187" s="48">
        <f>'Material Rates_Master'!D21*$M$16</f>
        <v>67.964999999999989</v>
      </c>
      <c r="F187" s="48">
        <f t="shared" si="9"/>
        <v>0</v>
      </c>
      <c r="H187" s="20"/>
    </row>
    <row r="188" spans="1:8" x14ac:dyDescent="0.2">
      <c r="A188" s="40"/>
      <c r="B188" s="300" t="s">
        <v>273</v>
      </c>
      <c r="C188" s="40" t="str">
        <f>'Material Rates_Master'!B22</f>
        <v>ea</v>
      </c>
      <c r="D188" s="240"/>
      <c r="E188" s="48">
        <f>'Material Rates_Master'!D22*$M$16</f>
        <v>289.0686</v>
      </c>
      <c r="F188" s="48">
        <f t="shared" si="9"/>
        <v>0</v>
      </c>
      <c r="H188" s="20"/>
    </row>
    <row r="189" spans="1:8" x14ac:dyDescent="0.2">
      <c r="A189" s="40"/>
      <c r="B189" s="300" t="s">
        <v>274</v>
      </c>
      <c r="C189" s="40" t="str">
        <f>'Material Rates_Master'!B23</f>
        <v>ea</v>
      </c>
      <c r="D189" s="240"/>
      <c r="E189" s="48">
        <f>'Material Rates_Master'!D23*$M$16</f>
        <v>301.4196</v>
      </c>
      <c r="F189" s="48">
        <f t="shared" si="9"/>
        <v>0</v>
      </c>
      <c r="H189" s="20"/>
    </row>
    <row r="190" spans="1:8" x14ac:dyDescent="0.2">
      <c r="A190" s="40"/>
      <c r="B190" s="300" t="s">
        <v>275</v>
      </c>
      <c r="C190" s="40" t="str">
        <f>'Material Rates_Master'!B24</f>
        <v>ea</v>
      </c>
      <c r="D190" s="240"/>
      <c r="E190" s="48">
        <f>'Material Rates_Master'!D24*$M$16</f>
        <v>168.53939999999997</v>
      </c>
      <c r="F190" s="48">
        <f t="shared" si="9"/>
        <v>0</v>
      </c>
      <c r="H190" s="20"/>
    </row>
    <row r="191" spans="1:8" x14ac:dyDescent="0.2">
      <c r="A191" s="40"/>
      <c r="B191" s="300" t="s">
        <v>276</v>
      </c>
      <c r="C191" s="40" t="str">
        <f>'Material Rates_Master'!B25</f>
        <v>ea</v>
      </c>
      <c r="D191" s="240"/>
      <c r="E191" s="48">
        <f>'Material Rates_Master'!D25*$M$16</f>
        <v>173.35559999999998</v>
      </c>
      <c r="F191" s="48">
        <f t="shared" si="9"/>
        <v>0</v>
      </c>
      <c r="H191" s="20"/>
    </row>
    <row r="192" spans="1:8" x14ac:dyDescent="0.2">
      <c r="A192" s="40"/>
      <c r="B192" s="300" t="s">
        <v>277</v>
      </c>
      <c r="C192" s="40" t="str">
        <f>'Material Rates_Master'!B26</f>
        <v>ea</v>
      </c>
      <c r="D192" s="240"/>
      <c r="E192" s="48">
        <f>'Material Rates_Master'!D26*$M$16</f>
        <v>82.938000000000002</v>
      </c>
      <c r="F192" s="48">
        <f t="shared" si="9"/>
        <v>0</v>
      </c>
      <c r="H192" s="20"/>
    </row>
    <row r="193" spans="1:8" x14ac:dyDescent="0.2">
      <c r="A193" s="40"/>
      <c r="B193" s="300" t="s">
        <v>279</v>
      </c>
      <c r="C193" s="40" t="str">
        <f>'Material Rates_Master'!B27</f>
        <v>ea</v>
      </c>
      <c r="D193" s="240"/>
      <c r="E193" s="48">
        <f>'Material Rates_Master'!D27*$M$16</f>
        <v>472.44299999999998</v>
      </c>
      <c r="F193" s="48">
        <f t="shared" si="9"/>
        <v>0</v>
      </c>
      <c r="H193" s="20"/>
    </row>
    <row r="194" spans="1:8" x14ac:dyDescent="0.2">
      <c r="A194" s="40"/>
      <c r="B194" s="300" t="s">
        <v>280</v>
      </c>
      <c r="C194" s="40" t="str">
        <f>'Material Rates_Master'!B28</f>
        <v>ea</v>
      </c>
      <c r="D194" s="240"/>
      <c r="E194" s="48">
        <f>'Material Rates_Master'!D28*$M$16</f>
        <v>179.08260000000001</v>
      </c>
      <c r="F194" s="48">
        <f t="shared" si="9"/>
        <v>0</v>
      </c>
      <c r="H194" s="20"/>
    </row>
    <row r="195" spans="1:8" x14ac:dyDescent="0.2">
      <c r="A195" s="40"/>
      <c r="B195" s="300" t="s">
        <v>281</v>
      </c>
      <c r="C195" s="40" t="str">
        <f>'Material Rates_Master'!B29</f>
        <v>ea</v>
      </c>
      <c r="D195" s="240"/>
      <c r="E195" s="48">
        <f>'Material Rates_Master'!D29*$M$16</f>
        <v>127.88459999999999</v>
      </c>
      <c r="F195" s="48">
        <f t="shared" si="9"/>
        <v>0</v>
      </c>
      <c r="H195" s="20"/>
    </row>
    <row r="196" spans="1:8" x14ac:dyDescent="0.2">
      <c r="A196" s="40"/>
      <c r="B196" s="300" t="s">
        <v>282</v>
      </c>
      <c r="C196" s="40" t="str">
        <f>'Material Rates_Master'!B30</f>
        <v>ea</v>
      </c>
      <c r="D196" s="240"/>
      <c r="E196" s="48">
        <f>'Material Rates_Master'!D30*$M$16</f>
        <v>432.20219999999995</v>
      </c>
      <c r="F196" s="48">
        <f t="shared" si="9"/>
        <v>0</v>
      </c>
      <c r="H196" s="20"/>
    </row>
    <row r="197" spans="1:8" x14ac:dyDescent="0.2">
      <c r="A197" s="40"/>
      <c r="B197" s="300" t="s">
        <v>283</v>
      </c>
      <c r="C197" s="40" t="str">
        <f>'Material Rates_Master'!B31</f>
        <v>ea</v>
      </c>
      <c r="D197" s="240"/>
      <c r="E197" s="48">
        <f>'Material Rates_Master'!D31*$M$16</f>
        <v>281.67180000000002</v>
      </c>
      <c r="F197" s="48">
        <f t="shared" si="9"/>
        <v>0</v>
      </c>
      <c r="H197" s="20"/>
    </row>
    <row r="198" spans="1:8" ht="6" customHeight="1" x14ac:dyDescent="0.2">
      <c r="A198" s="40"/>
      <c r="B198" s="300"/>
      <c r="C198" s="40">
        <f>'Material Rates_Master'!B32</f>
        <v>0</v>
      </c>
      <c r="E198" s="48">
        <f>'Material Rates_Master'!D32*$M$16</f>
        <v>0</v>
      </c>
      <c r="F198" s="48">
        <f t="shared" si="9"/>
        <v>0</v>
      </c>
      <c r="H198" s="20"/>
    </row>
    <row r="199" spans="1:8" x14ac:dyDescent="0.2">
      <c r="A199" s="40"/>
      <c r="B199" s="1" t="s">
        <v>284</v>
      </c>
      <c r="C199" s="40" t="str">
        <f>'Material Rates_Master'!B33</f>
        <v>ea</v>
      </c>
      <c r="E199" s="48">
        <f>'Material Rates_Master'!D33*$M$16</f>
        <v>435.67979999999994</v>
      </c>
      <c r="F199" s="48">
        <f t="shared" si="9"/>
        <v>0</v>
      </c>
      <c r="H199" s="20"/>
    </row>
    <row r="200" spans="1:8" x14ac:dyDescent="0.2">
      <c r="A200" s="40"/>
      <c r="B200" s="1" t="s">
        <v>285</v>
      </c>
      <c r="C200" s="40" t="str">
        <f>'Material Rates_Master'!B34</f>
        <v>ea</v>
      </c>
      <c r="E200" s="48">
        <f>'Material Rates_Master'!D34*$M$16</f>
        <v>277.97339999999997</v>
      </c>
      <c r="F200" s="48">
        <f t="shared" si="9"/>
        <v>0</v>
      </c>
      <c r="H200" s="20"/>
    </row>
    <row r="201" spans="1:8" x14ac:dyDescent="0.2">
      <c r="A201" s="40"/>
      <c r="B201" s="300" t="s">
        <v>286</v>
      </c>
      <c r="C201" s="40" t="str">
        <f>'Material Rates_Master'!B35</f>
        <v>ea</v>
      </c>
      <c r="D201" s="240"/>
      <c r="E201" s="48">
        <f>'Material Rates_Master'!D35*$M$16</f>
        <v>94.5852</v>
      </c>
      <c r="F201" s="48">
        <f t="shared" si="9"/>
        <v>0</v>
      </c>
      <c r="H201" s="20"/>
    </row>
    <row r="202" spans="1:8" x14ac:dyDescent="0.2">
      <c r="A202" s="40"/>
      <c r="B202" s="300" t="s">
        <v>287</v>
      </c>
      <c r="C202" s="40" t="str">
        <f>'Material Rates_Master'!B36</f>
        <v>ea</v>
      </c>
      <c r="D202" s="240"/>
      <c r="E202" s="48">
        <f>'Material Rates_Master'!D36*$M$16</f>
        <v>88.954799999999977</v>
      </c>
      <c r="F202" s="48">
        <f t="shared" si="9"/>
        <v>0</v>
      </c>
      <c r="H202" s="20"/>
    </row>
    <row r="203" spans="1:8" x14ac:dyDescent="0.2">
      <c r="A203" s="40"/>
      <c r="B203" s="300" t="s">
        <v>288</v>
      </c>
      <c r="C203" s="40" t="str">
        <f>'Material Rates_Master'!B37</f>
        <v>ea</v>
      </c>
      <c r="D203" s="240"/>
      <c r="E203" s="48">
        <f>'Material Rates_Master'!D37*$M$16</f>
        <v>53.488799999999991</v>
      </c>
      <c r="F203" s="48">
        <f t="shared" si="9"/>
        <v>0</v>
      </c>
      <c r="H203" s="20"/>
    </row>
    <row r="204" spans="1:8" x14ac:dyDescent="0.2">
      <c r="A204" s="40"/>
      <c r="B204" s="300" t="s">
        <v>289</v>
      </c>
      <c r="C204" s="40" t="str">
        <f>'Material Rates_Master'!B38</f>
        <v>ea</v>
      </c>
      <c r="D204" s="240"/>
      <c r="E204" s="48">
        <f>'Material Rates_Master'!D38*$M$16</f>
        <v>118.91459999999999</v>
      </c>
      <c r="F204" s="48">
        <f t="shared" si="9"/>
        <v>0</v>
      </c>
      <c r="H204" s="20"/>
    </row>
    <row r="205" spans="1:8" x14ac:dyDescent="0.2">
      <c r="A205" s="40"/>
      <c r="B205" s="300" t="s">
        <v>290</v>
      </c>
      <c r="C205" s="40" t="str">
        <f>'Material Rates_Master'!B39</f>
        <v>ea</v>
      </c>
      <c r="D205" s="240"/>
      <c r="E205" s="48">
        <f>'Material Rates_Master'!D39*$M$16</f>
        <v>93.991799999999998</v>
      </c>
      <c r="F205" s="48">
        <f t="shared" si="9"/>
        <v>0</v>
      </c>
      <c r="H205" s="20"/>
    </row>
    <row r="206" spans="1:8" x14ac:dyDescent="0.2">
      <c r="A206" s="40"/>
      <c r="B206" s="300" t="s">
        <v>291</v>
      </c>
      <c r="C206" s="40" t="str">
        <f>'Material Rates_Master'!B40</f>
        <v>ea</v>
      </c>
      <c r="D206" s="240"/>
      <c r="E206" s="48">
        <f>'Material Rates_Master'!D40*$M$16</f>
        <v>43.676999999999992</v>
      </c>
      <c r="F206" s="48">
        <f t="shared" si="9"/>
        <v>0</v>
      </c>
      <c r="H206" s="20"/>
    </row>
    <row r="207" spans="1:8" x14ac:dyDescent="0.2">
      <c r="A207" s="40"/>
      <c r="B207" s="300" t="s">
        <v>292</v>
      </c>
      <c r="C207" s="40" t="str">
        <f>'Material Rates_Master'!B41</f>
        <v>ea</v>
      </c>
      <c r="D207" s="240"/>
      <c r="E207" s="48">
        <f>'Material Rates_Master'!D41*$M$16</f>
        <v>176.14319999999998</v>
      </c>
      <c r="F207" s="48">
        <f t="shared" si="9"/>
        <v>0</v>
      </c>
      <c r="H207" s="20"/>
    </row>
    <row r="208" spans="1:8" x14ac:dyDescent="0.2">
      <c r="A208" s="40"/>
      <c r="B208" s="300" t="s">
        <v>293</v>
      </c>
      <c r="C208" s="40" t="str">
        <f>'Material Rates_Master'!B42</f>
        <v>ea</v>
      </c>
      <c r="D208" s="240"/>
      <c r="E208" s="48">
        <f>'Material Rates_Master'!D42*$M$16</f>
        <v>157.62359999999998</v>
      </c>
      <c r="F208" s="48">
        <f t="shared" si="9"/>
        <v>0</v>
      </c>
      <c r="H208" s="20"/>
    </row>
    <row r="209" spans="1:8" x14ac:dyDescent="0.2">
      <c r="A209" s="40"/>
      <c r="B209" s="300" t="s">
        <v>294</v>
      </c>
      <c r="C209" s="40" t="str">
        <f>'Material Rates_Master'!B43</f>
        <v>ea</v>
      </c>
      <c r="D209" s="240"/>
      <c r="E209" s="48">
        <f>'Material Rates_Master'!D43*$M$16</f>
        <v>52.798799999999993</v>
      </c>
      <c r="F209" s="48">
        <f t="shared" si="9"/>
        <v>0</v>
      </c>
      <c r="H209" s="20"/>
    </row>
    <row r="210" spans="1:8" x14ac:dyDescent="0.2">
      <c r="A210" s="40"/>
      <c r="B210" s="300" t="s">
        <v>295</v>
      </c>
      <c r="C210" s="40" t="str">
        <f>'Material Rates_Master'!B44</f>
        <v>ea</v>
      </c>
      <c r="D210" s="240"/>
      <c r="E210" s="48">
        <f>'Material Rates_Master'!D44*$M$16</f>
        <v>253.20239999999995</v>
      </c>
      <c r="F210" s="48">
        <f t="shared" si="9"/>
        <v>0</v>
      </c>
      <c r="H210" s="20"/>
    </row>
    <row r="211" spans="1:8" x14ac:dyDescent="0.2">
      <c r="A211" s="40"/>
      <c r="B211" s="300" t="s">
        <v>296</v>
      </c>
      <c r="C211" s="40" t="str">
        <f>'Material Rates_Master'!B45</f>
        <v>ea</v>
      </c>
      <c r="D211" s="240"/>
      <c r="E211" s="48">
        <f>'Material Rates_Master'!D45*$M$16</f>
        <v>265.55340000000001</v>
      </c>
      <c r="F211" s="48">
        <f t="shared" si="9"/>
        <v>0</v>
      </c>
      <c r="H211" s="20"/>
    </row>
    <row r="212" spans="1:8" x14ac:dyDescent="0.2">
      <c r="A212" s="40"/>
      <c r="B212" s="300" t="s">
        <v>297</v>
      </c>
      <c r="C212" s="40" t="str">
        <f>'Material Rates_Master'!B46</f>
        <v>ea</v>
      </c>
      <c r="D212" s="240"/>
      <c r="E212" s="48">
        <f>'Material Rates_Master'!D46*$M$16</f>
        <v>256.27979999999997</v>
      </c>
      <c r="F212" s="48">
        <f t="shared" si="9"/>
        <v>0</v>
      </c>
      <c r="H212" s="20"/>
    </row>
    <row r="213" spans="1:8" x14ac:dyDescent="0.2">
      <c r="A213" s="40"/>
      <c r="B213" s="300" t="s">
        <v>298</v>
      </c>
      <c r="C213" s="40" t="str">
        <f>'Material Rates_Master'!B47</f>
        <v>ea</v>
      </c>
      <c r="D213" s="240"/>
      <c r="E213" s="48">
        <f>'Material Rates_Master'!D47*$M$16</f>
        <v>77.059200000000004</v>
      </c>
      <c r="F213" s="48">
        <f t="shared" si="9"/>
        <v>0</v>
      </c>
      <c r="H213" s="20"/>
    </row>
    <row r="214" spans="1:8" x14ac:dyDescent="0.2">
      <c r="A214" s="40"/>
      <c r="B214" s="300" t="s">
        <v>299</v>
      </c>
      <c r="C214" s="40" t="str">
        <f>'Material Rates_Master'!B48</f>
        <v>ea</v>
      </c>
      <c r="D214" s="240"/>
      <c r="E214" s="48">
        <f>'Material Rates_Master'!D48*$M$16</f>
        <v>54.965399999999995</v>
      </c>
      <c r="F214" s="48">
        <f t="shared" si="9"/>
        <v>0</v>
      </c>
      <c r="H214" s="20"/>
    </row>
    <row r="215" spans="1:8" ht="6.6" customHeight="1" x14ac:dyDescent="0.2">
      <c r="A215" s="40"/>
      <c r="B215" s="300"/>
      <c r="C215" s="40">
        <f>'Material Rates_Master'!B49</f>
        <v>0</v>
      </c>
      <c r="E215" s="48">
        <f>'Material Rates_Master'!D49</f>
        <v>0</v>
      </c>
      <c r="F215" s="48">
        <f t="shared" si="9"/>
        <v>0</v>
      </c>
    </row>
    <row r="216" spans="1:8" x14ac:dyDescent="0.2">
      <c r="A216" s="40"/>
      <c r="B216" s="300" t="s">
        <v>302</v>
      </c>
      <c r="C216" s="40" t="str">
        <f>'Material Rates_Master'!B50</f>
        <v>ea</v>
      </c>
      <c r="D216" s="240"/>
      <c r="E216" s="48">
        <f>'Material Rates_Master'!D50</f>
        <v>679.41</v>
      </c>
      <c r="F216" s="48">
        <f t="shared" si="9"/>
        <v>0</v>
      </c>
    </row>
    <row r="217" spans="1:8" x14ac:dyDescent="0.2">
      <c r="A217" s="40"/>
      <c r="B217" s="300" t="s">
        <v>303</v>
      </c>
      <c r="C217" s="40" t="str">
        <f>'Material Rates_Master'!B51</f>
        <v>ea</v>
      </c>
      <c r="D217" s="240"/>
      <c r="E217" s="48">
        <f>'Material Rates_Master'!D51</f>
        <v>323.52999999999997</v>
      </c>
      <c r="F217" s="48">
        <f t="shared" si="9"/>
        <v>0</v>
      </c>
    </row>
    <row r="218" spans="1:8" x14ac:dyDescent="0.2">
      <c r="A218" s="40"/>
      <c r="B218" s="300" t="s">
        <v>304</v>
      </c>
      <c r="C218" s="40" t="str">
        <f>'Material Rates_Master'!B52</f>
        <v>ea</v>
      </c>
      <c r="D218" s="240"/>
      <c r="E218" s="48">
        <f>'Material Rates_Master'!D52</f>
        <v>202.94</v>
      </c>
      <c r="F218" s="48">
        <f t="shared" si="9"/>
        <v>0</v>
      </c>
    </row>
    <row r="219" spans="1:8" x14ac:dyDescent="0.2">
      <c r="A219" s="40"/>
      <c r="B219" s="300" t="s">
        <v>305</v>
      </c>
      <c r="C219" s="40" t="str">
        <f>'Material Rates_Master'!B53</f>
        <v>ea</v>
      </c>
      <c r="D219" s="240"/>
      <c r="E219" s="48">
        <f>'Material Rates_Master'!D53</f>
        <v>136.94</v>
      </c>
      <c r="F219" s="48">
        <f t="shared" si="9"/>
        <v>0</v>
      </c>
    </row>
    <row r="220" spans="1:8" x14ac:dyDescent="0.2">
      <c r="A220" s="40"/>
      <c r="B220" s="300" t="s">
        <v>306</v>
      </c>
      <c r="C220" s="40" t="str">
        <f>'Material Rates_Master'!B54</f>
        <v>ea</v>
      </c>
      <c r="D220" s="240"/>
      <c r="E220" s="48">
        <f>'Material Rates_Master'!D54</f>
        <v>123.53</v>
      </c>
      <c r="F220" s="48">
        <f t="shared" si="9"/>
        <v>0</v>
      </c>
    </row>
    <row r="221" spans="1:8" x14ac:dyDescent="0.2">
      <c r="A221" s="40"/>
      <c r="B221" s="300" t="s">
        <v>307</v>
      </c>
      <c r="C221" s="40" t="str">
        <f>'Material Rates_Master'!B55</f>
        <v>ea</v>
      </c>
      <c r="D221" s="240"/>
      <c r="E221" s="48">
        <f>'Material Rates_Master'!D55</f>
        <v>98.82</v>
      </c>
      <c r="F221" s="48">
        <f t="shared" si="9"/>
        <v>0</v>
      </c>
    </row>
    <row r="222" spans="1:8" ht="4.95" customHeight="1" x14ac:dyDescent="0.2">
      <c r="A222" s="40"/>
      <c r="B222" s="300"/>
      <c r="C222" s="40">
        <f>'Material Rates_Master'!B56</f>
        <v>0</v>
      </c>
      <c r="E222" s="48">
        <f>'Material Rates_Master'!D56</f>
        <v>0</v>
      </c>
      <c r="F222" s="48">
        <f t="shared" si="9"/>
        <v>0</v>
      </c>
    </row>
    <row r="223" spans="1:8" x14ac:dyDescent="0.2">
      <c r="A223" s="40"/>
      <c r="B223" s="300" t="s">
        <v>308</v>
      </c>
      <c r="C223" s="40" t="str">
        <f>'Material Rates_Master'!B57</f>
        <v>ea</v>
      </c>
      <c r="D223" s="240"/>
      <c r="E223" s="48">
        <f>'Material Rates_Master'!D57</f>
        <v>291.18</v>
      </c>
      <c r="F223" s="48">
        <f t="shared" si="9"/>
        <v>0</v>
      </c>
    </row>
    <row r="224" spans="1:8" x14ac:dyDescent="0.2">
      <c r="A224" s="40"/>
      <c r="B224" s="300" t="s">
        <v>309</v>
      </c>
      <c r="C224" s="40" t="str">
        <f>'Material Rates_Master'!B58</f>
        <v>ea</v>
      </c>
      <c r="D224" s="240"/>
      <c r="E224" s="48">
        <f>'Material Rates_Master'!D58</f>
        <v>330</v>
      </c>
      <c r="F224" s="48">
        <f t="shared" si="9"/>
        <v>0</v>
      </c>
    </row>
    <row r="225" spans="1:6" x14ac:dyDescent="0.2">
      <c r="A225" s="40"/>
      <c r="B225" s="300" t="s">
        <v>310</v>
      </c>
      <c r="C225" s="40" t="str">
        <f>'Material Rates_Master'!B59</f>
        <v>ea</v>
      </c>
      <c r="D225" s="240"/>
      <c r="E225" s="48">
        <f>'Material Rates_Master'!D59</f>
        <v>156</v>
      </c>
      <c r="F225" s="48">
        <f t="shared" si="9"/>
        <v>0</v>
      </c>
    </row>
    <row r="226" spans="1:6" x14ac:dyDescent="0.2">
      <c r="A226" s="40"/>
      <c r="B226" s="300" t="s">
        <v>311</v>
      </c>
      <c r="C226" s="40" t="str">
        <f>'Material Rates_Master'!B60</f>
        <v>ea</v>
      </c>
      <c r="D226" s="240"/>
      <c r="E226" s="48">
        <f>'Material Rates_Master'!D60</f>
        <v>106.24</v>
      </c>
      <c r="F226" s="48">
        <f t="shared" si="9"/>
        <v>0</v>
      </c>
    </row>
    <row r="227" spans="1:6" x14ac:dyDescent="0.2">
      <c r="A227" s="40"/>
      <c r="B227" s="300" t="s">
        <v>312</v>
      </c>
      <c r="C227" s="40" t="str">
        <f>'Material Rates_Master'!B61</f>
        <v>ea</v>
      </c>
      <c r="D227" s="240"/>
      <c r="E227" s="48">
        <f>'Material Rates_Master'!D61</f>
        <v>70.59</v>
      </c>
      <c r="F227" s="48">
        <f t="shared" si="9"/>
        <v>0</v>
      </c>
    </row>
    <row r="228" spans="1:6" x14ac:dyDescent="0.2">
      <c r="A228" s="40"/>
      <c r="B228" s="300" t="s">
        <v>313</v>
      </c>
      <c r="C228" s="40" t="str">
        <f>'Material Rates_Master'!B62</f>
        <v>ea</v>
      </c>
      <c r="D228" s="240"/>
      <c r="E228" s="48">
        <f>'Material Rates_Master'!D62</f>
        <v>516.35</v>
      </c>
      <c r="F228" s="48">
        <f t="shared" si="9"/>
        <v>0</v>
      </c>
    </row>
    <row r="229" spans="1:6" x14ac:dyDescent="0.2">
      <c r="A229" s="40"/>
      <c r="B229" s="300" t="s">
        <v>314</v>
      </c>
      <c r="C229" s="40" t="str">
        <f>'Material Rates_Master'!B63</f>
        <v>ea</v>
      </c>
      <c r="D229" s="240"/>
      <c r="E229" s="48">
        <f>'Material Rates_Master'!D63</f>
        <v>198.88</v>
      </c>
      <c r="F229" s="48">
        <f t="shared" si="9"/>
        <v>0</v>
      </c>
    </row>
    <row r="230" spans="1:6" x14ac:dyDescent="0.2">
      <c r="A230" s="40"/>
      <c r="B230" s="300" t="s">
        <v>315</v>
      </c>
      <c r="C230" s="40" t="str">
        <f>'Material Rates_Master'!B64</f>
        <v>ea</v>
      </c>
      <c r="D230" s="240"/>
      <c r="E230" s="48">
        <f>'Material Rates_Master'!D64</f>
        <v>108.71</v>
      </c>
      <c r="F230" s="48">
        <f t="shared" si="9"/>
        <v>0</v>
      </c>
    </row>
    <row r="231" spans="1:6" x14ac:dyDescent="0.2">
      <c r="A231" s="40"/>
      <c r="B231" s="300" t="s">
        <v>316</v>
      </c>
      <c r="C231" s="40" t="str">
        <f>'Material Rates_Master'!B65</f>
        <v>ea</v>
      </c>
      <c r="D231" s="240"/>
      <c r="E231" s="48">
        <f>'Material Rates_Master'!D65</f>
        <v>672.65</v>
      </c>
      <c r="F231" s="48">
        <f t="shared" si="9"/>
        <v>0</v>
      </c>
    </row>
    <row r="232" spans="1:6" x14ac:dyDescent="0.2">
      <c r="A232" s="40"/>
      <c r="B232" s="300" t="s">
        <v>317</v>
      </c>
      <c r="C232" s="40" t="str">
        <f>'Material Rates_Master'!B66</f>
        <v>ea</v>
      </c>
      <c r="D232" s="240"/>
      <c r="E232" s="48">
        <f>'Material Rates_Master'!D66</f>
        <v>228.24</v>
      </c>
      <c r="F232" s="48">
        <f t="shared" si="9"/>
        <v>0</v>
      </c>
    </row>
    <row r="233" spans="1:6" x14ac:dyDescent="0.2">
      <c r="A233" s="40"/>
      <c r="B233" s="300" t="s">
        <v>318</v>
      </c>
      <c r="C233" s="40" t="str">
        <f>'Material Rates_Master'!B67</f>
        <v>ea</v>
      </c>
      <c r="D233" s="240"/>
      <c r="E233" s="48">
        <f>'Material Rates_Master'!D67</f>
        <v>128.24</v>
      </c>
      <c r="F233" s="48">
        <f t="shared" si="9"/>
        <v>0</v>
      </c>
    </row>
    <row r="234" spans="1:6" x14ac:dyDescent="0.2">
      <c r="A234" s="40"/>
      <c r="B234" s="300" t="s">
        <v>319</v>
      </c>
      <c r="C234" s="40" t="str">
        <f>'Material Rates_Master'!B68</f>
        <v>ea</v>
      </c>
      <c r="D234" s="240"/>
      <c r="E234" s="48">
        <f>'Material Rates_Master'!D68</f>
        <v>536.76</v>
      </c>
      <c r="F234" s="48">
        <f t="shared" si="9"/>
        <v>0</v>
      </c>
    </row>
    <row r="235" spans="1:6" x14ac:dyDescent="0.2">
      <c r="A235" s="40"/>
      <c r="B235" s="300" t="s">
        <v>320</v>
      </c>
      <c r="C235" s="40" t="str">
        <f>'Material Rates_Master'!B69</f>
        <v>ea</v>
      </c>
      <c r="D235" s="240"/>
      <c r="E235" s="48">
        <f>'Material Rates_Master'!D69</f>
        <v>576.47</v>
      </c>
      <c r="F235" s="48">
        <f t="shared" ref="F235:F298" si="10">E235*D235</f>
        <v>0</v>
      </c>
    </row>
    <row r="236" spans="1:6" x14ac:dyDescent="0.2">
      <c r="A236" s="40"/>
      <c r="B236" s="300" t="s">
        <v>321</v>
      </c>
      <c r="C236" s="40" t="str">
        <f>'Material Rates_Master'!B70</f>
        <v>ea</v>
      </c>
      <c r="D236" s="240"/>
      <c r="E236" s="48">
        <f>'Material Rates_Master'!D70</f>
        <v>198.82</v>
      </c>
      <c r="F236" s="48">
        <f t="shared" si="10"/>
        <v>0</v>
      </c>
    </row>
    <row r="237" spans="1:6" x14ac:dyDescent="0.2">
      <c r="A237" s="40"/>
      <c r="B237" s="300" t="s">
        <v>322</v>
      </c>
      <c r="C237" s="40" t="str">
        <f>'Material Rates_Master'!B71</f>
        <v>ea</v>
      </c>
      <c r="D237" s="240"/>
      <c r="E237" s="48">
        <f>'Material Rates_Master'!D71</f>
        <v>898.82</v>
      </c>
      <c r="F237" s="48">
        <f t="shared" si="10"/>
        <v>0</v>
      </c>
    </row>
    <row r="238" spans="1:6" x14ac:dyDescent="0.2">
      <c r="A238" s="40"/>
      <c r="B238" s="300" t="s">
        <v>323</v>
      </c>
      <c r="C238" s="40" t="str">
        <f>'Material Rates_Master'!B72</f>
        <v>ea</v>
      </c>
      <c r="D238" s="240"/>
      <c r="E238" s="48">
        <f>'Material Rates_Master'!D72</f>
        <v>640</v>
      </c>
      <c r="F238" s="48">
        <f t="shared" si="10"/>
        <v>0</v>
      </c>
    </row>
    <row r="239" spans="1:6" x14ac:dyDescent="0.2">
      <c r="A239" s="40"/>
      <c r="B239" s="300" t="s">
        <v>324</v>
      </c>
      <c r="C239" s="40" t="str">
        <f>'Material Rates_Master'!B73</f>
        <v>ea</v>
      </c>
      <c r="D239" s="240"/>
      <c r="E239" s="48">
        <f>'Material Rates_Master'!D73</f>
        <v>355.29</v>
      </c>
      <c r="F239" s="48">
        <f t="shared" si="10"/>
        <v>0</v>
      </c>
    </row>
    <row r="240" spans="1:6" x14ac:dyDescent="0.2">
      <c r="A240" s="40"/>
      <c r="B240" s="300" t="s">
        <v>325</v>
      </c>
      <c r="C240" s="40" t="str">
        <f>'Material Rates_Master'!B74</f>
        <v>ea</v>
      </c>
      <c r="D240" s="240"/>
      <c r="E240" s="48">
        <f>'Material Rates_Master'!D74</f>
        <v>534.41</v>
      </c>
      <c r="F240" s="48">
        <f t="shared" si="10"/>
        <v>0</v>
      </c>
    </row>
    <row r="241" spans="1:6" x14ac:dyDescent="0.2">
      <c r="A241" s="40"/>
      <c r="B241" s="300" t="s">
        <v>326</v>
      </c>
      <c r="C241" s="40" t="str">
        <f>'Material Rates_Master'!B75</f>
        <v>ea</v>
      </c>
      <c r="D241" s="240"/>
      <c r="E241" s="48">
        <f>'Material Rates_Master'!D75</f>
        <v>280</v>
      </c>
      <c r="F241" s="48">
        <f t="shared" si="10"/>
        <v>0</v>
      </c>
    </row>
    <row r="242" spans="1:6" x14ac:dyDescent="0.2">
      <c r="A242" s="40"/>
      <c r="B242" s="300" t="s">
        <v>327</v>
      </c>
      <c r="C242" s="40" t="str">
        <f>'Material Rates_Master'!B76</f>
        <v>ea</v>
      </c>
      <c r="D242" s="240"/>
      <c r="E242" s="48">
        <f>'Material Rates_Master'!D76</f>
        <v>236.47</v>
      </c>
      <c r="F242" s="48">
        <f t="shared" si="10"/>
        <v>0</v>
      </c>
    </row>
    <row r="243" spans="1:6" x14ac:dyDescent="0.2">
      <c r="A243" s="40"/>
      <c r="B243" s="300" t="s">
        <v>328</v>
      </c>
      <c r="C243" s="40" t="str">
        <f>'Material Rates_Master'!B77</f>
        <v>ea</v>
      </c>
      <c r="D243" s="240"/>
      <c r="E243" s="48">
        <f>'Material Rates_Master'!D77</f>
        <v>178.8</v>
      </c>
      <c r="F243" s="48">
        <f t="shared" si="10"/>
        <v>0</v>
      </c>
    </row>
    <row r="244" spans="1:6" x14ac:dyDescent="0.2">
      <c r="A244" s="40"/>
      <c r="B244" s="300" t="s">
        <v>329</v>
      </c>
      <c r="C244" s="40" t="str">
        <f>'Material Rates_Master'!B78</f>
        <v>ea</v>
      </c>
      <c r="D244" s="240"/>
      <c r="E244" s="48">
        <f>'Material Rates_Master'!D78</f>
        <v>362.35</v>
      </c>
      <c r="F244" s="48">
        <f t="shared" si="10"/>
        <v>0</v>
      </c>
    </row>
    <row r="245" spans="1:6" x14ac:dyDescent="0.2">
      <c r="A245" s="40"/>
      <c r="B245" s="300" t="s">
        <v>330</v>
      </c>
      <c r="C245" s="40" t="str">
        <f>'Material Rates_Master'!B79</f>
        <v>ea</v>
      </c>
      <c r="D245" s="240"/>
      <c r="E245" s="48">
        <f>'Material Rates_Master'!D79</f>
        <v>144.71</v>
      </c>
      <c r="F245" s="48">
        <f t="shared" si="10"/>
        <v>0</v>
      </c>
    </row>
    <row r="246" spans="1:6" x14ac:dyDescent="0.2">
      <c r="A246" s="40"/>
      <c r="B246" s="300" t="s">
        <v>331</v>
      </c>
      <c r="C246" s="40" t="str">
        <f>'Material Rates_Master'!B80</f>
        <v>ea</v>
      </c>
      <c r="D246" s="240"/>
      <c r="E246" s="48">
        <f>'Material Rates_Master'!D80</f>
        <v>135.88</v>
      </c>
      <c r="F246" s="48">
        <f t="shared" si="10"/>
        <v>0</v>
      </c>
    </row>
    <row r="247" spans="1:6" x14ac:dyDescent="0.2">
      <c r="A247" s="40"/>
      <c r="B247" s="300" t="s">
        <v>332</v>
      </c>
      <c r="C247" s="40" t="str">
        <f>'Material Rates_Master'!B81</f>
        <v>ea</v>
      </c>
      <c r="D247" s="240"/>
      <c r="E247" s="48">
        <f>'Material Rates_Master'!D81</f>
        <v>76.47</v>
      </c>
      <c r="F247" s="48">
        <f t="shared" si="10"/>
        <v>0</v>
      </c>
    </row>
    <row r="248" spans="1:6" x14ac:dyDescent="0.2">
      <c r="A248" s="40"/>
      <c r="B248" s="300" t="s">
        <v>333</v>
      </c>
      <c r="C248" s="40" t="str">
        <f>'Material Rates_Master'!B82</f>
        <v>ea</v>
      </c>
      <c r="D248" s="240"/>
      <c r="E248" s="48">
        <f>'Material Rates_Master'!D82</f>
        <v>67.650000000000006</v>
      </c>
      <c r="F248" s="48">
        <f t="shared" si="10"/>
        <v>0</v>
      </c>
    </row>
    <row r="249" spans="1:6" x14ac:dyDescent="0.2">
      <c r="A249" s="40"/>
      <c r="B249" s="300" t="s">
        <v>334</v>
      </c>
      <c r="C249" s="40" t="str">
        <f>'Material Rates_Master'!B83</f>
        <v>ea</v>
      </c>
      <c r="D249" s="240"/>
      <c r="E249" s="48">
        <f>'Material Rates_Master'!D83</f>
        <v>43.53</v>
      </c>
      <c r="F249" s="48">
        <f t="shared" si="10"/>
        <v>0</v>
      </c>
    </row>
    <row r="250" spans="1:6" ht="6.6" customHeight="1" x14ac:dyDescent="0.2">
      <c r="A250" s="40"/>
      <c r="B250" s="300"/>
      <c r="C250" s="40">
        <f>'Material Rates_Master'!B84</f>
        <v>0</v>
      </c>
      <c r="E250" s="48">
        <f>'Material Rates_Master'!D84</f>
        <v>0</v>
      </c>
      <c r="F250" s="48">
        <f t="shared" si="10"/>
        <v>0</v>
      </c>
    </row>
    <row r="251" spans="1:6" x14ac:dyDescent="0.2">
      <c r="A251" s="40"/>
      <c r="B251" s="300" t="s">
        <v>335</v>
      </c>
      <c r="C251" s="40" t="str">
        <f>'Material Rates_Master'!B85</f>
        <v>ea</v>
      </c>
      <c r="D251" s="240"/>
      <c r="E251" s="48">
        <f>'Material Rates_Master'!D85</f>
        <v>67.06</v>
      </c>
      <c r="F251" s="48">
        <f t="shared" si="10"/>
        <v>0</v>
      </c>
    </row>
    <row r="252" spans="1:6" x14ac:dyDescent="0.2">
      <c r="A252" s="40"/>
      <c r="B252" s="300" t="s">
        <v>336</v>
      </c>
      <c r="C252" s="40" t="str">
        <f>'Material Rates_Master'!B86</f>
        <v>ea</v>
      </c>
      <c r="D252" s="240"/>
      <c r="E252" s="48">
        <f>'Material Rates_Master'!D86</f>
        <v>46.71</v>
      </c>
      <c r="F252" s="48">
        <f t="shared" si="10"/>
        <v>0</v>
      </c>
    </row>
    <row r="253" spans="1:6" x14ac:dyDescent="0.2">
      <c r="A253" s="40"/>
      <c r="B253" s="300" t="s">
        <v>337</v>
      </c>
      <c r="C253" s="40" t="str">
        <f>'Material Rates_Master'!B87</f>
        <v>ea</v>
      </c>
      <c r="D253" s="240"/>
      <c r="E253" s="48">
        <f>'Material Rates_Master'!D87</f>
        <v>60</v>
      </c>
      <c r="F253" s="48">
        <f t="shared" si="10"/>
        <v>0</v>
      </c>
    </row>
    <row r="254" spans="1:6" x14ac:dyDescent="0.2">
      <c r="A254" s="40"/>
      <c r="B254" s="300" t="s">
        <v>338</v>
      </c>
      <c r="C254" s="40" t="str">
        <f>'Material Rates_Master'!B88</f>
        <v>ea</v>
      </c>
      <c r="D254" s="240"/>
      <c r="E254" s="48">
        <f>'Material Rates_Master'!D88</f>
        <v>42.35</v>
      </c>
      <c r="F254" s="48">
        <f t="shared" si="10"/>
        <v>0</v>
      </c>
    </row>
    <row r="255" spans="1:6" x14ac:dyDescent="0.2">
      <c r="A255" s="40"/>
      <c r="B255" s="300" t="s">
        <v>339</v>
      </c>
      <c r="C255" s="40" t="str">
        <f>'Material Rates_Master'!B89</f>
        <v>ea</v>
      </c>
      <c r="D255" s="240"/>
      <c r="E255" s="48">
        <f>'Material Rates_Master'!D89</f>
        <v>24.71</v>
      </c>
      <c r="F255" s="48">
        <f t="shared" si="10"/>
        <v>0</v>
      </c>
    </row>
    <row r="256" spans="1:6" x14ac:dyDescent="0.2">
      <c r="A256" s="40"/>
      <c r="B256" s="300" t="s">
        <v>340</v>
      </c>
      <c r="C256" s="40" t="str">
        <f>'Material Rates_Master'!B90</f>
        <v>ea</v>
      </c>
      <c r="D256" s="240"/>
      <c r="E256" s="48">
        <f>'Material Rates_Master'!D90</f>
        <v>20</v>
      </c>
      <c r="F256" s="48">
        <f t="shared" si="10"/>
        <v>0</v>
      </c>
    </row>
    <row r="257" spans="1:6" ht="6.6" customHeight="1" x14ac:dyDescent="0.2">
      <c r="A257" s="40"/>
      <c r="B257" s="300"/>
      <c r="C257" s="40">
        <f>'Material Rates_Master'!B91</f>
        <v>0</v>
      </c>
      <c r="E257" s="48">
        <f>'Material Rates_Master'!D91</f>
        <v>0</v>
      </c>
      <c r="F257" s="48">
        <f t="shared" si="10"/>
        <v>0</v>
      </c>
    </row>
    <row r="258" spans="1:6" x14ac:dyDescent="0.2">
      <c r="A258" s="40"/>
      <c r="B258" s="300" t="s">
        <v>341</v>
      </c>
      <c r="C258" s="40" t="str">
        <f>'Material Rates_Master'!B92</f>
        <v>ea</v>
      </c>
      <c r="D258" s="240"/>
      <c r="E258" s="48">
        <f>'Material Rates_Master'!D92</f>
        <v>108.71</v>
      </c>
      <c r="F258" s="48">
        <f t="shared" si="10"/>
        <v>0</v>
      </c>
    </row>
    <row r="259" spans="1:6" x14ac:dyDescent="0.2">
      <c r="A259" s="40"/>
      <c r="B259" s="300" t="s">
        <v>342</v>
      </c>
      <c r="C259" s="40" t="str">
        <f>'Material Rates_Master'!B93</f>
        <v>ea</v>
      </c>
      <c r="D259" s="240"/>
      <c r="E259" s="48">
        <f>'Material Rates_Master'!D93</f>
        <v>87.06</v>
      </c>
      <c r="F259" s="48">
        <f t="shared" si="10"/>
        <v>0</v>
      </c>
    </row>
    <row r="260" spans="1:6" x14ac:dyDescent="0.2">
      <c r="A260" s="40"/>
      <c r="B260" s="300" t="s">
        <v>343</v>
      </c>
      <c r="C260" s="40" t="str">
        <f>'Material Rates_Master'!B94</f>
        <v>ea</v>
      </c>
      <c r="D260" s="240"/>
      <c r="E260" s="48">
        <f>'Material Rates_Master'!D94</f>
        <v>305.88</v>
      </c>
      <c r="F260" s="48">
        <f t="shared" si="10"/>
        <v>0</v>
      </c>
    </row>
    <row r="261" spans="1:6" x14ac:dyDescent="0.2">
      <c r="A261" s="40"/>
      <c r="B261" s="300" t="s">
        <v>344</v>
      </c>
      <c r="C261" s="40" t="str">
        <f>'Material Rates_Master'!B95</f>
        <v>ea</v>
      </c>
      <c r="D261" s="240"/>
      <c r="E261" s="48">
        <f>'Material Rates_Master'!D95</f>
        <v>182.35</v>
      </c>
      <c r="F261" s="48">
        <f t="shared" si="10"/>
        <v>0</v>
      </c>
    </row>
    <row r="262" spans="1:6" x14ac:dyDescent="0.2">
      <c r="A262" s="40"/>
      <c r="B262" s="300" t="s">
        <v>345</v>
      </c>
      <c r="C262" s="40" t="str">
        <f>'Material Rates_Master'!B96</f>
        <v>ea</v>
      </c>
      <c r="D262" s="240"/>
      <c r="E262" s="48">
        <f>'Material Rates_Master'!D96</f>
        <v>229.41</v>
      </c>
      <c r="F262" s="48">
        <f t="shared" si="10"/>
        <v>0</v>
      </c>
    </row>
    <row r="263" spans="1:6" x14ac:dyDescent="0.2">
      <c r="A263" s="40"/>
      <c r="B263" s="300" t="s">
        <v>346</v>
      </c>
      <c r="C263" s="40" t="str">
        <f>'Material Rates_Master'!B97</f>
        <v>ea</v>
      </c>
      <c r="D263" s="240"/>
      <c r="E263" s="48">
        <f>'Material Rates_Master'!D97</f>
        <v>152.94</v>
      </c>
      <c r="F263" s="48">
        <f t="shared" si="10"/>
        <v>0</v>
      </c>
    </row>
    <row r="264" spans="1:6" x14ac:dyDescent="0.2">
      <c r="A264" s="40"/>
      <c r="B264" s="300" t="s">
        <v>347</v>
      </c>
      <c r="C264" s="40" t="str">
        <f>'Material Rates_Master'!B98</f>
        <v>ea</v>
      </c>
      <c r="D264" s="240"/>
      <c r="E264" s="48">
        <f>'Material Rates_Master'!D98</f>
        <v>690</v>
      </c>
      <c r="F264" s="48">
        <f t="shared" si="10"/>
        <v>0</v>
      </c>
    </row>
    <row r="265" spans="1:6" x14ac:dyDescent="0.2">
      <c r="A265" s="40"/>
      <c r="B265" s="300" t="s">
        <v>348</v>
      </c>
      <c r="C265" s="40" t="str">
        <f>'Material Rates_Master'!B99</f>
        <v>ea</v>
      </c>
      <c r="D265" s="240"/>
      <c r="E265" s="48">
        <f>'Material Rates_Master'!D99</f>
        <v>408.47</v>
      </c>
      <c r="F265" s="48">
        <f t="shared" si="10"/>
        <v>0</v>
      </c>
    </row>
    <row r="266" spans="1:6" ht="6.6" customHeight="1" x14ac:dyDescent="0.2">
      <c r="A266" s="40"/>
      <c r="B266" s="300"/>
      <c r="C266" s="40">
        <f>'Material Rates_Master'!B100</f>
        <v>0</v>
      </c>
      <c r="E266" s="48">
        <f>'Material Rates_Master'!D100</f>
        <v>0</v>
      </c>
      <c r="F266" s="48">
        <f t="shared" si="10"/>
        <v>0</v>
      </c>
    </row>
    <row r="267" spans="1:6" x14ac:dyDescent="0.2">
      <c r="A267" s="40"/>
      <c r="B267" s="300" t="s">
        <v>349</v>
      </c>
      <c r="C267" s="40" t="str">
        <f>'Material Rates_Master'!B101</f>
        <v>ea</v>
      </c>
      <c r="D267" s="240"/>
      <c r="E267" s="48">
        <f>'Material Rates_Master'!D101</f>
        <v>90</v>
      </c>
      <c r="F267" s="48">
        <f t="shared" si="10"/>
        <v>0</v>
      </c>
    </row>
    <row r="268" spans="1:6" x14ac:dyDescent="0.2">
      <c r="A268" s="40"/>
      <c r="B268" s="300" t="s">
        <v>350</v>
      </c>
      <c r="C268" s="40" t="str">
        <f>'Material Rates_Master'!B102</f>
        <v>ea</v>
      </c>
      <c r="D268" s="240"/>
      <c r="E268" s="48">
        <f>'Material Rates_Master'!D102</f>
        <v>13.5</v>
      </c>
      <c r="F268" s="48">
        <f t="shared" si="10"/>
        <v>0</v>
      </c>
    </row>
    <row r="269" spans="1:6" x14ac:dyDescent="0.2">
      <c r="A269" s="40"/>
      <c r="B269" s="300" t="s">
        <v>351</v>
      </c>
      <c r="C269" s="40" t="str">
        <f>'Material Rates_Master'!B103</f>
        <v>ea</v>
      </c>
      <c r="D269" s="240"/>
      <c r="E269" s="48">
        <f>'Material Rates_Master'!D103</f>
        <v>27.14</v>
      </c>
      <c r="F269" s="48">
        <f t="shared" si="10"/>
        <v>0</v>
      </c>
    </row>
    <row r="270" spans="1:6" x14ac:dyDescent="0.2">
      <c r="A270" s="40"/>
      <c r="B270" s="300" t="s">
        <v>352</v>
      </c>
      <c r="C270" s="40" t="str">
        <f>'Material Rates_Master'!B104</f>
        <v>ea</v>
      </c>
      <c r="D270" s="240"/>
      <c r="E270" s="48">
        <f>'Material Rates_Master'!D104</f>
        <v>27.14</v>
      </c>
      <c r="F270" s="48">
        <f t="shared" si="10"/>
        <v>0</v>
      </c>
    </row>
    <row r="271" spans="1:6" x14ac:dyDescent="0.2">
      <c r="A271" s="40"/>
      <c r="B271" s="300"/>
      <c r="E271" s="48"/>
      <c r="F271" s="48">
        <f t="shared" si="10"/>
        <v>0</v>
      </c>
    </row>
    <row r="272" spans="1:6" x14ac:dyDescent="0.2">
      <c r="A272" s="40"/>
      <c r="B272" s="332" t="s">
        <v>353</v>
      </c>
      <c r="E272" s="48"/>
      <c r="F272" s="48">
        <f t="shared" si="10"/>
        <v>0</v>
      </c>
    </row>
    <row r="273" spans="1:6" x14ac:dyDescent="0.2">
      <c r="A273" s="40"/>
      <c r="B273" s="301" t="s">
        <v>354</v>
      </c>
      <c r="C273" s="40" t="str">
        <f>'Material Rates_Master'!B107</f>
        <v>Unit</v>
      </c>
      <c r="E273" s="48"/>
      <c r="F273" s="48"/>
    </row>
    <row r="274" spans="1:6" x14ac:dyDescent="0.2">
      <c r="A274" s="40"/>
      <c r="B274" s="300" t="s">
        <v>355</v>
      </c>
      <c r="C274" s="40" t="str">
        <f>'Material Rates_Master'!B108</f>
        <v>m</v>
      </c>
      <c r="D274" s="37"/>
      <c r="E274" s="48">
        <f>'Material Rates_Master'!D108</f>
        <v>43.846153846153847</v>
      </c>
      <c r="F274" s="48">
        <f t="shared" si="10"/>
        <v>0</v>
      </c>
    </row>
    <row r="275" spans="1:6" x14ac:dyDescent="0.2">
      <c r="A275" s="40"/>
      <c r="B275" s="300" t="s">
        <v>356</v>
      </c>
      <c r="C275" s="40" t="str">
        <f>'Material Rates_Master'!B109</f>
        <v>m</v>
      </c>
      <c r="D275" s="37">
        <v>9</v>
      </c>
      <c r="E275" s="48">
        <f>'Material Rates_Master'!D109</f>
        <v>28.46153846153846</v>
      </c>
      <c r="F275" s="48">
        <f t="shared" si="10"/>
        <v>256.15384615384613</v>
      </c>
    </row>
    <row r="276" spans="1:6" x14ac:dyDescent="0.2">
      <c r="A276" s="40"/>
      <c r="B276" s="300" t="s">
        <v>357</v>
      </c>
      <c r="C276" s="40" t="str">
        <f>'Material Rates_Master'!B110</f>
        <v>m</v>
      </c>
      <c r="D276" s="37"/>
      <c r="E276" s="48">
        <f>'Material Rates_Master'!D110</f>
        <v>106.24166666666667</v>
      </c>
      <c r="F276" s="48">
        <f t="shared" si="10"/>
        <v>0</v>
      </c>
    </row>
    <row r="277" spans="1:6" x14ac:dyDescent="0.2">
      <c r="A277" s="40"/>
      <c r="B277" s="300" t="s">
        <v>358</v>
      </c>
      <c r="C277" s="40" t="str">
        <f>'Material Rates_Master'!B111</f>
        <v>m</v>
      </c>
      <c r="D277" s="37"/>
      <c r="E277" s="48">
        <f>'Material Rates_Master'!D111</f>
        <v>59.82</v>
      </c>
      <c r="F277" s="48">
        <f t="shared" si="10"/>
        <v>0</v>
      </c>
    </row>
    <row r="278" spans="1:6" ht="8.25" customHeight="1" x14ac:dyDescent="0.2">
      <c r="A278" s="40"/>
      <c r="B278" s="300"/>
      <c r="C278" s="40">
        <f>'Material Rates_Master'!B112</f>
        <v>0</v>
      </c>
      <c r="D278" s="37"/>
      <c r="E278" s="48">
        <f>'Material Rates_Master'!D112</f>
        <v>0</v>
      </c>
      <c r="F278" s="48">
        <f t="shared" si="10"/>
        <v>0</v>
      </c>
    </row>
    <row r="279" spans="1:6" x14ac:dyDescent="0.2">
      <c r="A279" s="40"/>
      <c r="B279" s="300" t="s">
        <v>359</v>
      </c>
      <c r="C279" s="40" t="str">
        <f>'Material Rates_Master'!B113</f>
        <v>ea</v>
      </c>
      <c r="D279" s="37"/>
      <c r="E279" s="48">
        <f>'Material Rates_Master'!D113</f>
        <v>12.83</v>
      </c>
      <c r="F279" s="48">
        <f t="shared" si="10"/>
        <v>0</v>
      </c>
    </row>
    <row r="280" spans="1:6" x14ac:dyDescent="0.2">
      <c r="A280" s="40"/>
      <c r="B280" s="300" t="s">
        <v>360</v>
      </c>
      <c r="C280" s="40" t="str">
        <f>'Material Rates_Master'!B114</f>
        <v>ea</v>
      </c>
      <c r="D280" s="37"/>
      <c r="E280" s="48">
        <f>'Material Rates_Master'!D114</f>
        <v>7.55</v>
      </c>
      <c r="F280" s="48">
        <f t="shared" si="10"/>
        <v>0</v>
      </c>
    </row>
    <row r="281" spans="1:6" x14ac:dyDescent="0.2">
      <c r="A281" s="40"/>
      <c r="B281" s="300" t="s">
        <v>361</v>
      </c>
      <c r="C281" s="40" t="str">
        <f>'Material Rates_Master'!B115</f>
        <v>ea</v>
      </c>
      <c r="D281" s="37"/>
      <c r="E281" s="48">
        <f>'Material Rates_Master'!D115</f>
        <v>35.5</v>
      </c>
      <c r="F281" s="48">
        <f t="shared" si="10"/>
        <v>0</v>
      </c>
    </row>
    <row r="282" spans="1:6" x14ac:dyDescent="0.2">
      <c r="A282" s="40"/>
      <c r="B282" s="300" t="s">
        <v>362</v>
      </c>
      <c r="C282" s="40" t="str">
        <f>'Material Rates_Master'!B116</f>
        <v>ea</v>
      </c>
      <c r="D282" s="37"/>
      <c r="E282" s="48">
        <f>'Material Rates_Master'!D116</f>
        <v>16.93</v>
      </c>
      <c r="F282" s="48">
        <f t="shared" si="10"/>
        <v>0</v>
      </c>
    </row>
    <row r="283" spans="1:6" x14ac:dyDescent="0.2">
      <c r="A283" s="40"/>
      <c r="B283" s="300" t="s">
        <v>363</v>
      </c>
      <c r="C283" s="40" t="str">
        <f>'Material Rates_Master'!B117</f>
        <v>ea</v>
      </c>
      <c r="D283" s="37"/>
      <c r="E283" s="48">
        <f>'Material Rates_Master'!D117</f>
        <v>22.85</v>
      </c>
      <c r="F283" s="48">
        <f t="shared" si="10"/>
        <v>0</v>
      </c>
    </row>
    <row r="284" spans="1:6" x14ac:dyDescent="0.2">
      <c r="A284" s="40"/>
      <c r="B284" s="300" t="s">
        <v>364</v>
      </c>
      <c r="C284" s="40" t="str">
        <f>'Material Rates_Master'!B118</f>
        <v>ea</v>
      </c>
      <c r="D284" s="37">
        <v>4</v>
      </c>
      <c r="E284" s="48">
        <f>'Material Rates_Master'!D118</f>
        <v>10.62</v>
      </c>
      <c r="F284" s="48">
        <f t="shared" si="10"/>
        <v>42.48</v>
      </c>
    </row>
    <row r="285" spans="1:6" x14ac:dyDescent="0.2">
      <c r="A285" s="40"/>
      <c r="B285" s="300" t="s">
        <v>365</v>
      </c>
      <c r="C285" s="40" t="str">
        <f>'Material Rates_Master'!B119</f>
        <v>ea</v>
      </c>
      <c r="D285" s="37"/>
      <c r="E285" s="48">
        <f>'Material Rates_Master'!D119</f>
        <v>23.5</v>
      </c>
      <c r="F285" s="48">
        <f t="shared" si="10"/>
        <v>0</v>
      </c>
    </row>
    <row r="286" spans="1:6" x14ac:dyDescent="0.2">
      <c r="A286" s="40"/>
      <c r="B286" s="300" t="s">
        <v>366</v>
      </c>
      <c r="C286" s="40" t="str">
        <f>'Material Rates_Master'!B120</f>
        <v>ea</v>
      </c>
      <c r="D286" s="37"/>
      <c r="E286" s="48">
        <f>'Material Rates_Master'!D120</f>
        <v>11.4</v>
      </c>
      <c r="F286" s="48">
        <f t="shared" si="10"/>
        <v>0</v>
      </c>
    </row>
    <row r="287" spans="1:6" x14ac:dyDescent="0.2">
      <c r="A287" s="40"/>
      <c r="B287" s="300" t="s">
        <v>367</v>
      </c>
      <c r="C287" s="40" t="str">
        <f>'Material Rates_Master'!B121</f>
        <v>ea</v>
      </c>
      <c r="D287" s="37"/>
      <c r="E287" s="48">
        <f>'Material Rates_Master'!D121</f>
        <v>30.75</v>
      </c>
      <c r="F287" s="48">
        <f t="shared" si="10"/>
        <v>0</v>
      </c>
    </row>
    <row r="288" spans="1:6" x14ac:dyDescent="0.2">
      <c r="A288" s="40"/>
      <c r="B288" s="300" t="s">
        <v>368</v>
      </c>
      <c r="C288" s="40" t="str">
        <f>'Material Rates_Master'!B122</f>
        <v>ea</v>
      </c>
      <c r="D288" s="37"/>
      <c r="E288" s="48">
        <f>'Material Rates_Master'!D122</f>
        <v>23.21</v>
      </c>
      <c r="F288" s="48">
        <f t="shared" si="10"/>
        <v>0</v>
      </c>
    </row>
    <row r="289" spans="1:6" x14ac:dyDescent="0.2">
      <c r="A289" s="40"/>
      <c r="B289" s="300" t="s">
        <v>369</v>
      </c>
      <c r="C289" s="40" t="str">
        <f>'Material Rates_Master'!B123</f>
        <v>ea</v>
      </c>
      <c r="D289" s="37"/>
      <c r="E289" s="48">
        <f>'Material Rates_Master'!D123</f>
        <v>217.8</v>
      </c>
      <c r="F289" s="48">
        <f t="shared" si="10"/>
        <v>0</v>
      </c>
    </row>
    <row r="290" spans="1:6" x14ac:dyDescent="0.2">
      <c r="A290" s="40"/>
      <c r="B290" s="300" t="s">
        <v>370</v>
      </c>
      <c r="C290" s="40" t="str">
        <f>'Material Rates_Master'!B124</f>
        <v>ea</v>
      </c>
      <c r="D290" s="37"/>
      <c r="E290" s="48">
        <f>'Material Rates_Master'!D124</f>
        <v>169.4</v>
      </c>
      <c r="F290" s="48">
        <f t="shared" si="10"/>
        <v>0</v>
      </c>
    </row>
    <row r="291" spans="1:6" ht="5.4" customHeight="1" x14ac:dyDescent="0.2">
      <c r="A291" s="40"/>
      <c r="B291" s="300"/>
      <c r="C291" s="40">
        <f>'Material Rates_Master'!B125</f>
        <v>0</v>
      </c>
      <c r="D291" s="37"/>
      <c r="E291" s="48">
        <f>'Material Rates_Master'!D125</f>
        <v>0</v>
      </c>
      <c r="F291" s="48">
        <f t="shared" si="10"/>
        <v>0</v>
      </c>
    </row>
    <row r="292" spans="1:6" x14ac:dyDescent="0.2">
      <c r="A292" s="40"/>
      <c r="B292" s="300" t="s">
        <v>371</v>
      </c>
      <c r="C292" s="40" t="str">
        <f>'Material Rates_Master'!B126</f>
        <v>ea</v>
      </c>
      <c r="D292" s="37"/>
      <c r="E292" s="48">
        <f>'Material Rates_Master'!D126</f>
        <v>2350</v>
      </c>
      <c r="F292" s="48">
        <f t="shared" si="10"/>
        <v>0</v>
      </c>
    </row>
    <row r="293" spans="1:6" x14ac:dyDescent="0.2">
      <c r="A293" s="40"/>
      <c r="B293" s="300" t="s">
        <v>372</v>
      </c>
      <c r="C293" s="40" t="str">
        <f>'Material Rates_Master'!B127</f>
        <v>ea</v>
      </c>
      <c r="D293" s="37"/>
      <c r="E293" s="48">
        <f>'Material Rates_Master'!D127</f>
        <v>1155</v>
      </c>
      <c r="F293" s="48">
        <f t="shared" si="10"/>
        <v>0</v>
      </c>
    </row>
    <row r="294" spans="1:6" ht="6.6" customHeight="1" x14ac:dyDescent="0.2">
      <c r="A294" s="40"/>
      <c r="B294" s="300"/>
      <c r="C294" s="40">
        <f>'Material Rates_Master'!B128</f>
        <v>0</v>
      </c>
      <c r="D294" s="37"/>
      <c r="E294" s="48">
        <f>'Material Rates_Master'!D128</f>
        <v>0</v>
      </c>
      <c r="F294" s="48">
        <f t="shared" si="10"/>
        <v>0</v>
      </c>
    </row>
    <row r="295" spans="1:6" x14ac:dyDescent="0.2">
      <c r="A295" s="40"/>
      <c r="B295" s="300" t="s">
        <v>373</v>
      </c>
      <c r="C295" s="40" t="str">
        <f>'Material Rates_Master'!B129</f>
        <v>ea</v>
      </c>
      <c r="D295" s="240"/>
      <c r="E295" s="48">
        <f>'Material Rates_Master'!D129</f>
        <v>365</v>
      </c>
      <c r="F295" s="48">
        <f t="shared" si="10"/>
        <v>0</v>
      </c>
    </row>
    <row r="296" spans="1:6" x14ac:dyDescent="0.2">
      <c r="A296" s="40"/>
      <c r="B296" s="300" t="s">
        <v>374</v>
      </c>
      <c r="C296" s="40" t="str">
        <f>'Material Rates_Master'!B130</f>
        <v>ea</v>
      </c>
      <c r="D296" s="240"/>
      <c r="E296" s="48">
        <f>'Material Rates_Master'!D130</f>
        <v>365</v>
      </c>
      <c r="F296" s="48">
        <f t="shared" si="10"/>
        <v>0</v>
      </c>
    </row>
    <row r="297" spans="1:6" x14ac:dyDescent="0.2">
      <c r="A297" s="40"/>
      <c r="B297" s="300" t="s">
        <v>375</v>
      </c>
      <c r="C297" s="40" t="str">
        <f>'Material Rates_Master'!B131</f>
        <v>ea</v>
      </c>
      <c r="D297" s="240"/>
      <c r="E297" s="48">
        <f>'Material Rates_Master'!D131</f>
        <v>90</v>
      </c>
      <c r="F297" s="48">
        <f t="shared" si="10"/>
        <v>0</v>
      </c>
    </row>
    <row r="298" spans="1:6" x14ac:dyDescent="0.2">
      <c r="A298" s="40"/>
      <c r="B298" s="300" t="s">
        <v>376</v>
      </c>
      <c r="C298" s="40" t="str">
        <f>'Material Rates_Master'!B132</f>
        <v>ea</v>
      </c>
      <c r="D298" s="240"/>
      <c r="E298" s="48">
        <f>'Material Rates_Master'!D132</f>
        <v>5</v>
      </c>
      <c r="F298" s="48">
        <f t="shared" si="10"/>
        <v>0</v>
      </c>
    </row>
    <row r="299" spans="1:6" x14ac:dyDescent="0.2">
      <c r="A299" s="40"/>
      <c r="B299" s="300" t="s">
        <v>377</v>
      </c>
      <c r="C299" s="40" t="str">
        <f>'Material Rates_Master'!B133</f>
        <v>ea</v>
      </c>
      <c r="D299" s="240"/>
      <c r="E299" s="48">
        <f>'Material Rates_Master'!D133</f>
        <v>125</v>
      </c>
      <c r="F299" s="48">
        <f t="shared" ref="F299:F342" si="11">E299*D299</f>
        <v>0</v>
      </c>
    </row>
    <row r="300" spans="1:6" x14ac:dyDescent="0.2">
      <c r="A300" s="40"/>
      <c r="B300" s="300" t="s">
        <v>378</v>
      </c>
      <c r="C300" s="40" t="str">
        <f>'Material Rates_Master'!B134</f>
        <v>ea</v>
      </c>
      <c r="D300" s="240"/>
      <c r="E300" s="48">
        <f>'Material Rates_Master'!D134</f>
        <v>39</v>
      </c>
      <c r="F300" s="48">
        <f t="shared" si="11"/>
        <v>0</v>
      </c>
    </row>
    <row r="301" spans="1:6" ht="6.6" customHeight="1" x14ac:dyDescent="0.2">
      <c r="A301" s="40"/>
      <c r="B301" s="300"/>
      <c r="C301" s="40">
        <f>'Material Rates_Master'!B135</f>
        <v>0</v>
      </c>
      <c r="D301" s="37"/>
      <c r="E301" s="48">
        <f>'Material Rates_Master'!D135</f>
        <v>0</v>
      </c>
      <c r="F301" s="48">
        <f t="shared" si="11"/>
        <v>0</v>
      </c>
    </row>
    <row r="302" spans="1:6" x14ac:dyDescent="0.2">
      <c r="A302" s="40"/>
      <c r="B302" s="300" t="s">
        <v>379</v>
      </c>
      <c r="C302" s="40" t="str">
        <f>'Material Rates_Master'!B136</f>
        <v>ea</v>
      </c>
      <c r="D302" s="37"/>
      <c r="E302" s="48">
        <f>'Material Rates_Master'!D136</f>
        <v>3100.7</v>
      </c>
      <c r="F302" s="48">
        <f t="shared" si="11"/>
        <v>0</v>
      </c>
    </row>
    <row r="303" spans="1:6" x14ac:dyDescent="0.2">
      <c r="A303" s="40"/>
      <c r="B303" s="300" t="s">
        <v>380</v>
      </c>
      <c r="C303" s="40" t="str">
        <f>'Material Rates_Master'!B137</f>
        <v>ea</v>
      </c>
      <c r="D303" s="37"/>
      <c r="E303" s="48">
        <f>'Material Rates_Master'!D137</f>
        <v>4237.09</v>
      </c>
      <c r="F303" s="48">
        <f t="shared" si="11"/>
        <v>0</v>
      </c>
    </row>
    <row r="304" spans="1:6" ht="7.2" customHeight="1" x14ac:dyDescent="0.2">
      <c r="A304" s="40"/>
      <c r="B304" s="300"/>
      <c r="C304" s="40">
        <f>'Material Rates_Master'!B138</f>
        <v>0</v>
      </c>
      <c r="D304" s="37"/>
      <c r="E304" s="48">
        <f>'Material Rates_Master'!D138</f>
        <v>0</v>
      </c>
      <c r="F304" s="48">
        <f t="shared" si="11"/>
        <v>0</v>
      </c>
    </row>
    <row r="305" spans="1:6" x14ac:dyDescent="0.2">
      <c r="A305" s="40"/>
      <c r="B305" s="300" t="s">
        <v>381</v>
      </c>
      <c r="C305" s="40" t="str">
        <f>'Material Rates_Master'!B139</f>
        <v>ea</v>
      </c>
      <c r="D305" s="37"/>
      <c r="E305" s="48">
        <f>'Material Rates_Master'!D139</f>
        <v>114.44</v>
      </c>
      <c r="F305" s="48">
        <f t="shared" si="11"/>
        <v>0</v>
      </c>
    </row>
    <row r="306" spans="1:6" x14ac:dyDescent="0.2">
      <c r="A306" s="40"/>
      <c r="B306" s="300" t="s">
        <v>973</v>
      </c>
      <c r="C306" s="40" t="s">
        <v>149</v>
      </c>
      <c r="D306" s="37">
        <v>5</v>
      </c>
      <c r="E306" s="48">
        <f>736/6</f>
        <v>122.66666666666667</v>
      </c>
      <c r="F306" s="48">
        <f t="shared" si="11"/>
        <v>613.33333333333337</v>
      </c>
    </row>
    <row r="307" spans="1:6" x14ac:dyDescent="0.2">
      <c r="A307" s="40"/>
      <c r="B307" s="300" t="s">
        <v>382</v>
      </c>
      <c r="C307" s="40" t="str">
        <f>'Material Rates_Master'!B140</f>
        <v>ea</v>
      </c>
      <c r="D307" s="37"/>
      <c r="E307" s="48">
        <f>'Material Rates_Master'!D140</f>
        <v>219.36</v>
      </c>
      <c r="F307" s="48">
        <f t="shared" si="11"/>
        <v>0</v>
      </c>
    </row>
    <row r="308" spans="1:6" x14ac:dyDescent="0.2">
      <c r="A308" s="40"/>
      <c r="B308" s="300" t="s">
        <v>383</v>
      </c>
      <c r="C308" s="40" t="str">
        <f>'Material Rates_Master'!B141</f>
        <v>ea</v>
      </c>
      <c r="D308" s="37">
        <v>1</v>
      </c>
      <c r="E308" s="48">
        <v>155.6</v>
      </c>
      <c r="F308" s="48">
        <f t="shared" si="11"/>
        <v>155.6</v>
      </c>
    </row>
    <row r="309" spans="1:6" x14ac:dyDescent="0.2">
      <c r="A309" s="40"/>
      <c r="B309" s="300" t="s">
        <v>384</v>
      </c>
      <c r="C309" s="40" t="str">
        <f>'Material Rates_Master'!B142</f>
        <v>ea</v>
      </c>
      <c r="D309" s="37"/>
      <c r="E309" s="48">
        <f>'Material Rates_Master'!D142</f>
        <v>125.77</v>
      </c>
      <c r="F309" s="48">
        <f t="shared" si="11"/>
        <v>0</v>
      </c>
    </row>
    <row r="310" spans="1:6" x14ac:dyDescent="0.2">
      <c r="A310" s="40"/>
      <c r="B310" s="300" t="s">
        <v>385</v>
      </c>
      <c r="C310" s="40" t="str">
        <f>'Material Rates_Master'!B143</f>
        <v>ea</v>
      </c>
      <c r="D310" s="37"/>
      <c r="E310" s="48">
        <f>'Material Rates_Master'!D143</f>
        <v>83.25</v>
      </c>
      <c r="F310" s="48">
        <f t="shared" si="11"/>
        <v>0</v>
      </c>
    </row>
    <row r="311" spans="1:6" x14ac:dyDescent="0.2">
      <c r="A311" s="40"/>
      <c r="B311" s="300" t="s">
        <v>386</v>
      </c>
      <c r="C311" s="40" t="str">
        <f>'Material Rates_Master'!B144</f>
        <v>ea</v>
      </c>
      <c r="D311" s="37"/>
      <c r="E311" s="48">
        <f>'Material Rates_Master'!D144</f>
        <v>52.25</v>
      </c>
      <c r="F311" s="48">
        <f t="shared" si="11"/>
        <v>0</v>
      </c>
    </row>
    <row r="312" spans="1:6" x14ac:dyDescent="0.2">
      <c r="A312" s="40"/>
      <c r="B312" s="300" t="s">
        <v>387</v>
      </c>
      <c r="C312" s="40" t="str">
        <f>'Material Rates_Master'!B145</f>
        <v>ea</v>
      </c>
      <c r="D312" s="37"/>
      <c r="E312" s="48">
        <f>'Material Rates_Master'!D145</f>
        <v>175.66</v>
      </c>
      <c r="F312" s="48">
        <f t="shared" si="11"/>
        <v>0</v>
      </c>
    </row>
    <row r="313" spans="1:6" x14ac:dyDescent="0.2">
      <c r="A313" s="40"/>
      <c r="B313" s="300" t="s">
        <v>388</v>
      </c>
      <c r="C313" s="40" t="str">
        <f>'Material Rates_Master'!B146</f>
        <v>ea</v>
      </c>
      <c r="D313" s="37"/>
      <c r="E313" s="48">
        <f>'Material Rates_Master'!D146</f>
        <v>164.08</v>
      </c>
      <c r="F313" s="48">
        <f t="shared" si="11"/>
        <v>0</v>
      </c>
    </row>
    <row r="314" spans="1:6" ht="7.2" customHeight="1" x14ac:dyDescent="0.2">
      <c r="A314" s="40"/>
      <c r="B314" s="300"/>
      <c r="C314" s="40">
        <f>'Material Rates_Master'!B147</f>
        <v>0</v>
      </c>
      <c r="D314" s="240"/>
      <c r="E314" s="48">
        <f>'Material Rates_Master'!D147</f>
        <v>0</v>
      </c>
      <c r="F314" s="48">
        <f t="shared" si="11"/>
        <v>0</v>
      </c>
    </row>
    <row r="315" spans="1:6" x14ac:dyDescent="0.2">
      <c r="A315" s="40"/>
      <c r="B315" s="300" t="s">
        <v>393</v>
      </c>
      <c r="C315" s="40" t="str">
        <f>'Material Rates_Master'!B148</f>
        <v>ea</v>
      </c>
      <c r="D315" s="240"/>
      <c r="E315" s="48">
        <f>'Material Rates_Master'!D148</f>
        <v>77.95</v>
      </c>
      <c r="F315" s="48">
        <f t="shared" si="11"/>
        <v>0</v>
      </c>
    </row>
    <row r="316" spans="1:6" x14ac:dyDescent="0.2">
      <c r="A316" s="40"/>
      <c r="B316" s="300" t="s">
        <v>394</v>
      </c>
      <c r="C316" s="40" t="str">
        <f>'Material Rates_Master'!B149</f>
        <v>ea</v>
      </c>
      <c r="D316" s="240"/>
      <c r="E316" s="48">
        <f>'Material Rates_Master'!D149</f>
        <v>17.16</v>
      </c>
      <c r="F316" s="48">
        <f t="shared" si="11"/>
        <v>0</v>
      </c>
    </row>
    <row r="317" spans="1:6" x14ac:dyDescent="0.2">
      <c r="A317" s="40"/>
      <c r="B317" s="300" t="s">
        <v>395</v>
      </c>
      <c r="C317" s="40" t="str">
        <f>'Material Rates_Master'!B150</f>
        <v>ea</v>
      </c>
      <c r="D317" s="240"/>
      <c r="E317" s="48">
        <f>'Material Rates_Master'!D150</f>
        <v>7.23</v>
      </c>
      <c r="F317" s="48">
        <f t="shared" si="11"/>
        <v>0</v>
      </c>
    </row>
    <row r="318" spans="1:6" x14ac:dyDescent="0.2">
      <c r="A318" s="40"/>
      <c r="B318" s="300" t="s">
        <v>396</v>
      </c>
      <c r="C318" s="40" t="str">
        <f>'Material Rates_Master'!B151</f>
        <v>ea</v>
      </c>
      <c r="D318" s="240"/>
      <c r="E318" s="48">
        <f>'Material Rates_Master'!D151</f>
        <v>14.31</v>
      </c>
      <c r="F318" s="48">
        <f t="shared" si="11"/>
        <v>0</v>
      </c>
    </row>
    <row r="319" spans="1:6" x14ac:dyDescent="0.2">
      <c r="A319" s="40"/>
      <c r="B319" s="300" t="s">
        <v>397</v>
      </c>
      <c r="C319" s="40" t="str">
        <f>'Material Rates_Master'!B152</f>
        <v>ea</v>
      </c>
      <c r="D319" s="240"/>
      <c r="E319" s="48">
        <f>'Material Rates_Master'!D152</f>
        <v>16.239999999999998</v>
      </c>
      <c r="F319" s="48">
        <f t="shared" si="11"/>
        <v>0</v>
      </c>
    </row>
    <row r="320" spans="1:6" x14ac:dyDescent="0.2">
      <c r="A320" s="40"/>
      <c r="B320" s="300" t="s">
        <v>399</v>
      </c>
      <c r="C320" s="40" t="str">
        <f>'Material Rates_Master'!B153</f>
        <v>ea</v>
      </c>
      <c r="D320" s="240"/>
      <c r="E320" s="48">
        <f>'Material Rates_Master'!D153</f>
        <v>14.36</v>
      </c>
      <c r="F320" s="48">
        <f t="shared" si="11"/>
        <v>0</v>
      </c>
    </row>
    <row r="321" spans="1:6" x14ac:dyDescent="0.2">
      <c r="A321" s="40"/>
      <c r="B321" s="300" t="s">
        <v>400</v>
      </c>
      <c r="C321" s="40" t="str">
        <f>'Material Rates_Master'!B154</f>
        <v>ea</v>
      </c>
      <c r="D321" s="240"/>
      <c r="E321" s="48">
        <f>'Material Rates_Master'!D154</f>
        <v>46.94</v>
      </c>
      <c r="F321" s="48">
        <f t="shared" si="11"/>
        <v>0</v>
      </c>
    </row>
    <row r="322" spans="1:6" x14ac:dyDescent="0.2">
      <c r="A322" s="40"/>
      <c r="B322" s="300" t="s">
        <v>401</v>
      </c>
      <c r="C322" s="40" t="str">
        <f>'Material Rates_Master'!B155</f>
        <v>ea</v>
      </c>
      <c r="D322" s="240"/>
      <c r="E322" s="48">
        <f>'Material Rates_Master'!D155</f>
        <v>8.4600000000000009</v>
      </c>
      <c r="F322" s="48">
        <f t="shared" si="11"/>
        <v>0</v>
      </c>
    </row>
    <row r="323" spans="1:6" x14ac:dyDescent="0.2">
      <c r="A323" s="40"/>
      <c r="B323" s="300" t="s">
        <v>402</v>
      </c>
      <c r="C323" s="40" t="str">
        <f>'Material Rates_Master'!B156</f>
        <v>ea</v>
      </c>
      <c r="D323" s="240"/>
      <c r="E323" s="48">
        <f>'Material Rates_Master'!D156</f>
        <v>5.74</v>
      </c>
      <c r="F323" s="48">
        <f t="shared" si="11"/>
        <v>0</v>
      </c>
    </row>
    <row r="324" spans="1:6" x14ac:dyDescent="0.2">
      <c r="A324" s="40"/>
      <c r="B324" s="300" t="s">
        <v>403</v>
      </c>
      <c r="C324" s="40" t="str">
        <f>'Material Rates_Master'!B157</f>
        <v>ea</v>
      </c>
      <c r="D324" s="240"/>
      <c r="E324" s="48">
        <f>'Material Rates_Master'!D157</f>
        <v>7.7</v>
      </c>
      <c r="F324" s="48">
        <f t="shared" si="11"/>
        <v>0</v>
      </c>
    </row>
    <row r="325" spans="1:6" x14ac:dyDescent="0.2">
      <c r="A325" s="40"/>
      <c r="B325" s="300" t="s">
        <v>404</v>
      </c>
      <c r="C325" s="40" t="str">
        <f>'Material Rates_Master'!B158</f>
        <v>ea</v>
      </c>
      <c r="D325" s="240"/>
      <c r="E325" s="48">
        <f>'Material Rates_Master'!D158</f>
        <v>10.19</v>
      </c>
      <c r="F325" s="48">
        <f t="shared" si="11"/>
        <v>0</v>
      </c>
    </row>
    <row r="326" spans="1:6" ht="9" customHeight="1" x14ac:dyDescent="0.2">
      <c r="A326" s="40"/>
      <c r="B326" s="300"/>
      <c r="C326" s="40">
        <f>'Material Rates_Master'!B159</f>
        <v>0</v>
      </c>
      <c r="D326" s="240"/>
      <c r="E326" s="48">
        <f>'Material Rates_Master'!D159</f>
        <v>0</v>
      </c>
      <c r="F326" s="48">
        <f t="shared" si="11"/>
        <v>0</v>
      </c>
    </row>
    <row r="327" spans="1:6" x14ac:dyDescent="0.2">
      <c r="A327" s="40"/>
      <c r="B327" s="300" t="s">
        <v>405</v>
      </c>
      <c r="C327" s="40" t="str">
        <f>'Material Rates_Master'!B160</f>
        <v>ea</v>
      </c>
      <c r="D327" s="37"/>
      <c r="E327" s="48">
        <f>'Material Rates_Master'!D160</f>
        <v>5.86</v>
      </c>
      <c r="F327" s="48">
        <f t="shared" si="11"/>
        <v>0</v>
      </c>
    </row>
    <row r="328" spans="1:6" x14ac:dyDescent="0.2">
      <c r="A328" s="40"/>
      <c r="B328" s="300" t="s">
        <v>406</v>
      </c>
      <c r="C328" s="40" t="str">
        <f>'Material Rates_Master'!B161</f>
        <v>ea</v>
      </c>
      <c r="D328" s="37"/>
      <c r="E328" s="48">
        <f>'Material Rates_Master'!D161</f>
        <v>4.41</v>
      </c>
      <c r="F328" s="48">
        <f t="shared" si="11"/>
        <v>0</v>
      </c>
    </row>
    <row r="329" spans="1:6" x14ac:dyDescent="0.2">
      <c r="A329" s="40"/>
      <c r="B329" s="300" t="s">
        <v>407</v>
      </c>
      <c r="C329" s="40" t="str">
        <f>'Material Rates_Master'!B162</f>
        <v>ea</v>
      </c>
      <c r="D329" s="37"/>
      <c r="E329" s="48">
        <f>'Material Rates_Master'!D162</f>
        <v>5.36</v>
      </c>
      <c r="F329" s="48">
        <f t="shared" si="11"/>
        <v>0</v>
      </c>
    </row>
    <row r="330" spans="1:6" x14ac:dyDescent="0.2">
      <c r="A330" s="40"/>
      <c r="B330" s="300" t="s">
        <v>408</v>
      </c>
      <c r="C330" s="40" t="str">
        <f>'Material Rates_Master'!B163</f>
        <v>ea</v>
      </c>
      <c r="D330" s="37"/>
      <c r="E330" s="48">
        <f>'Material Rates_Master'!D163</f>
        <v>4.4000000000000004</v>
      </c>
      <c r="F330" s="48">
        <f t="shared" si="11"/>
        <v>0</v>
      </c>
    </row>
    <row r="331" spans="1:6" x14ac:dyDescent="0.2">
      <c r="A331" s="40"/>
      <c r="B331" s="300" t="s">
        <v>409</v>
      </c>
      <c r="C331" s="40" t="str">
        <f>'Material Rates_Master'!B164</f>
        <v>ea</v>
      </c>
      <c r="D331" s="37"/>
      <c r="E331" s="48">
        <f>'Material Rates_Master'!D164</f>
        <v>10.64</v>
      </c>
      <c r="F331" s="48">
        <f t="shared" si="11"/>
        <v>0</v>
      </c>
    </row>
    <row r="332" spans="1:6" x14ac:dyDescent="0.2">
      <c r="A332" s="40"/>
      <c r="B332" s="300" t="s">
        <v>410</v>
      </c>
      <c r="C332" s="40" t="str">
        <f>'Material Rates_Master'!B165</f>
        <v>ea</v>
      </c>
      <c r="D332" s="37"/>
      <c r="E332" s="48">
        <f>'Material Rates_Master'!D165</f>
        <v>20</v>
      </c>
      <c r="F332" s="48">
        <f t="shared" si="11"/>
        <v>0</v>
      </c>
    </row>
    <row r="333" spans="1:6" x14ac:dyDescent="0.2">
      <c r="A333" s="40"/>
      <c r="B333" s="300" t="s">
        <v>411</v>
      </c>
      <c r="C333" s="40" t="str">
        <f>'Material Rates_Master'!B166</f>
        <v>ea</v>
      </c>
      <c r="D333" s="37"/>
      <c r="E333" s="48">
        <f>'Material Rates_Master'!D166</f>
        <v>19.5</v>
      </c>
      <c r="F333" s="48">
        <f t="shared" si="11"/>
        <v>0</v>
      </c>
    </row>
    <row r="334" spans="1:6" x14ac:dyDescent="0.2">
      <c r="A334" s="40"/>
      <c r="B334" s="300" t="s">
        <v>340</v>
      </c>
      <c r="C334" s="40" t="str">
        <f>'Material Rates_Master'!B167</f>
        <v>ea</v>
      </c>
      <c r="D334" s="37"/>
      <c r="E334" s="48">
        <f>'Material Rates_Master'!D167</f>
        <v>20</v>
      </c>
      <c r="F334" s="48">
        <f t="shared" si="11"/>
        <v>0</v>
      </c>
    </row>
    <row r="335" spans="1:6" ht="10.95" customHeight="1" x14ac:dyDescent="0.2">
      <c r="A335" s="40"/>
      <c r="B335" s="300"/>
      <c r="D335" s="37"/>
      <c r="E335" s="48"/>
      <c r="F335" s="48"/>
    </row>
    <row r="336" spans="1:6" x14ac:dyDescent="0.2">
      <c r="A336" s="40"/>
      <c r="B336" s="332" t="s">
        <v>412</v>
      </c>
      <c r="D336" s="37"/>
      <c r="E336" s="48"/>
      <c r="F336" s="48"/>
    </row>
    <row r="337" spans="1:6" ht="14.4" customHeight="1" x14ac:dyDescent="0.2">
      <c r="A337" s="40"/>
      <c r="B337" s="301" t="s">
        <v>354</v>
      </c>
      <c r="D337" s="37"/>
      <c r="E337" s="48"/>
      <c r="F337" s="48"/>
    </row>
    <row r="338" spans="1:6" x14ac:dyDescent="0.2">
      <c r="A338" s="40"/>
      <c r="B338" s="300" t="s">
        <v>413</v>
      </c>
      <c r="C338" s="40" t="str">
        <f>'Material Rates_Master'!B171</f>
        <v>ea</v>
      </c>
      <c r="D338" s="37">
        <v>1</v>
      </c>
      <c r="E338" s="48">
        <v>1388</v>
      </c>
      <c r="F338" s="48">
        <f t="shared" si="11"/>
        <v>1388</v>
      </c>
    </row>
    <row r="339" spans="1:6" x14ac:dyDescent="0.2">
      <c r="A339" s="40"/>
      <c r="B339" s="300" t="s">
        <v>414</v>
      </c>
      <c r="C339" s="40" t="str">
        <f>'Material Rates_Master'!B172</f>
        <v>ea</v>
      </c>
      <c r="D339" s="37"/>
      <c r="E339" s="48">
        <f>'Material Rates_Master'!D172</f>
        <v>0</v>
      </c>
      <c r="F339" s="48">
        <f t="shared" si="11"/>
        <v>0</v>
      </c>
    </row>
    <row r="340" spans="1:6" x14ac:dyDescent="0.2">
      <c r="A340" s="40"/>
      <c r="B340" s="300" t="s">
        <v>415</v>
      </c>
      <c r="C340" s="40" t="s">
        <v>416</v>
      </c>
      <c r="D340" s="37"/>
      <c r="E340" s="48">
        <v>450</v>
      </c>
      <c r="F340" s="48">
        <f t="shared" si="11"/>
        <v>0</v>
      </c>
    </row>
    <row r="341" spans="1:6" x14ac:dyDescent="0.2">
      <c r="A341" s="40"/>
      <c r="B341" s="300" t="s">
        <v>417</v>
      </c>
      <c r="C341" s="40" t="str">
        <f>'Material Rates_Master'!B174</f>
        <v>ea</v>
      </c>
      <c r="D341" s="37"/>
      <c r="E341" s="48">
        <f>'Material Rates_Master'!D174</f>
        <v>0</v>
      </c>
      <c r="F341" s="48">
        <f t="shared" si="11"/>
        <v>0</v>
      </c>
    </row>
    <row r="342" spans="1:6" x14ac:dyDescent="0.2">
      <c r="A342" s="40"/>
      <c r="B342" s="300" t="s">
        <v>418</v>
      </c>
      <c r="C342" s="40" t="str">
        <f>'Material Rates_Master'!B175</f>
        <v>ea</v>
      </c>
      <c r="D342" s="37"/>
      <c r="E342" s="48">
        <f>'Material Rates_Master'!D175</f>
        <v>2178.48</v>
      </c>
      <c r="F342" s="48">
        <f t="shared" si="11"/>
        <v>0</v>
      </c>
    </row>
    <row r="343" spans="1:6" x14ac:dyDescent="0.2">
      <c r="A343" s="40"/>
      <c r="B343" s="300" t="s">
        <v>419</v>
      </c>
      <c r="C343" s="40" t="str">
        <f>'Material Rates_Master'!B176</f>
        <v>ea</v>
      </c>
      <c r="D343" s="37"/>
      <c r="E343" s="48">
        <f>'Material Rates_Master'!D176</f>
        <v>2178.48</v>
      </c>
      <c r="F343" s="48">
        <f>E343*D343</f>
        <v>0</v>
      </c>
    </row>
    <row r="344" spans="1:6" x14ac:dyDescent="0.2">
      <c r="E344" s="48"/>
      <c r="F344" s="48"/>
    </row>
    <row r="345" spans="1:6" s="40" customFormat="1" ht="14.4" x14ac:dyDescent="0.3">
      <c r="A345" s="324"/>
      <c r="B345" s="325" t="s">
        <v>420</v>
      </c>
      <c r="C345" s="42"/>
      <c r="D345" s="42"/>
      <c r="E345" s="45"/>
      <c r="F345" s="48"/>
    </row>
    <row r="346" spans="1:6" s="40" customFormat="1" ht="14.4" x14ac:dyDescent="0.3">
      <c r="A346" s="324"/>
      <c r="B346" s="327" t="s">
        <v>354</v>
      </c>
      <c r="C346" s="42"/>
      <c r="D346" s="42"/>
      <c r="E346" s="45"/>
      <c r="F346" s="48"/>
    </row>
    <row r="347" spans="1:6" s="40" customFormat="1" ht="14.4" x14ac:dyDescent="0.3">
      <c r="A347" s="324"/>
      <c r="B347" s="324"/>
      <c r="C347" s="42"/>
      <c r="D347" s="42"/>
      <c r="E347" s="45"/>
      <c r="F347" s="48"/>
    </row>
    <row r="348" spans="1:6" s="40" customFormat="1" ht="14.4" x14ac:dyDescent="0.3">
      <c r="A348" s="324"/>
      <c r="B348" s="324" t="s">
        <v>421</v>
      </c>
      <c r="C348" s="328" t="s">
        <v>149</v>
      </c>
      <c r="E348" s="326">
        <v>34.5</v>
      </c>
      <c r="F348" s="48">
        <f>E348*D348</f>
        <v>0</v>
      </c>
    </row>
    <row r="349" spans="1:6" s="40" customFormat="1" ht="14.4" x14ac:dyDescent="0.3">
      <c r="A349" s="324"/>
      <c r="B349" s="324" t="s">
        <v>423</v>
      </c>
      <c r="C349" s="328" t="s">
        <v>149</v>
      </c>
      <c r="E349" s="326">
        <v>12.31</v>
      </c>
      <c r="F349" s="48">
        <f t="shared" ref="F349:F412" si="12">E349*D349</f>
        <v>0</v>
      </c>
    </row>
    <row r="350" spans="1:6" s="40" customFormat="1" ht="14.4" x14ac:dyDescent="0.3">
      <c r="A350" s="324"/>
      <c r="B350" s="324" t="s">
        <v>424</v>
      </c>
      <c r="C350" s="328" t="s">
        <v>149</v>
      </c>
      <c r="E350" s="326">
        <v>9.66</v>
      </c>
      <c r="F350" s="48">
        <f t="shared" si="12"/>
        <v>0</v>
      </c>
    </row>
    <row r="351" spans="1:6" s="40" customFormat="1" ht="14.4" x14ac:dyDescent="0.3">
      <c r="A351" s="324"/>
      <c r="B351" s="324" t="s">
        <v>425</v>
      </c>
      <c r="C351" s="328" t="s">
        <v>149</v>
      </c>
      <c r="E351" s="326">
        <v>4.63</v>
      </c>
      <c r="F351" s="48">
        <f t="shared" si="12"/>
        <v>0</v>
      </c>
    </row>
    <row r="352" spans="1:6" s="40" customFormat="1" ht="14.4" x14ac:dyDescent="0.3">
      <c r="A352" s="324"/>
      <c r="B352" s="420" t="s">
        <v>426</v>
      </c>
      <c r="C352" s="328" t="s">
        <v>149</v>
      </c>
      <c r="E352" s="326">
        <v>5.4</v>
      </c>
      <c r="F352" s="48">
        <f t="shared" si="12"/>
        <v>0</v>
      </c>
    </row>
    <row r="353" spans="1:6" s="40" customFormat="1" ht="14.4" x14ac:dyDescent="0.3">
      <c r="A353" s="324"/>
      <c r="B353" s="420" t="s">
        <v>427</v>
      </c>
      <c r="C353" s="328" t="s">
        <v>149</v>
      </c>
      <c r="E353" s="326">
        <v>4.4000000000000004</v>
      </c>
      <c r="F353" s="48">
        <f t="shared" si="12"/>
        <v>0</v>
      </c>
    </row>
    <row r="354" spans="1:6" s="40" customFormat="1" ht="14.4" x14ac:dyDescent="0.3">
      <c r="A354" s="324"/>
      <c r="B354" s="324" t="s">
        <v>428</v>
      </c>
      <c r="C354" s="328" t="s">
        <v>149</v>
      </c>
      <c r="E354" s="326">
        <f>354.31/150</f>
        <v>2.3620666666666668</v>
      </c>
      <c r="F354" s="48">
        <f t="shared" si="12"/>
        <v>0</v>
      </c>
    </row>
    <row r="355" spans="1:6" ht="14.4" x14ac:dyDescent="0.3">
      <c r="A355" s="324"/>
      <c r="B355" s="420" t="s">
        <v>429</v>
      </c>
      <c r="C355" s="328" t="s">
        <v>149</v>
      </c>
      <c r="E355" s="326">
        <v>2.1</v>
      </c>
      <c r="F355" s="48">
        <f t="shared" si="12"/>
        <v>0</v>
      </c>
    </row>
    <row r="356" spans="1:6" ht="14.4" x14ac:dyDescent="0.3">
      <c r="A356" s="324"/>
      <c r="B356" s="324" t="s">
        <v>430</v>
      </c>
      <c r="C356" s="328" t="s">
        <v>149</v>
      </c>
      <c r="E356" s="326">
        <v>1.22</v>
      </c>
      <c r="F356" s="48">
        <f t="shared" si="12"/>
        <v>0</v>
      </c>
    </row>
    <row r="357" spans="1:6" ht="14.4" x14ac:dyDescent="0.3">
      <c r="A357" s="324"/>
      <c r="B357" s="324" t="s">
        <v>431</v>
      </c>
      <c r="C357" s="328" t="s">
        <v>149</v>
      </c>
      <c r="E357" s="326">
        <v>2.4300000000000002</v>
      </c>
      <c r="F357" s="48">
        <f t="shared" si="12"/>
        <v>0</v>
      </c>
    </row>
    <row r="358" spans="1:6" ht="14.4" x14ac:dyDescent="0.3">
      <c r="A358" s="324"/>
      <c r="B358" s="324" t="s">
        <v>432</v>
      </c>
      <c r="C358" s="328" t="s">
        <v>149</v>
      </c>
      <c r="E358" s="326">
        <v>1.38</v>
      </c>
      <c r="F358" s="48">
        <f t="shared" si="12"/>
        <v>0</v>
      </c>
    </row>
    <row r="359" spans="1:6" ht="14.4" x14ac:dyDescent="0.3">
      <c r="A359" s="324"/>
      <c r="B359" s="324" t="s">
        <v>433</v>
      </c>
      <c r="C359" s="328" t="s">
        <v>115</v>
      </c>
      <c r="E359" s="326">
        <v>22</v>
      </c>
      <c r="F359" s="48">
        <f t="shared" si="12"/>
        <v>0</v>
      </c>
    </row>
    <row r="360" spans="1:6" ht="14.4" x14ac:dyDescent="0.3">
      <c r="A360" s="324"/>
      <c r="B360" s="324" t="s">
        <v>434</v>
      </c>
      <c r="C360" s="328" t="s">
        <v>115</v>
      </c>
      <c r="E360" s="326">
        <v>57.75</v>
      </c>
      <c r="F360" s="48">
        <f t="shared" si="12"/>
        <v>0</v>
      </c>
    </row>
    <row r="361" spans="1:6" ht="14.4" x14ac:dyDescent="0.3">
      <c r="A361" s="324"/>
      <c r="B361" s="324" t="s">
        <v>435</v>
      </c>
      <c r="C361" s="328" t="s">
        <v>115</v>
      </c>
      <c r="E361" s="326">
        <v>139</v>
      </c>
      <c r="F361" s="48">
        <f t="shared" si="12"/>
        <v>0</v>
      </c>
    </row>
    <row r="362" spans="1:6" ht="14.4" x14ac:dyDescent="0.3">
      <c r="A362" s="324"/>
      <c r="B362" s="324" t="s">
        <v>436</v>
      </c>
      <c r="C362" s="328" t="s">
        <v>115</v>
      </c>
      <c r="E362" s="326">
        <v>104.15</v>
      </c>
      <c r="F362" s="48">
        <f t="shared" si="12"/>
        <v>0</v>
      </c>
    </row>
    <row r="363" spans="1:6" ht="14.4" x14ac:dyDescent="0.3">
      <c r="A363" s="324"/>
      <c r="B363" s="324" t="s">
        <v>437</v>
      </c>
      <c r="C363" s="328" t="s">
        <v>115</v>
      </c>
      <c r="E363" s="326">
        <v>26.1</v>
      </c>
      <c r="F363" s="48">
        <f t="shared" si="12"/>
        <v>0</v>
      </c>
    </row>
    <row r="364" spans="1:6" ht="14.4" x14ac:dyDescent="0.3">
      <c r="A364" s="324"/>
      <c r="B364" s="324" t="s">
        <v>438</v>
      </c>
      <c r="C364" s="328" t="s">
        <v>115</v>
      </c>
      <c r="E364" s="326">
        <v>37.5</v>
      </c>
      <c r="F364" s="48">
        <f t="shared" si="12"/>
        <v>0</v>
      </c>
    </row>
    <row r="365" spans="1:6" ht="14.4" x14ac:dyDescent="0.3">
      <c r="A365" s="324"/>
      <c r="B365" s="324" t="s">
        <v>439</v>
      </c>
      <c r="C365" s="328" t="s">
        <v>115</v>
      </c>
      <c r="E365" s="326">
        <v>35.93</v>
      </c>
      <c r="F365" s="48">
        <f t="shared" si="12"/>
        <v>0</v>
      </c>
    </row>
    <row r="366" spans="1:6" ht="14.4" x14ac:dyDescent="0.3">
      <c r="A366" s="324"/>
      <c r="B366" s="420" t="s">
        <v>440</v>
      </c>
      <c r="C366" s="328" t="s">
        <v>115</v>
      </c>
      <c r="E366" s="326">
        <v>35</v>
      </c>
      <c r="F366" s="48">
        <f t="shared" si="12"/>
        <v>0</v>
      </c>
    </row>
    <row r="367" spans="1:6" ht="14.4" x14ac:dyDescent="0.3">
      <c r="A367" s="324"/>
      <c r="B367" s="420" t="s">
        <v>441</v>
      </c>
      <c r="C367" s="328" t="s">
        <v>115</v>
      </c>
      <c r="E367" s="326">
        <v>35</v>
      </c>
      <c r="F367" s="48">
        <f t="shared" si="12"/>
        <v>0</v>
      </c>
    </row>
    <row r="368" spans="1:6" ht="14.4" x14ac:dyDescent="0.3">
      <c r="A368" s="324"/>
      <c r="B368" s="420" t="s">
        <v>442</v>
      </c>
      <c r="C368" s="328" t="s">
        <v>115</v>
      </c>
      <c r="E368" s="326">
        <v>35</v>
      </c>
      <c r="F368" s="48">
        <f t="shared" si="12"/>
        <v>0</v>
      </c>
    </row>
    <row r="369" spans="1:6" ht="14.4" x14ac:dyDescent="0.3">
      <c r="A369" s="324"/>
      <c r="B369" s="324" t="s">
        <v>443</v>
      </c>
      <c r="C369" s="328" t="s">
        <v>115</v>
      </c>
      <c r="E369" s="326">
        <v>20</v>
      </c>
      <c r="F369" s="48">
        <f t="shared" si="12"/>
        <v>0</v>
      </c>
    </row>
    <row r="370" spans="1:6" ht="14.4" x14ac:dyDescent="0.3">
      <c r="A370" s="324"/>
      <c r="B370" s="324" t="s">
        <v>444</v>
      </c>
      <c r="C370" s="328" t="s">
        <v>115</v>
      </c>
      <c r="E370" s="326">
        <v>50</v>
      </c>
      <c r="F370" s="48">
        <f t="shared" si="12"/>
        <v>0</v>
      </c>
    </row>
    <row r="371" spans="1:6" ht="14.4" x14ac:dyDescent="0.3">
      <c r="A371" s="324"/>
      <c r="B371" s="324" t="s">
        <v>445</v>
      </c>
      <c r="C371" s="328" t="s">
        <v>115</v>
      </c>
      <c r="E371" s="326">
        <v>54</v>
      </c>
      <c r="F371" s="48">
        <f t="shared" si="12"/>
        <v>0</v>
      </c>
    </row>
    <row r="372" spans="1:6" ht="14.4" x14ac:dyDescent="0.3">
      <c r="A372" s="324"/>
      <c r="B372" s="420" t="s">
        <v>446</v>
      </c>
      <c r="C372" s="328" t="s">
        <v>115</v>
      </c>
      <c r="E372" s="326"/>
      <c r="F372" s="48">
        <f t="shared" si="12"/>
        <v>0</v>
      </c>
    </row>
    <row r="373" spans="1:6" ht="14.4" x14ac:dyDescent="0.3">
      <c r="A373" s="324"/>
      <c r="B373" s="420" t="s">
        <v>447</v>
      </c>
      <c r="C373" s="328" t="s">
        <v>115</v>
      </c>
      <c r="E373" s="326">
        <v>15.55</v>
      </c>
      <c r="F373" s="48">
        <f t="shared" si="12"/>
        <v>0</v>
      </c>
    </row>
    <row r="374" spans="1:6" ht="14.4" x14ac:dyDescent="0.3">
      <c r="A374" s="324"/>
      <c r="B374" s="420" t="s">
        <v>448</v>
      </c>
      <c r="C374" s="419" t="s">
        <v>115</v>
      </c>
      <c r="E374" s="326">
        <v>15</v>
      </c>
      <c r="F374" s="48">
        <f t="shared" si="12"/>
        <v>0</v>
      </c>
    </row>
    <row r="375" spans="1:6" ht="14.4" x14ac:dyDescent="0.3">
      <c r="A375" s="324"/>
      <c r="B375" s="420" t="s">
        <v>449</v>
      </c>
      <c r="C375" s="328" t="s">
        <v>115</v>
      </c>
      <c r="E375" s="326">
        <v>10.87</v>
      </c>
      <c r="F375" s="48">
        <f t="shared" si="12"/>
        <v>0</v>
      </c>
    </row>
    <row r="376" spans="1:6" ht="14.4" x14ac:dyDescent="0.3">
      <c r="A376" s="324"/>
      <c r="B376" s="420" t="s">
        <v>450</v>
      </c>
      <c r="C376" s="328" t="s">
        <v>115</v>
      </c>
      <c r="E376" s="326">
        <v>55</v>
      </c>
      <c r="F376" s="48">
        <f t="shared" si="12"/>
        <v>0</v>
      </c>
    </row>
    <row r="377" spans="1:6" ht="14.4" x14ac:dyDescent="0.3">
      <c r="A377" s="324"/>
      <c r="B377" s="420" t="s">
        <v>451</v>
      </c>
      <c r="C377" s="328" t="s">
        <v>115</v>
      </c>
      <c r="E377" s="326">
        <v>55</v>
      </c>
      <c r="F377" s="48">
        <f t="shared" si="12"/>
        <v>0</v>
      </c>
    </row>
    <row r="378" spans="1:6" ht="14.4" x14ac:dyDescent="0.3">
      <c r="A378" s="324"/>
      <c r="B378" s="324" t="s">
        <v>452</v>
      </c>
      <c r="C378" s="328" t="s">
        <v>115</v>
      </c>
      <c r="E378" s="326">
        <v>35</v>
      </c>
      <c r="F378" s="48">
        <f t="shared" si="12"/>
        <v>0</v>
      </c>
    </row>
    <row r="379" spans="1:6" ht="14.4" x14ac:dyDescent="0.3">
      <c r="A379" s="324"/>
      <c r="B379" s="324" t="s">
        <v>453</v>
      </c>
      <c r="C379" s="328" t="s">
        <v>115</v>
      </c>
      <c r="E379" s="326">
        <v>35</v>
      </c>
      <c r="F379" s="48">
        <f t="shared" si="12"/>
        <v>0</v>
      </c>
    </row>
    <row r="380" spans="1:6" ht="14.4" x14ac:dyDescent="0.3">
      <c r="A380" s="324"/>
      <c r="B380" s="324" t="s">
        <v>454</v>
      </c>
      <c r="C380" s="328" t="s">
        <v>115</v>
      </c>
      <c r="E380" s="326">
        <v>35</v>
      </c>
      <c r="F380" s="48">
        <f t="shared" si="12"/>
        <v>0</v>
      </c>
    </row>
    <row r="381" spans="1:6" ht="14.4" x14ac:dyDescent="0.3">
      <c r="A381" s="324"/>
      <c r="B381" s="420" t="s">
        <v>455</v>
      </c>
      <c r="C381" s="328" t="s">
        <v>115</v>
      </c>
      <c r="E381" s="326">
        <v>35</v>
      </c>
      <c r="F381" s="48">
        <f t="shared" si="12"/>
        <v>0</v>
      </c>
    </row>
    <row r="382" spans="1:6" ht="14.4" x14ac:dyDescent="0.3">
      <c r="A382" s="324"/>
      <c r="B382" s="420" t="s">
        <v>456</v>
      </c>
      <c r="C382" s="328" t="s">
        <v>115</v>
      </c>
      <c r="E382" s="326">
        <v>35</v>
      </c>
      <c r="F382" s="48">
        <f t="shared" si="12"/>
        <v>0</v>
      </c>
    </row>
    <row r="383" spans="1:6" ht="14.4" x14ac:dyDescent="0.3">
      <c r="A383" s="324"/>
      <c r="B383" s="324" t="s">
        <v>457</v>
      </c>
      <c r="C383" s="328" t="s">
        <v>115</v>
      </c>
      <c r="E383" s="326">
        <v>35</v>
      </c>
      <c r="F383" s="48">
        <f t="shared" si="12"/>
        <v>0</v>
      </c>
    </row>
    <row r="384" spans="1:6" ht="14.4" x14ac:dyDescent="0.3">
      <c r="A384" s="324"/>
      <c r="B384" s="324" t="s">
        <v>458</v>
      </c>
      <c r="C384" s="328" t="s">
        <v>115</v>
      </c>
      <c r="E384" s="326">
        <v>35</v>
      </c>
      <c r="F384" s="48">
        <f t="shared" si="12"/>
        <v>0</v>
      </c>
    </row>
    <row r="385" spans="1:9" ht="14.4" x14ac:dyDescent="0.3">
      <c r="A385" s="324"/>
      <c r="B385" s="420" t="s">
        <v>459</v>
      </c>
      <c r="C385" s="328" t="s">
        <v>115</v>
      </c>
      <c r="E385" s="326">
        <v>26</v>
      </c>
      <c r="F385" s="48">
        <f t="shared" si="12"/>
        <v>0</v>
      </c>
    </row>
    <row r="386" spans="1:9" ht="14.4" x14ac:dyDescent="0.3">
      <c r="A386" s="324"/>
      <c r="B386" s="420" t="s">
        <v>460</v>
      </c>
      <c r="C386" s="328" t="s">
        <v>115</v>
      </c>
      <c r="E386" s="326">
        <v>35</v>
      </c>
      <c r="F386" s="48">
        <f t="shared" si="12"/>
        <v>0</v>
      </c>
    </row>
    <row r="387" spans="1:9" ht="14.4" x14ac:dyDescent="0.3">
      <c r="A387" s="324"/>
      <c r="B387" s="324" t="s">
        <v>461</v>
      </c>
      <c r="C387" s="328" t="s">
        <v>115</v>
      </c>
      <c r="E387" s="326">
        <v>10.87</v>
      </c>
      <c r="F387" s="48">
        <f t="shared" si="12"/>
        <v>0</v>
      </c>
    </row>
    <row r="388" spans="1:9" ht="14.4" x14ac:dyDescent="0.3">
      <c r="A388" s="324"/>
      <c r="B388" s="324" t="s">
        <v>462</v>
      </c>
      <c r="C388" s="328" t="s">
        <v>115</v>
      </c>
      <c r="E388" s="326">
        <v>35</v>
      </c>
      <c r="F388" s="48">
        <f t="shared" si="12"/>
        <v>0</v>
      </c>
    </row>
    <row r="389" spans="1:9" ht="14.4" x14ac:dyDescent="0.3">
      <c r="A389" s="324"/>
      <c r="B389" s="420" t="s">
        <v>463</v>
      </c>
      <c r="C389" s="328" t="s">
        <v>115</v>
      </c>
      <c r="E389" s="326">
        <v>20</v>
      </c>
      <c r="F389" s="48">
        <f t="shared" si="12"/>
        <v>0</v>
      </c>
    </row>
    <row r="390" spans="1:9" ht="14.4" x14ac:dyDescent="0.3">
      <c r="A390" s="324"/>
      <c r="B390" s="420" t="s">
        <v>464</v>
      </c>
      <c r="C390" s="328" t="s">
        <v>115</v>
      </c>
      <c r="E390" s="326">
        <v>20</v>
      </c>
      <c r="F390" s="48">
        <f t="shared" si="12"/>
        <v>0</v>
      </c>
    </row>
    <row r="391" spans="1:9" ht="14.4" x14ac:dyDescent="0.3">
      <c r="A391" s="324"/>
      <c r="B391" s="420" t="s">
        <v>465</v>
      </c>
      <c r="C391" s="328" t="s">
        <v>115</v>
      </c>
      <c r="E391" s="326"/>
      <c r="F391" s="48">
        <f t="shared" si="12"/>
        <v>0</v>
      </c>
    </row>
    <row r="392" spans="1:9" ht="14.4" x14ac:dyDescent="0.3">
      <c r="A392" s="324"/>
      <c r="B392" s="324" t="s">
        <v>466</v>
      </c>
      <c r="C392" s="328" t="s">
        <v>115</v>
      </c>
      <c r="E392" s="326">
        <v>35</v>
      </c>
      <c r="F392" s="48">
        <f t="shared" si="12"/>
        <v>0</v>
      </c>
    </row>
    <row r="393" spans="1:9" ht="14.4" x14ac:dyDescent="0.3">
      <c r="A393" s="324"/>
      <c r="B393" s="324" t="s">
        <v>467</v>
      </c>
      <c r="C393" s="328" t="s">
        <v>115</v>
      </c>
      <c r="E393" s="326">
        <v>102.5</v>
      </c>
      <c r="F393" s="48">
        <f t="shared" si="12"/>
        <v>0</v>
      </c>
    </row>
    <row r="394" spans="1:9" ht="14.4" x14ac:dyDescent="0.3">
      <c r="A394" s="324"/>
      <c r="B394" s="324" t="s">
        <v>468</v>
      </c>
      <c r="C394" s="328" t="s">
        <v>115</v>
      </c>
      <c r="E394" s="326">
        <v>235</v>
      </c>
      <c r="F394" s="48">
        <f t="shared" si="12"/>
        <v>0</v>
      </c>
    </row>
    <row r="395" spans="1:9" ht="14.4" x14ac:dyDescent="0.3">
      <c r="A395" s="324"/>
      <c r="B395" s="324" t="s">
        <v>469</v>
      </c>
      <c r="C395" s="328" t="s">
        <v>115</v>
      </c>
      <c r="E395" s="326">
        <v>100</v>
      </c>
      <c r="F395" s="48">
        <f t="shared" si="12"/>
        <v>0</v>
      </c>
    </row>
    <row r="396" spans="1:9" ht="14.4" x14ac:dyDescent="0.3">
      <c r="A396" s="324"/>
      <c r="B396" s="324" t="s">
        <v>470</v>
      </c>
      <c r="C396" s="328" t="s">
        <v>115</v>
      </c>
      <c r="E396" s="326">
        <v>47.41</v>
      </c>
      <c r="F396" s="48">
        <f t="shared" si="12"/>
        <v>0</v>
      </c>
    </row>
    <row r="397" spans="1:9" ht="14.4" x14ac:dyDescent="0.3">
      <c r="A397" s="324"/>
      <c r="B397" s="324" t="s">
        <v>471</v>
      </c>
      <c r="C397" s="328" t="s">
        <v>115</v>
      </c>
      <c r="E397" s="326">
        <v>41.69</v>
      </c>
      <c r="F397" s="48">
        <f t="shared" si="12"/>
        <v>0</v>
      </c>
    </row>
    <row r="398" spans="1:9" ht="14.4" x14ac:dyDescent="0.3">
      <c r="A398" s="324"/>
      <c r="B398" s="324"/>
      <c r="C398" s="328" t="s">
        <v>115</v>
      </c>
      <c r="E398" s="326">
        <v>85.55</v>
      </c>
      <c r="F398" s="48">
        <f t="shared" si="12"/>
        <v>0</v>
      </c>
    </row>
    <row r="399" spans="1:9" ht="14.4" x14ac:dyDescent="0.3">
      <c r="A399" s="324"/>
      <c r="B399" s="324"/>
      <c r="C399" s="324"/>
      <c r="E399" s="326"/>
      <c r="F399" s="48">
        <f t="shared" si="12"/>
        <v>0</v>
      </c>
      <c r="I399" s="324"/>
    </row>
    <row r="400" spans="1:9" ht="14.4" x14ac:dyDescent="0.3">
      <c r="A400" s="324"/>
      <c r="B400" s="324" t="s">
        <v>473</v>
      </c>
      <c r="C400" s="328" t="s">
        <v>115</v>
      </c>
      <c r="E400" s="326">
        <v>70</v>
      </c>
      <c r="F400" s="48">
        <f t="shared" si="12"/>
        <v>0</v>
      </c>
      <c r="I400" s="324"/>
    </row>
    <row r="401" spans="1:14" ht="14.4" x14ac:dyDescent="0.3">
      <c r="A401" s="324"/>
      <c r="B401" s="324" t="s">
        <v>474</v>
      </c>
      <c r="C401" s="328" t="s">
        <v>115</v>
      </c>
      <c r="E401" s="326">
        <v>19</v>
      </c>
      <c r="F401" s="48">
        <f t="shared" si="12"/>
        <v>0</v>
      </c>
      <c r="I401" s="324"/>
    </row>
    <row r="402" spans="1:14" ht="14.4" x14ac:dyDescent="0.3">
      <c r="A402" s="324"/>
      <c r="B402" s="324" t="s">
        <v>475</v>
      </c>
      <c r="C402" s="328" t="s">
        <v>115</v>
      </c>
      <c r="E402" s="326">
        <v>16</v>
      </c>
      <c r="F402" s="48">
        <f t="shared" si="12"/>
        <v>0</v>
      </c>
    </row>
    <row r="403" spans="1:14" ht="14.4" x14ac:dyDescent="0.3">
      <c r="A403" s="324"/>
      <c r="B403" s="420" t="s">
        <v>476</v>
      </c>
      <c r="C403" s="328" t="s">
        <v>149</v>
      </c>
      <c r="E403" s="326">
        <v>40.21</v>
      </c>
      <c r="F403" s="48">
        <f t="shared" si="12"/>
        <v>0</v>
      </c>
    </row>
    <row r="404" spans="1:14" ht="14.4" x14ac:dyDescent="0.3">
      <c r="A404" s="324"/>
      <c r="B404" s="324" t="s">
        <v>479</v>
      </c>
      <c r="C404" s="328" t="s">
        <v>149</v>
      </c>
      <c r="E404" s="329">
        <v>32</v>
      </c>
      <c r="F404" s="48">
        <f t="shared" si="12"/>
        <v>0</v>
      </c>
      <c r="K404" s="328"/>
      <c r="L404" s="40"/>
      <c r="M404" s="326"/>
      <c r="N404" s="48"/>
    </row>
    <row r="405" spans="1:14" ht="14.4" x14ac:dyDescent="0.3">
      <c r="A405" s="324"/>
      <c r="B405" s="420" t="s">
        <v>480</v>
      </c>
      <c r="C405" s="328" t="s">
        <v>149</v>
      </c>
      <c r="E405" s="329">
        <f>119.88/6</f>
        <v>19.98</v>
      </c>
      <c r="F405" s="48">
        <f t="shared" si="12"/>
        <v>0</v>
      </c>
      <c r="K405" s="328"/>
      <c r="L405" s="40"/>
      <c r="M405" s="329"/>
      <c r="N405" s="48"/>
    </row>
    <row r="406" spans="1:14" ht="14.4" x14ac:dyDescent="0.3">
      <c r="A406" s="324"/>
      <c r="B406" s="324" t="s">
        <v>481</v>
      </c>
      <c r="C406" s="328" t="s">
        <v>115</v>
      </c>
      <c r="E406" s="329">
        <v>16.329999999999998</v>
      </c>
      <c r="F406" s="48">
        <f t="shared" si="12"/>
        <v>0</v>
      </c>
      <c r="K406" s="328"/>
      <c r="L406" s="40"/>
      <c r="M406" s="329"/>
      <c r="N406" s="48"/>
    </row>
    <row r="407" spans="1:14" ht="14.4" x14ac:dyDescent="0.3">
      <c r="A407" s="324"/>
      <c r="B407" s="324" t="s">
        <v>482</v>
      </c>
      <c r="C407" s="328" t="s">
        <v>149</v>
      </c>
      <c r="E407" s="329">
        <v>17.52</v>
      </c>
      <c r="F407" s="48">
        <f t="shared" si="12"/>
        <v>0</v>
      </c>
      <c r="K407" s="328"/>
      <c r="L407" s="40"/>
      <c r="M407" s="329"/>
      <c r="N407" s="48"/>
    </row>
    <row r="408" spans="1:14" ht="14.4" x14ac:dyDescent="0.3">
      <c r="A408" s="324"/>
      <c r="B408" s="420" t="s">
        <v>483</v>
      </c>
      <c r="C408" s="419" t="s">
        <v>115</v>
      </c>
      <c r="E408" s="329">
        <v>15</v>
      </c>
      <c r="F408" s="48">
        <f t="shared" si="12"/>
        <v>0</v>
      </c>
      <c r="K408" s="328"/>
      <c r="L408" s="40"/>
      <c r="M408" s="329"/>
      <c r="N408" s="48"/>
    </row>
    <row r="409" spans="1:14" ht="14.4" x14ac:dyDescent="0.3">
      <c r="A409" s="324"/>
      <c r="B409" s="420" t="s">
        <v>970</v>
      </c>
      <c r="C409" s="328" t="s">
        <v>115</v>
      </c>
      <c r="E409" s="329">
        <v>7.17</v>
      </c>
      <c r="F409" s="48">
        <f t="shared" si="12"/>
        <v>0</v>
      </c>
      <c r="K409" s="419"/>
      <c r="L409" s="40"/>
      <c r="M409" s="329"/>
      <c r="N409" s="48"/>
    </row>
    <row r="410" spans="1:14" ht="14.4" x14ac:dyDescent="0.3">
      <c r="A410" s="324"/>
      <c r="B410" s="324" t="s">
        <v>484</v>
      </c>
      <c r="C410" s="328" t="s">
        <v>115</v>
      </c>
      <c r="E410" s="329">
        <f>82/6</f>
        <v>13.666666666666666</v>
      </c>
      <c r="F410" s="48">
        <f t="shared" si="12"/>
        <v>0</v>
      </c>
      <c r="K410" s="328"/>
      <c r="L410" s="40"/>
      <c r="M410" s="329"/>
      <c r="N410" s="48"/>
    </row>
    <row r="411" spans="1:14" ht="14.4" x14ac:dyDescent="0.3">
      <c r="A411" s="324"/>
      <c r="B411" s="324" t="s">
        <v>485</v>
      </c>
      <c r="C411" s="328" t="s">
        <v>149</v>
      </c>
      <c r="D411" s="40">
        <v>50</v>
      </c>
      <c r="E411" s="329">
        <f>82/6</f>
        <v>13.666666666666666</v>
      </c>
      <c r="F411" s="48">
        <f t="shared" si="12"/>
        <v>683.33333333333326</v>
      </c>
      <c r="K411" s="328"/>
      <c r="L411" s="40"/>
      <c r="M411" s="329"/>
      <c r="N411" s="48"/>
    </row>
    <row r="412" spans="1:14" ht="14.4" x14ac:dyDescent="0.3">
      <c r="A412" s="324"/>
      <c r="B412" s="420" t="s">
        <v>486</v>
      </c>
      <c r="C412" s="419" t="s">
        <v>115</v>
      </c>
      <c r="D412" s="40">
        <v>9</v>
      </c>
      <c r="E412" s="329">
        <v>6.88</v>
      </c>
      <c r="F412" s="48">
        <f t="shared" si="12"/>
        <v>61.92</v>
      </c>
      <c r="K412" s="328"/>
      <c r="L412" s="40"/>
      <c r="M412" s="329"/>
      <c r="N412" s="48"/>
    </row>
    <row r="413" spans="1:14" ht="14.4" x14ac:dyDescent="0.3">
      <c r="A413" s="324"/>
      <c r="B413" s="324" t="s">
        <v>487</v>
      </c>
      <c r="C413" s="328" t="s">
        <v>115</v>
      </c>
      <c r="E413" s="326">
        <v>1.4</v>
      </c>
      <c r="F413" s="48">
        <f t="shared" ref="F413:F476" si="13">E413*D413</f>
        <v>0</v>
      </c>
      <c r="K413" s="419"/>
      <c r="L413" s="40"/>
      <c r="M413" s="329"/>
      <c r="N413" s="48"/>
    </row>
    <row r="414" spans="1:14" ht="14.4" x14ac:dyDescent="0.3">
      <c r="A414" s="324"/>
      <c r="B414" s="324" t="s">
        <v>488</v>
      </c>
      <c r="C414" s="328" t="s">
        <v>115</v>
      </c>
      <c r="E414" s="326">
        <v>1.38</v>
      </c>
      <c r="F414" s="48">
        <f t="shared" si="13"/>
        <v>0</v>
      </c>
      <c r="K414" s="328"/>
      <c r="L414" s="40"/>
      <c r="M414" s="326"/>
      <c r="N414" s="48"/>
    </row>
    <row r="415" spans="1:14" ht="14.4" x14ac:dyDescent="0.3">
      <c r="A415" s="324"/>
      <c r="B415" s="324" t="s">
        <v>489</v>
      </c>
      <c r="C415" s="328" t="s">
        <v>115</v>
      </c>
      <c r="E415" s="326">
        <v>1.32</v>
      </c>
      <c r="F415" s="48">
        <f t="shared" si="13"/>
        <v>0</v>
      </c>
      <c r="K415" s="328"/>
      <c r="L415" s="40"/>
      <c r="M415" s="326"/>
      <c r="N415" s="48"/>
    </row>
    <row r="416" spans="1:14" ht="14.4" x14ac:dyDescent="0.3">
      <c r="A416" s="324"/>
      <c r="B416" s="324" t="s">
        <v>490</v>
      </c>
      <c r="C416" s="328" t="s">
        <v>115</v>
      </c>
      <c r="E416" s="326">
        <v>1.24</v>
      </c>
      <c r="F416" s="48">
        <f t="shared" si="13"/>
        <v>0</v>
      </c>
      <c r="K416" s="328"/>
      <c r="L416" s="40"/>
      <c r="M416" s="326"/>
      <c r="N416" s="48"/>
    </row>
    <row r="417" spans="1:14" ht="14.4" x14ac:dyDescent="0.3">
      <c r="A417" s="324"/>
      <c r="B417" s="324" t="s">
        <v>491</v>
      </c>
      <c r="C417" s="328" t="s">
        <v>149</v>
      </c>
      <c r="E417" s="326">
        <v>5.0999999999999996</v>
      </c>
      <c r="F417" s="48">
        <f t="shared" si="13"/>
        <v>0</v>
      </c>
      <c r="K417" s="328"/>
      <c r="L417" s="40"/>
      <c r="M417" s="326"/>
      <c r="N417" s="48"/>
    </row>
    <row r="418" spans="1:14" ht="14.4" x14ac:dyDescent="0.3">
      <c r="A418" s="324"/>
      <c r="B418" s="324"/>
      <c r="C418" s="328"/>
      <c r="E418" s="326"/>
      <c r="F418" s="48">
        <f t="shared" si="13"/>
        <v>0</v>
      </c>
      <c r="K418" s="328"/>
      <c r="L418" s="40"/>
      <c r="M418" s="326"/>
      <c r="N418" s="48"/>
    </row>
    <row r="419" spans="1:14" ht="14.4" x14ac:dyDescent="0.3">
      <c r="A419" s="324"/>
      <c r="B419" s="420"/>
      <c r="C419" s="328"/>
      <c r="E419" s="326"/>
      <c r="F419" s="48">
        <f t="shared" si="13"/>
        <v>0</v>
      </c>
    </row>
    <row r="420" spans="1:14" ht="14.4" x14ac:dyDescent="0.3">
      <c r="A420" s="324"/>
      <c r="B420" s="420" t="s">
        <v>495</v>
      </c>
      <c r="C420" s="328" t="s">
        <v>115</v>
      </c>
      <c r="E420" s="326">
        <v>14.31</v>
      </c>
      <c r="F420" s="48">
        <f t="shared" si="13"/>
        <v>0</v>
      </c>
      <c r="J420" s="420"/>
    </row>
    <row r="421" spans="1:14" ht="14.4" x14ac:dyDescent="0.3">
      <c r="A421" s="324"/>
      <c r="B421" s="420" t="s">
        <v>496</v>
      </c>
      <c r="C421" s="328" t="s">
        <v>115</v>
      </c>
      <c r="E421" s="326">
        <v>4.58</v>
      </c>
      <c r="F421" s="48">
        <f t="shared" si="13"/>
        <v>0</v>
      </c>
      <c r="J421" s="420"/>
    </row>
    <row r="422" spans="1:14" ht="14.4" x14ac:dyDescent="0.3">
      <c r="A422" s="324"/>
      <c r="B422" s="420" t="s">
        <v>497</v>
      </c>
      <c r="C422" s="328" t="s">
        <v>115</v>
      </c>
      <c r="D422" s="40">
        <v>19</v>
      </c>
      <c r="E422" s="326">
        <v>4.58</v>
      </c>
      <c r="F422" s="48">
        <f t="shared" si="13"/>
        <v>87.02</v>
      </c>
      <c r="J422" s="420"/>
    </row>
    <row r="423" spans="1:14" ht="14.4" x14ac:dyDescent="0.3">
      <c r="A423" s="324"/>
      <c r="B423" s="324"/>
      <c r="C423" s="328"/>
      <c r="E423" s="326"/>
      <c r="F423" s="48">
        <f t="shared" si="13"/>
        <v>0</v>
      </c>
    </row>
    <row r="424" spans="1:14" ht="14.4" x14ac:dyDescent="0.3">
      <c r="A424" s="324"/>
      <c r="B424" s="324"/>
      <c r="C424" s="328"/>
      <c r="E424" s="326"/>
      <c r="F424" s="48">
        <f t="shared" si="13"/>
        <v>0</v>
      </c>
    </row>
    <row r="425" spans="1:14" ht="14.4" x14ac:dyDescent="0.3">
      <c r="A425" s="324"/>
      <c r="B425" s="324"/>
      <c r="C425" s="328"/>
      <c r="E425" s="326"/>
      <c r="F425" s="48">
        <f t="shared" si="13"/>
        <v>0</v>
      </c>
    </row>
    <row r="426" spans="1:14" ht="14.4" x14ac:dyDescent="0.3">
      <c r="A426" s="420" t="s">
        <v>498</v>
      </c>
      <c r="B426" s="324"/>
      <c r="C426" s="328"/>
      <c r="E426" s="326"/>
      <c r="F426" s="48">
        <f t="shared" si="13"/>
        <v>0</v>
      </c>
    </row>
    <row r="427" spans="1:14" ht="14.4" x14ac:dyDescent="0.3">
      <c r="A427" s="324"/>
      <c r="B427" s="324" t="s">
        <v>499</v>
      </c>
      <c r="C427" s="328"/>
      <c r="E427" s="326"/>
      <c r="F427" s="48">
        <f t="shared" si="13"/>
        <v>0</v>
      </c>
    </row>
    <row r="428" spans="1:14" ht="14.4" x14ac:dyDescent="0.3">
      <c r="A428" s="324"/>
      <c r="B428" s="324" t="s">
        <v>500</v>
      </c>
      <c r="C428" s="328" t="s">
        <v>115</v>
      </c>
      <c r="E428" s="326">
        <v>13.5</v>
      </c>
      <c r="F428" s="48">
        <f t="shared" si="13"/>
        <v>0</v>
      </c>
    </row>
    <row r="429" spans="1:14" ht="14.4" x14ac:dyDescent="0.3">
      <c r="A429" s="324"/>
      <c r="B429" s="324" t="s">
        <v>501</v>
      </c>
      <c r="C429" s="328" t="s">
        <v>115</v>
      </c>
      <c r="E429" s="326">
        <v>13.5</v>
      </c>
      <c r="F429" s="48">
        <f t="shared" si="13"/>
        <v>0</v>
      </c>
    </row>
    <row r="430" spans="1:14" ht="14.4" x14ac:dyDescent="0.3">
      <c r="A430" s="324"/>
      <c r="B430" s="324" t="s">
        <v>502</v>
      </c>
      <c r="C430" s="328" t="s">
        <v>115</v>
      </c>
      <c r="E430" s="326">
        <v>9.5</v>
      </c>
      <c r="F430" s="48">
        <f t="shared" si="13"/>
        <v>0</v>
      </c>
    </row>
    <row r="431" spans="1:14" ht="14.4" x14ac:dyDescent="0.3">
      <c r="A431" s="324"/>
      <c r="B431" s="324" t="s">
        <v>503</v>
      </c>
      <c r="C431" s="328" t="s">
        <v>115</v>
      </c>
      <c r="E431" s="326">
        <v>18.5</v>
      </c>
      <c r="F431" s="48">
        <f t="shared" si="13"/>
        <v>0</v>
      </c>
    </row>
    <row r="432" spans="1:14" ht="14.4" x14ac:dyDescent="0.3">
      <c r="A432" s="324"/>
      <c r="B432" s="324" t="s">
        <v>504</v>
      </c>
      <c r="C432" s="328" t="s">
        <v>115</v>
      </c>
      <c r="E432" s="326">
        <v>18.5</v>
      </c>
      <c r="F432" s="48">
        <f t="shared" si="13"/>
        <v>0</v>
      </c>
    </row>
    <row r="433" spans="1:6" ht="14.4" x14ac:dyDescent="0.3">
      <c r="A433" s="324"/>
      <c r="B433" s="324" t="s">
        <v>505</v>
      </c>
      <c r="C433" s="328" t="s">
        <v>115</v>
      </c>
      <c r="E433" s="326">
        <v>6</v>
      </c>
      <c r="F433" s="48">
        <f t="shared" si="13"/>
        <v>0</v>
      </c>
    </row>
    <row r="434" spans="1:6" ht="14.4" x14ac:dyDescent="0.3">
      <c r="A434" s="324"/>
      <c r="B434" s="324" t="s">
        <v>506</v>
      </c>
      <c r="C434" s="328" t="s">
        <v>115</v>
      </c>
      <c r="E434" s="326">
        <v>5.5</v>
      </c>
      <c r="F434" s="48">
        <f t="shared" si="13"/>
        <v>0</v>
      </c>
    </row>
    <row r="435" spans="1:6" ht="14.4" x14ac:dyDescent="0.3">
      <c r="A435" s="324"/>
      <c r="B435" s="324" t="s">
        <v>507</v>
      </c>
      <c r="C435" s="328" t="s">
        <v>115</v>
      </c>
      <c r="E435" s="326">
        <v>17.5</v>
      </c>
      <c r="F435" s="48">
        <f t="shared" si="13"/>
        <v>0</v>
      </c>
    </row>
    <row r="436" spans="1:6" ht="14.4" x14ac:dyDescent="0.3">
      <c r="A436" s="324"/>
      <c r="B436" s="324" t="s">
        <v>508</v>
      </c>
      <c r="C436" s="328" t="s">
        <v>115</v>
      </c>
      <c r="E436" s="326">
        <v>16.5</v>
      </c>
      <c r="F436" s="48">
        <f t="shared" si="13"/>
        <v>0</v>
      </c>
    </row>
    <row r="437" spans="1:6" ht="14.4" x14ac:dyDescent="0.3">
      <c r="A437" s="324"/>
      <c r="B437" s="324" t="s">
        <v>509</v>
      </c>
      <c r="C437" s="328" t="s">
        <v>115</v>
      </c>
      <c r="E437" s="326">
        <v>2.5</v>
      </c>
      <c r="F437" s="48">
        <f t="shared" si="13"/>
        <v>0</v>
      </c>
    </row>
    <row r="438" spans="1:6" ht="14.4" x14ac:dyDescent="0.3">
      <c r="A438" s="324"/>
      <c r="B438" s="324" t="s">
        <v>510</v>
      </c>
      <c r="C438" s="328" t="s">
        <v>115</v>
      </c>
      <c r="E438" s="326">
        <v>43.5</v>
      </c>
      <c r="F438" s="48">
        <f t="shared" si="13"/>
        <v>0</v>
      </c>
    </row>
    <row r="439" spans="1:6" ht="14.4" x14ac:dyDescent="0.3">
      <c r="A439" s="324"/>
      <c r="B439" s="324" t="s">
        <v>511</v>
      </c>
      <c r="C439" s="328" t="s">
        <v>115</v>
      </c>
      <c r="E439" s="326">
        <v>43.5</v>
      </c>
      <c r="F439" s="48">
        <f t="shared" si="13"/>
        <v>0</v>
      </c>
    </row>
    <row r="440" spans="1:6" ht="14.4" x14ac:dyDescent="0.3">
      <c r="A440" s="324"/>
      <c r="B440" s="324" t="s">
        <v>512</v>
      </c>
      <c r="C440" s="328" t="s">
        <v>115</v>
      </c>
      <c r="E440" s="326">
        <v>45.5</v>
      </c>
      <c r="F440" s="48">
        <f t="shared" si="13"/>
        <v>0</v>
      </c>
    </row>
    <row r="441" spans="1:6" ht="14.4" x14ac:dyDescent="0.3">
      <c r="A441" s="324"/>
      <c r="B441" s="324" t="s">
        <v>513</v>
      </c>
      <c r="C441" s="328" t="s">
        <v>115</v>
      </c>
      <c r="E441" s="326">
        <v>76</v>
      </c>
      <c r="F441" s="48">
        <f t="shared" si="13"/>
        <v>0</v>
      </c>
    </row>
    <row r="442" spans="1:6" ht="14.4" x14ac:dyDescent="0.3">
      <c r="A442" s="324"/>
      <c r="B442" s="324" t="s">
        <v>514</v>
      </c>
      <c r="C442" s="328" t="s">
        <v>115</v>
      </c>
      <c r="E442" s="326">
        <v>11.5</v>
      </c>
      <c r="F442" s="48">
        <f t="shared" si="13"/>
        <v>0</v>
      </c>
    </row>
    <row r="443" spans="1:6" ht="14.4" x14ac:dyDescent="0.3">
      <c r="A443" s="324"/>
      <c r="B443" s="324" t="s">
        <v>515</v>
      </c>
      <c r="C443" s="328" t="s">
        <v>115</v>
      </c>
      <c r="E443" s="326">
        <v>11.5</v>
      </c>
      <c r="F443" s="48">
        <f t="shared" si="13"/>
        <v>0</v>
      </c>
    </row>
    <row r="444" spans="1:6" ht="14.4" x14ac:dyDescent="0.3">
      <c r="A444" s="324"/>
      <c r="B444" s="324" t="s">
        <v>516</v>
      </c>
      <c r="C444" s="328" t="s">
        <v>115</v>
      </c>
      <c r="E444" s="326">
        <v>12</v>
      </c>
      <c r="F444" s="48">
        <f t="shared" si="13"/>
        <v>0</v>
      </c>
    </row>
    <row r="445" spans="1:6" ht="14.4" x14ac:dyDescent="0.3">
      <c r="A445" s="324"/>
      <c r="B445" s="324" t="s">
        <v>517</v>
      </c>
      <c r="C445" s="328" t="s">
        <v>115</v>
      </c>
      <c r="E445" s="326">
        <v>18.5</v>
      </c>
      <c r="F445" s="48">
        <f t="shared" si="13"/>
        <v>0</v>
      </c>
    </row>
    <row r="446" spans="1:6" ht="14.4" x14ac:dyDescent="0.3">
      <c r="A446" s="324"/>
      <c r="B446" s="324" t="s">
        <v>518</v>
      </c>
      <c r="C446" s="328" t="s">
        <v>115</v>
      </c>
      <c r="E446" s="326">
        <v>19.5</v>
      </c>
      <c r="F446" s="48">
        <f t="shared" si="13"/>
        <v>0</v>
      </c>
    </row>
    <row r="447" spans="1:6" ht="14.4" x14ac:dyDescent="0.3">
      <c r="A447" s="324"/>
      <c r="B447" s="324" t="s">
        <v>519</v>
      </c>
      <c r="C447" s="328" t="s">
        <v>115</v>
      </c>
      <c r="E447" s="326">
        <v>4.5</v>
      </c>
      <c r="F447" s="48">
        <f t="shared" si="13"/>
        <v>0</v>
      </c>
    </row>
    <row r="448" spans="1:6" ht="14.4" x14ac:dyDescent="0.3">
      <c r="A448" s="324"/>
      <c r="B448" s="324" t="s">
        <v>520</v>
      </c>
      <c r="C448" s="328" t="s">
        <v>115</v>
      </c>
      <c r="E448" s="326">
        <v>10.5</v>
      </c>
      <c r="F448" s="48">
        <f t="shared" si="13"/>
        <v>0</v>
      </c>
    </row>
    <row r="449" spans="1:6" ht="14.4" x14ac:dyDescent="0.3">
      <c r="A449" s="324"/>
      <c r="B449" s="324" t="s">
        <v>521</v>
      </c>
      <c r="C449" s="328" t="s">
        <v>115</v>
      </c>
      <c r="E449" s="326">
        <v>14.5</v>
      </c>
      <c r="F449" s="48">
        <f t="shared" si="13"/>
        <v>0</v>
      </c>
    </row>
    <row r="450" spans="1:6" ht="14.4" x14ac:dyDescent="0.3">
      <c r="A450" s="324"/>
      <c r="B450" s="324" t="s">
        <v>522</v>
      </c>
      <c r="C450" s="328" t="s">
        <v>115</v>
      </c>
      <c r="E450" s="326">
        <v>28.5</v>
      </c>
      <c r="F450" s="48">
        <f t="shared" si="13"/>
        <v>0</v>
      </c>
    </row>
    <row r="451" spans="1:6" ht="14.4" x14ac:dyDescent="0.3">
      <c r="A451" s="324"/>
      <c r="B451" s="324" t="s">
        <v>523</v>
      </c>
      <c r="C451" s="328" t="s">
        <v>115</v>
      </c>
      <c r="E451" s="326">
        <v>29.5</v>
      </c>
      <c r="F451" s="48">
        <f t="shared" si="13"/>
        <v>0</v>
      </c>
    </row>
    <row r="452" spans="1:6" ht="14.4" x14ac:dyDescent="0.3">
      <c r="A452" s="324"/>
      <c r="B452" s="324" t="s">
        <v>524</v>
      </c>
      <c r="C452" s="328" t="s">
        <v>115</v>
      </c>
      <c r="E452" s="326">
        <v>36</v>
      </c>
      <c r="F452" s="48">
        <f t="shared" si="13"/>
        <v>0</v>
      </c>
    </row>
    <row r="453" spans="1:6" ht="14.4" x14ac:dyDescent="0.3">
      <c r="A453" s="324"/>
      <c r="B453" s="324" t="s">
        <v>525</v>
      </c>
      <c r="C453" s="328" t="s">
        <v>115</v>
      </c>
      <c r="E453" s="326">
        <v>54</v>
      </c>
      <c r="F453" s="48">
        <f t="shared" si="13"/>
        <v>0</v>
      </c>
    </row>
    <row r="454" spans="1:6" ht="14.4" x14ac:dyDescent="0.3">
      <c r="A454" s="324"/>
      <c r="B454" s="324" t="s">
        <v>526</v>
      </c>
      <c r="C454" s="328" t="s">
        <v>115</v>
      </c>
      <c r="E454" s="326">
        <v>10.5</v>
      </c>
      <c r="F454" s="48">
        <f t="shared" si="13"/>
        <v>0</v>
      </c>
    </row>
    <row r="455" spans="1:6" ht="14.4" x14ac:dyDescent="0.3">
      <c r="A455" s="324"/>
      <c r="B455" s="324" t="s">
        <v>527</v>
      </c>
      <c r="C455" s="328" t="s">
        <v>115</v>
      </c>
      <c r="E455" s="326">
        <v>10</v>
      </c>
      <c r="F455" s="48">
        <f t="shared" si="13"/>
        <v>0</v>
      </c>
    </row>
    <row r="456" spans="1:6" ht="14.4" x14ac:dyDescent="0.3">
      <c r="A456" s="324"/>
      <c r="B456" s="324" t="s">
        <v>528</v>
      </c>
      <c r="C456" s="328" t="s">
        <v>115</v>
      </c>
      <c r="E456" s="326">
        <v>5.5</v>
      </c>
      <c r="F456" s="48">
        <f t="shared" si="13"/>
        <v>0</v>
      </c>
    </row>
    <row r="457" spans="1:6" ht="14.4" x14ac:dyDescent="0.3">
      <c r="A457" s="324"/>
      <c r="B457" s="324" t="s">
        <v>529</v>
      </c>
      <c r="C457" s="328" t="s">
        <v>115</v>
      </c>
      <c r="E457" s="326">
        <v>18</v>
      </c>
      <c r="F457" s="48">
        <f t="shared" si="13"/>
        <v>0</v>
      </c>
    </row>
    <row r="458" spans="1:6" ht="14.4" x14ac:dyDescent="0.3">
      <c r="A458" s="324"/>
      <c r="B458" s="324" t="s">
        <v>530</v>
      </c>
      <c r="C458" s="328" t="s">
        <v>115</v>
      </c>
      <c r="E458" s="326">
        <v>4.5</v>
      </c>
      <c r="F458" s="48">
        <f t="shared" si="13"/>
        <v>0</v>
      </c>
    </row>
    <row r="459" spans="1:6" ht="14.4" x14ac:dyDescent="0.3">
      <c r="A459" s="324"/>
      <c r="B459" s="324" t="s">
        <v>531</v>
      </c>
      <c r="C459" s="328" t="s">
        <v>115</v>
      </c>
      <c r="E459" s="326">
        <v>6.5</v>
      </c>
      <c r="F459" s="48">
        <f t="shared" si="13"/>
        <v>0</v>
      </c>
    </row>
    <row r="460" spans="1:6" ht="14.4" x14ac:dyDescent="0.3">
      <c r="A460" s="324"/>
      <c r="B460" s="324" t="s">
        <v>532</v>
      </c>
      <c r="C460" s="328" t="s">
        <v>115</v>
      </c>
      <c r="E460" s="326">
        <v>25.5</v>
      </c>
      <c r="F460" s="48">
        <f t="shared" si="13"/>
        <v>0</v>
      </c>
    </row>
    <row r="461" spans="1:6" ht="14.4" x14ac:dyDescent="0.3">
      <c r="A461" s="324"/>
      <c r="B461" s="324" t="s">
        <v>533</v>
      </c>
      <c r="C461" s="328" t="s">
        <v>115</v>
      </c>
      <c r="E461" s="326">
        <v>22.5</v>
      </c>
      <c r="F461" s="48">
        <f t="shared" si="13"/>
        <v>0</v>
      </c>
    </row>
    <row r="462" spans="1:6" ht="14.4" x14ac:dyDescent="0.3">
      <c r="A462" s="324"/>
      <c r="B462" s="324" t="s">
        <v>534</v>
      </c>
      <c r="C462" s="328" t="s">
        <v>115</v>
      </c>
      <c r="E462" s="326">
        <v>8.5</v>
      </c>
      <c r="F462" s="48">
        <f t="shared" si="13"/>
        <v>0</v>
      </c>
    </row>
    <row r="463" spans="1:6" ht="14.4" x14ac:dyDescent="0.3">
      <c r="A463" s="324"/>
      <c r="B463" s="324" t="s">
        <v>535</v>
      </c>
      <c r="C463" s="328" t="s">
        <v>115</v>
      </c>
      <c r="E463" s="326">
        <v>6.5</v>
      </c>
      <c r="F463" s="48">
        <f t="shared" si="13"/>
        <v>0</v>
      </c>
    </row>
    <row r="464" spans="1:6" ht="14.4" x14ac:dyDescent="0.3">
      <c r="A464" s="324"/>
      <c r="B464" s="324" t="s">
        <v>536</v>
      </c>
      <c r="C464" s="328" t="s">
        <v>115</v>
      </c>
      <c r="E464" s="326">
        <v>10.5</v>
      </c>
      <c r="F464" s="48">
        <f t="shared" si="13"/>
        <v>0</v>
      </c>
    </row>
    <row r="465" spans="1:6" ht="14.4" x14ac:dyDescent="0.3">
      <c r="A465" s="324"/>
      <c r="B465" s="324" t="s">
        <v>537</v>
      </c>
      <c r="C465" s="328" t="s">
        <v>115</v>
      </c>
      <c r="E465" s="326">
        <v>0</v>
      </c>
      <c r="F465" s="48">
        <f t="shared" si="13"/>
        <v>0</v>
      </c>
    </row>
    <row r="466" spans="1:6" ht="14.4" x14ac:dyDescent="0.3">
      <c r="A466" s="324"/>
      <c r="B466" s="324" t="s">
        <v>538</v>
      </c>
      <c r="C466" s="328" t="s">
        <v>115</v>
      </c>
      <c r="E466" s="326">
        <v>4.5</v>
      </c>
      <c r="F466" s="48">
        <f t="shared" si="13"/>
        <v>0</v>
      </c>
    </row>
    <row r="467" spans="1:6" ht="14.4" x14ac:dyDescent="0.3">
      <c r="A467" s="324"/>
      <c r="B467" s="324" t="s">
        <v>539</v>
      </c>
      <c r="C467" s="328" t="s">
        <v>115</v>
      </c>
      <c r="E467" s="326">
        <v>4</v>
      </c>
      <c r="F467" s="48">
        <f t="shared" si="13"/>
        <v>0</v>
      </c>
    </row>
    <row r="468" spans="1:6" ht="14.4" x14ac:dyDescent="0.3">
      <c r="A468" s="324"/>
      <c r="B468" s="324" t="s">
        <v>540</v>
      </c>
      <c r="C468" s="328" t="s">
        <v>115</v>
      </c>
      <c r="E468" s="326">
        <v>17</v>
      </c>
      <c r="F468" s="48">
        <f t="shared" si="13"/>
        <v>0</v>
      </c>
    </row>
    <row r="469" spans="1:6" ht="14.4" x14ac:dyDescent="0.3">
      <c r="A469" s="324"/>
      <c r="B469" s="324" t="s">
        <v>541</v>
      </c>
      <c r="C469" s="328" t="s">
        <v>115</v>
      </c>
      <c r="E469" s="326">
        <v>17.5</v>
      </c>
      <c r="F469" s="48">
        <f t="shared" si="13"/>
        <v>0</v>
      </c>
    </row>
    <row r="470" spans="1:6" ht="14.4" x14ac:dyDescent="0.3">
      <c r="A470" s="324"/>
      <c r="B470" s="324" t="s">
        <v>542</v>
      </c>
      <c r="C470" s="328" t="s">
        <v>115</v>
      </c>
      <c r="E470" s="326">
        <v>4.5</v>
      </c>
      <c r="F470" s="48">
        <f t="shared" si="13"/>
        <v>0</v>
      </c>
    </row>
    <row r="471" spans="1:6" ht="14.4" x14ac:dyDescent="0.3">
      <c r="A471" s="324"/>
      <c r="B471" s="324" t="s">
        <v>543</v>
      </c>
      <c r="C471" s="328" t="s">
        <v>115</v>
      </c>
      <c r="E471" s="326">
        <v>2</v>
      </c>
      <c r="F471" s="48">
        <f t="shared" si="13"/>
        <v>0</v>
      </c>
    </row>
    <row r="472" spans="1:6" ht="14.4" x14ac:dyDescent="0.3">
      <c r="A472" s="324"/>
      <c r="B472" s="324" t="s">
        <v>544</v>
      </c>
      <c r="C472" s="328" t="s">
        <v>115</v>
      </c>
      <c r="E472" s="326">
        <v>8.5</v>
      </c>
      <c r="F472" s="48">
        <f t="shared" si="13"/>
        <v>0</v>
      </c>
    </row>
    <row r="473" spans="1:6" ht="14.4" x14ac:dyDescent="0.3">
      <c r="A473" s="420" t="s">
        <v>498</v>
      </c>
      <c r="B473" s="324"/>
      <c r="C473" s="328" t="s">
        <v>115</v>
      </c>
      <c r="E473" s="326">
        <v>4</v>
      </c>
      <c r="F473" s="48">
        <f t="shared" si="13"/>
        <v>0</v>
      </c>
    </row>
    <row r="474" spans="1:6" ht="14.4" x14ac:dyDescent="0.3">
      <c r="A474" s="324"/>
      <c r="B474" s="324" t="s">
        <v>545</v>
      </c>
      <c r="C474" s="328"/>
      <c r="E474" s="326"/>
      <c r="F474" s="48">
        <f t="shared" si="13"/>
        <v>0</v>
      </c>
    </row>
    <row r="475" spans="1:6" ht="14.4" x14ac:dyDescent="0.3">
      <c r="A475" s="324"/>
      <c r="B475" s="324" t="s">
        <v>546</v>
      </c>
      <c r="C475" s="328" t="s">
        <v>115</v>
      </c>
      <c r="E475" s="326">
        <v>137</v>
      </c>
      <c r="F475" s="48">
        <f t="shared" si="13"/>
        <v>0</v>
      </c>
    </row>
    <row r="476" spans="1:6" ht="14.4" x14ac:dyDescent="0.3">
      <c r="A476" s="324"/>
      <c r="B476" s="324" t="s">
        <v>547</v>
      </c>
      <c r="C476" s="328" t="s">
        <v>115</v>
      </c>
      <c r="E476" s="326">
        <v>139.5</v>
      </c>
      <c r="F476" s="48">
        <f t="shared" si="13"/>
        <v>0</v>
      </c>
    </row>
    <row r="477" spans="1:6" ht="14.4" x14ac:dyDescent="0.3">
      <c r="A477" s="324"/>
      <c r="B477" s="324" t="s">
        <v>548</v>
      </c>
      <c r="C477" s="328" t="s">
        <v>115</v>
      </c>
      <c r="E477" s="326">
        <v>183</v>
      </c>
      <c r="F477" s="48">
        <f t="shared" ref="F477:F540" si="14">E477*D477</f>
        <v>0</v>
      </c>
    </row>
    <row r="478" spans="1:6" ht="14.4" x14ac:dyDescent="0.3">
      <c r="A478" s="324"/>
      <c r="B478" s="324" t="s">
        <v>549</v>
      </c>
      <c r="C478" s="328" t="s">
        <v>115</v>
      </c>
      <c r="E478" s="326">
        <v>184.5</v>
      </c>
      <c r="F478" s="48">
        <f t="shared" si="14"/>
        <v>0</v>
      </c>
    </row>
    <row r="479" spans="1:6" ht="14.4" x14ac:dyDescent="0.3">
      <c r="A479" s="324"/>
      <c r="B479" s="324" t="s">
        <v>550</v>
      </c>
      <c r="C479" s="328" t="s">
        <v>115</v>
      </c>
      <c r="E479" s="326">
        <v>56</v>
      </c>
      <c r="F479" s="48">
        <f t="shared" si="14"/>
        <v>0</v>
      </c>
    </row>
    <row r="480" spans="1:6" ht="14.4" x14ac:dyDescent="0.3">
      <c r="A480" s="324"/>
      <c r="B480" s="324" t="s">
        <v>551</v>
      </c>
      <c r="C480" s="328" t="s">
        <v>115</v>
      </c>
      <c r="E480" s="326">
        <v>103</v>
      </c>
      <c r="F480" s="48">
        <f t="shared" si="14"/>
        <v>0</v>
      </c>
    </row>
    <row r="481" spans="1:6" ht="14.4" x14ac:dyDescent="0.3">
      <c r="A481" s="324"/>
      <c r="B481" s="324" t="s">
        <v>552</v>
      </c>
      <c r="C481" s="328" t="s">
        <v>115</v>
      </c>
      <c r="E481" s="326">
        <v>95</v>
      </c>
      <c r="F481" s="48">
        <f t="shared" si="14"/>
        <v>0</v>
      </c>
    </row>
    <row r="482" spans="1:6" ht="14.4" x14ac:dyDescent="0.3">
      <c r="A482" s="324"/>
      <c r="B482" s="420" t="s">
        <v>558</v>
      </c>
      <c r="C482" s="328" t="s">
        <v>115</v>
      </c>
      <c r="E482" s="326">
        <v>99.5</v>
      </c>
      <c r="F482" s="48">
        <f t="shared" si="14"/>
        <v>0</v>
      </c>
    </row>
    <row r="483" spans="1:6" ht="14.4" x14ac:dyDescent="0.3">
      <c r="A483" s="324"/>
      <c r="B483" s="324" t="s">
        <v>559</v>
      </c>
      <c r="C483" s="328" t="s">
        <v>115</v>
      </c>
      <c r="E483" s="326">
        <v>33.5</v>
      </c>
      <c r="F483" s="48">
        <f t="shared" si="14"/>
        <v>0</v>
      </c>
    </row>
    <row r="484" spans="1:6" ht="14.4" x14ac:dyDescent="0.3">
      <c r="A484" s="324"/>
      <c r="B484" s="420" t="s">
        <v>560</v>
      </c>
      <c r="C484" s="328" t="s">
        <v>115</v>
      </c>
      <c r="E484" s="326">
        <v>33</v>
      </c>
      <c r="F484" s="48">
        <f t="shared" si="14"/>
        <v>0</v>
      </c>
    </row>
    <row r="485" spans="1:6" ht="14.4" x14ac:dyDescent="0.3">
      <c r="A485" s="324"/>
      <c r="B485" s="324" t="s">
        <v>561</v>
      </c>
      <c r="C485" s="328" t="s">
        <v>115</v>
      </c>
      <c r="E485" s="326">
        <v>60.5</v>
      </c>
      <c r="F485" s="48">
        <f t="shared" si="14"/>
        <v>0</v>
      </c>
    </row>
    <row r="486" spans="1:6" ht="14.4" x14ac:dyDescent="0.3">
      <c r="A486" s="324"/>
      <c r="B486" s="324" t="s">
        <v>562</v>
      </c>
      <c r="C486" s="328" t="s">
        <v>115</v>
      </c>
      <c r="E486" s="326">
        <v>61</v>
      </c>
      <c r="F486" s="48">
        <f t="shared" si="14"/>
        <v>0</v>
      </c>
    </row>
    <row r="487" spans="1:6" ht="14.4" x14ac:dyDescent="0.3">
      <c r="A487" s="324"/>
      <c r="B487" s="324" t="s">
        <v>563</v>
      </c>
      <c r="C487" s="328" t="s">
        <v>115</v>
      </c>
      <c r="E487" s="326">
        <v>65</v>
      </c>
      <c r="F487" s="48">
        <f t="shared" si="14"/>
        <v>0</v>
      </c>
    </row>
    <row r="488" spans="1:6" ht="14.4" x14ac:dyDescent="0.3">
      <c r="A488" s="324"/>
      <c r="B488" s="324" t="s">
        <v>564</v>
      </c>
      <c r="C488" s="328" t="s">
        <v>115</v>
      </c>
      <c r="E488" s="326">
        <v>65</v>
      </c>
      <c r="F488" s="48">
        <f t="shared" si="14"/>
        <v>0</v>
      </c>
    </row>
    <row r="489" spans="1:6" ht="14.4" x14ac:dyDescent="0.3">
      <c r="A489" s="324"/>
      <c r="B489" s="324" t="s">
        <v>565</v>
      </c>
      <c r="C489" s="328" t="s">
        <v>115</v>
      </c>
      <c r="E489" s="326">
        <v>65</v>
      </c>
      <c r="F489" s="48">
        <f t="shared" si="14"/>
        <v>0</v>
      </c>
    </row>
    <row r="490" spans="1:6" ht="14.4" x14ac:dyDescent="0.3">
      <c r="A490" s="324"/>
      <c r="B490" s="324" t="s">
        <v>566</v>
      </c>
      <c r="C490" s="328" t="s">
        <v>115</v>
      </c>
      <c r="E490" s="326">
        <v>65</v>
      </c>
      <c r="F490" s="48">
        <f t="shared" si="14"/>
        <v>0</v>
      </c>
    </row>
    <row r="491" spans="1:6" ht="14.4" x14ac:dyDescent="0.3">
      <c r="A491" s="324"/>
      <c r="B491" s="324" t="s">
        <v>567</v>
      </c>
      <c r="C491" s="328" t="s">
        <v>115</v>
      </c>
      <c r="E491" s="326">
        <v>45</v>
      </c>
      <c r="F491" s="48">
        <f t="shared" si="14"/>
        <v>0</v>
      </c>
    </row>
    <row r="492" spans="1:6" ht="14.4" x14ac:dyDescent="0.3">
      <c r="A492" s="324"/>
      <c r="B492" s="324" t="s">
        <v>568</v>
      </c>
      <c r="C492" s="328" t="s">
        <v>115</v>
      </c>
      <c r="E492" s="326">
        <v>55</v>
      </c>
      <c r="F492" s="48">
        <f t="shared" si="14"/>
        <v>0</v>
      </c>
    </row>
    <row r="493" spans="1:6" ht="14.4" x14ac:dyDescent="0.3">
      <c r="A493" s="324"/>
      <c r="B493" s="420" t="s">
        <v>569</v>
      </c>
      <c r="C493" s="328" t="s">
        <v>115</v>
      </c>
      <c r="E493" s="326">
        <v>55</v>
      </c>
      <c r="F493" s="48">
        <f t="shared" si="14"/>
        <v>0</v>
      </c>
    </row>
    <row r="494" spans="1:6" ht="14.4" x14ac:dyDescent="0.3">
      <c r="A494" s="324"/>
      <c r="B494" s="324" t="s">
        <v>570</v>
      </c>
      <c r="C494" s="328" t="s">
        <v>115</v>
      </c>
      <c r="E494" s="326">
        <v>21.5</v>
      </c>
      <c r="F494" s="48">
        <f t="shared" si="14"/>
        <v>0</v>
      </c>
    </row>
    <row r="495" spans="1:6" ht="14.4" x14ac:dyDescent="0.3">
      <c r="A495" s="324"/>
      <c r="B495" s="324" t="s">
        <v>571</v>
      </c>
      <c r="C495" s="328" t="s">
        <v>115</v>
      </c>
      <c r="E495" s="326">
        <v>25</v>
      </c>
      <c r="F495" s="48">
        <f t="shared" si="14"/>
        <v>0</v>
      </c>
    </row>
    <row r="496" spans="1:6" ht="14.4" x14ac:dyDescent="0.3">
      <c r="A496" s="324"/>
      <c r="B496" s="324" t="s">
        <v>572</v>
      </c>
      <c r="C496" s="328" t="s">
        <v>115</v>
      </c>
      <c r="E496" s="326">
        <v>22</v>
      </c>
      <c r="F496" s="48">
        <f t="shared" si="14"/>
        <v>0</v>
      </c>
    </row>
    <row r="497" spans="1:6" ht="14.4" x14ac:dyDescent="0.3">
      <c r="A497" s="324"/>
      <c r="B497" s="324" t="s">
        <v>573</v>
      </c>
      <c r="C497" s="328" t="s">
        <v>115</v>
      </c>
      <c r="E497" s="326">
        <v>22</v>
      </c>
      <c r="F497" s="48">
        <f t="shared" si="14"/>
        <v>0</v>
      </c>
    </row>
    <row r="498" spans="1:6" ht="14.4" x14ac:dyDescent="0.3">
      <c r="A498" s="324"/>
      <c r="B498" s="324" t="s">
        <v>574</v>
      </c>
      <c r="C498" s="328" t="s">
        <v>115</v>
      </c>
      <c r="E498" s="326">
        <v>22</v>
      </c>
      <c r="F498" s="48">
        <f t="shared" si="14"/>
        <v>0</v>
      </c>
    </row>
    <row r="499" spans="1:6" ht="14.4" x14ac:dyDescent="0.3">
      <c r="A499" s="324"/>
      <c r="B499" s="324" t="s">
        <v>575</v>
      </c>
      <c r="C499" s="328" t="s">
        <v>115</v>
      </c>
      <c r="E499" s="326">
        <v>78</v>
      </c>
      <c r="F499" s="48">
        <f t="shared" si="14"/>
        <v>0</v>
      </c>
    </row>
    <row r="500" spans="1:6" ht="14.4" x14ac:dyDescent="0.3">
      <c r="A500" s="324"/>
      <c r="B500" s="324" t="s">
        <v>576</v>
      </c>
      <c r="C500" s="328" t="s">
        <v>115</v>
      </c>
      <c r="E500" s="326">
        <v>89</v>
      </c>
      <c r="F500" s="48">
        <f t="shared" si="14"/>
        <v>0</v>
      </c>
    </row>
    <row r="501" spans="1:6" ht="14.4" x14ac:dyDescent="0.3">
      <c r="A501" s="324"/>
      <c r="B501" s="324" t="s">
        <v>577</v>
      </c>
      <c r="C501" s="328" t="s">
        <v>115</v>
      </c>
      <c r="E501" s="326">
        <v>21</v>
      </c>
      <c r="F501" s="48">
        <f t="shared" si="14"/>
        <v>0</v>
      </c>
    </row>
    <row r="502" spans="1:6" ht="14.4" x14ac:dyDescent="0.3">
      <c r="A502" s="324"/>
      <c r="B502" s="324" t="s">
        <v>578</v>
      </c>
      <c r="C502" s="328" t="s">
        <v>115</v>
      </c>
      <c r="E502" s="326">
        <v>21</v>
      </c>
      <c r="F502" s="48">
        <f t="shared" si="14"/>
        <v>0</v>
      </c>
    </row>
    <row r="503" spans="1:6" ht="14.4" x14ac:dyDescent="0.3">
      <c r="A503" s="324"/>
      <c r="B503" s="324" t="s">
        <v>579</v>
      </c>
      <c r="C503" s="328" t="s">
        <v>115</v>
      </c>
      <c r="E503" s="326">
        <v>0</v>
      </c>
      <c r="F503" s="48">
        <f t="shared" si="14"/>
        <v>0</v>
      </c>
    </row>
    <row r="504" spans="1:6" ht="14.4" x14ac:dyDescent="0.3">
      <c r="A504" s="324"/>
      <c r="B504" s="324" t="s">
        <v>580</v>
      </c>
      <c r="C504" s="328" t="s">
        <v>115</v>
      </c>
      <c r="E504" s="326">
        <v>0</v>
      </c>
      <c r="F504" s="48">
        <f t="shared" si="14"/>
        <v>0</v>
      </c>
    </row>
    <row r="505" spans="1:6" ht="14.4" x14ac:dyDescent="0.3">
      <c r="A505" s="324"/>
      <c r="B505" s="420" t="s">
        <v>581</v>
      </c>
      <c r="C505" s="328" t="s">
        <v>115</v>
      </c>
      <c r="E505" s="326">
        <v>0</v>
      </c>
      <c r="F505" s="48">
        <f t="shared" si="14"/>
        <v>0</v>
      </c>
    </row>
    <row r="506" spans="1:6" ht="14.4" x14ac:dyDescent="0.3">
      <c r="A506" s="324"/>
      <c r="B506" s="324" t="s">
        <v>582</v>
      </c>
      <c r="C506" s="328" t="s">
        <v>115</v>
      </c>
      <c r="E506" s="326">
        <v>0</v>
      </c>
      <c r="F506" s="48">
        <f t="shared" si="14"/>
        <v>0</v>
      </c>
    </row>
    <row r="507" spans="1:6" ht="14.4" x14ac:dyDescent="0.3">
      <c r="A507" s="324"/>
      <c r="B507" s="324" t="s">
        <v>583</v>
      </c>
      <c r="C507" s="328" t="s">
        <v>115</v>
      </c>
      <c r="E507" s="326">
        <v>0</v>
      </c>
      <c r="F507" s="48">
        <f t="shared" si="14"/>
        <v>0</v>
      </c>
    </row>
    <row r="508" spans="1:6" ht="14.4" x14ac:dyDescent="0.3">
      <c r="A508" s="324"/>
      <c r="B508" s="324" t="s">
        <v>584</v>
      </c>
      <c r="C508" s="328" t="s">
        <v>115</v>
      </c>
      <c r="E508" s="326">
        <v>0</v>
      </c>
      <c r="F508" s="48">
        <f t="shared" si="14"/>
        <v>0</v>
      </c>
    </row>
    <row r="509" spans="1:6" ht="14.4" x14ac:dyDescent="0.3">
      <c r="A509" s="324"/>
      <c r="B509" s="324" t="s">
        <v>585</v>
      </c>
      <c r="C509" s="328" t="s">
        <v>115</v>
      </c>
      <c r="E509" s="326">
        <v>0</v>
      </c>
      <c r="F509" s="48">
        <f t="shared" si="14"/>
        <v>0</v>
      </c>
    </row>
    <row r="510" spans="1:6" ht="14.4" x14ac:dyDescent="0.3">
      <c r="A510" s="324"/>
      <c r="B510" s="324" t="s">
        <v>586</v>
      </c>
      <c r="C510" s="328" t="s">
        <v>115</v>
      </c>
      <c r="E510" s="326">
        <v>0</v>
      </c>
      <c r="F510" s="48">
        <f t="shared" si="14"/>
        <v>0</v>
      </c>
    </row>
    <row r="511" spans="1:6" ht="14.4" x14ac:dyDescent="0.3">
      <c r="A511" s="324"/>
      <c r="B511" s="324" t="s">
        <v>587</v>
      </c>
      <c r="C511" s="328" t="s">
        <v>115</v>
      </c>
      <c r="E511" s="326">
        <v>0</v>
      </c>
      <c r="F511" s="48">
        <f t="shared" si="14"/>
        <v>0</v>
      </c>
    </row>
    <row r="512" spans="1:6" ht="14.4" x14ac:dyDescent="0.3">
      <c r="A512" s="324"/>
      <c r="B512" s="324" t="s">
        <v>588</v>
      </c>
      <c r="C512" s="328" t="s">
        <v>115</v>
      </c>
      <c r="E512" s="326">
        <v>0</v>
      </c>
      <c r="F512" s="48">
        <f t="shared" si="14"/>
        <v>0</v>
      </c>
    </row>
    <row r="513" spans="1:6" ht="14.4" x14ac:dyDescent="0.3">
      <c r="A513" s="324"/>
      <c r="B513" s="324" t="s">
        <v>589</v>
      </c>
      <c r="C513" s="328" t="s">
        <v>115</v>
      </c>
      <c r="E513" s="326">
        <v>0</v>
      </c>
      <c r="F513" s="48">
        <f t="shared" si="14"/>
        <v>0</v>
      </c>
    </row>
    <row r="514" spans="1:6" ht="14.4" x14ac:dyDescent="0.3">
      <c r="A514" s="324"/>
      <c r="B514" s="324" t="s">
        <v>590</v>
      </c>
      <c r="C514" s="328" t="s">
        <v>115</v>
      </c>
      <c r="E514" s="326">
        <v>0</v>
      </c>
      <c r="F514" s="48">
        <f t="shared" si="14"/>
        <v>0</v>
      </c>
    </row>
    <row r="515" spans="1:6" ht="14.4" x14ac:dyDescent="0.3">
      <c r="A515" s="324"/>
      <c r="B515" s="324" t="s">
        <v>591</v>
      </c>
      <c r="C515" s="328" t="s">
        <v>115</v>
      </c>
      <c r="E515" s="326">
        <v>0</v>
      </c>
      <c r="F515" s="48">
        <f t="shared" si="14"/>
        <v>0</v>
      </c>
    </row>
    <row r="516" spans="1:6" ht="14.4" x14ac:dyDescent="0.3">
      <c r="A516" s="324"/>
      <c r="B516" s="324" t="s">
        <v>592</v>
      </c>
      <c r="C516" s="328" t="s">
        <v>115</v>
      </c>
      <c r="E516" s="326">
        <v>0</v>
      </c>
      <c r="F516" s="48">
        <f t="shared" si="14"/>
        <v>0</v>
      </c>
    </row>
    <row r="517" spans="1:6" ht="14.4" x14ac:dyDescent="0.3">
      <c r="A517" s="324"/>
      <c r="B517" s="324" t="s">
        <v>593</v>
      </c>
      <c r="C517" s="328" t="s">
        <v>115</v>
      </c>
      <c r="E517" s="326">
        <v>0</v>
      </c>
      <c r="F517" s="48">
        <f t="shared" si="14"/>
        <v>0</v>
      </c>
    </row>
    <row r="518" spans="1:6" ht="14.4" x14ac:dyDescent="0.3">
      <c r="A518" s="324"/>
      <c r="B518" s="324" t="s">
        <v>594</v>
      </c>
      <c r="C518" s="328" t="s">
        <v>115</v>
      </c>
      <c r="E518" s="326">
        <v>0</v>
      </c>
      <c r="F518" s="48">
        <f t="shared" si="14"/>
        <v>0</v>
      </c>
    </row>
    <row r="519" spans="1:6" ht="14.4" x14ac:dyDescent="0.3">
      <c r="A519" s="324"/>
      <c r="B519" s="324" t="s">
        <v>595</v>
      </c>
      <c r="C519" s="328" t="s">
        <v>115</v>
      </c>
      <c r="E519" s="326">
        <v>0</v>
      </c>
      <c r="F519" s="48">
        <f t="shared" si="14"/>
        <v>0</v>
      </c>
    </row>
    <row r="520" spans="1:6" ht="14.4" x14ac:dyDescent="0.3">
      <c r="A520" s="324"/>
      <c r="B520" s="324" t="s">
        <v>596</v>
      </c>
      <c r="C520" s="328" t="s">
        <v>115</v>
      </c>
      <c r="E520" s="326">
        <v>0</v>
      </c>
      <c r="F520" s="48">
        <f t="shared" si="14"/>
        <v>0</v>
      </c>
    </row>
    <row r="521" spans="1:6" ht="14.4" x14ac:dyDescent="0.3">
      <c r="A521" s="324"/>
      <c r="B521" s="324" t="s">
        <v>597</v>
      </c>
      <c r="C521" s="328" t="s">
        <v>115</v>
      </c>
      <c r="E521" s="326">
        <v>0</v>
      </c>
      <c r="F521" s="48">
        <f t="shared" si="14"/>
        <v>0</v>
      </c>
    </row>
    <row r="522" spans="1:6" ht="14.4" x14ac:dyDescent="0.3">
      <c r="A522" s="324"/>
      <c r="B522" s="324" t="s">
        <v>598</v>
      </c>
      <c r="C522" s="328" t="s">
        <v>115</v>
      </c>
      <c r="E522" s="326">
        <v>0</v>
      </c>
      <c r="F522" s="48">
        <f t="shared" si="14"/>
        <v>0</v>
      </c>
    </row>
    <row r="523" spans="1:6" ht="14.4" x14ac:dyDescent="0.3">
      <c r="A523" s="324"/>
      <c r="B523" s="324" t="s">
        <v>599</v>
      </c>
      <c r="C523" s="328" t="s">
        <v>115</v>
      </c>
      <c r="E523" s="326">
        <v>0</v>
      </c>
      <c r="F523" s="48">
        <f t="shared" si="14"/>
        <v>0</v>
      </c>
    </row>
    <row r="524" spans="1:6" ht="14.4" x14ac:dyDescent="0.3">
      <c r="A524" s="324"/>
      <c r="B524" s="324" t="s">
        <v>600</v>
      </c>
      <c r="C524" s="328" t="s">
        <v>115</v>
      </c>
      <c r="E524" s="326">
        <v>0</v>
      </c>
      <c r="F524" s="48">
        <f t="shared" si="14"/>
        <v>0</v>
      </c>
    </row>
    <row r="525" spans="1:6" ht="14.4" x14ac:dyDescent="0.3">
      <c r="A525" s="324"/>
      <c r="B525" s="324" t="s">
        <v>601</v>
      </c>
      <c r="C525" s="328" t="s">
        <v>115</v>
      </c>
      <c r="E525" s="326">
        <v>0</v>
      </c>
      <c r="F525" s="48">
        <f t="shared" si="14"/>
        <v>0</v>
      </c>
    </row>
    <row r="526" spans="1:6" ht="14.4" x14ac:dyDescent="0.3">
      <c r="A526" s="324"/>
      <c r="B526" s="324" t="s">
        <v>602</v>
      </c>
      <c r="C526" s="328" t="s">
        <v>115</v>
      </c>
      <c r="E526" s="326">
        <v>0</v>
      </c>
      <c r="F526" s="48">
        <f t="shared" si="14"/>
        <v>0</v>
      </c>
    </row>
    <row r="527" spans="1:6" ht="14.4" x14ac:dyDescent="0.3">
      <c r="A527" s="324"/>
      <c r="B527" s="324" t="s">
        <v>603</v>
      </c>
      <c r="C527" s="328" t="s">
        <v>115</v>
      </c>
      <c r="E527" s="326">
        <v>0</v>
      </c>
      <c r="F527" s="48">
        <f t="shared" si="14"/>
        <v>0</v>
      </c>
    </row>
    <row r="528" spans="1:6" ht="14.4" x14ac:dyDescent="0.3">
      <c r="A528" s="324"/>
      <c r="B528" s="420" t="s">
        <v>604</v>
      </c>
      <c r="C528" s="328" t="s">
        <v>115</v>
      </c>
      <c r="E528" s="326">
        <v>0</v>
      </c>
      <c r="F528" s="48">
        <f t="shared" si="14"/>
        <v>0</v>
      </c>
    </row>
    <row r="529" spans="1:6" ht="14.4" x14ac:dyDescent="0.3">
      <c r="A529" s="324"/>
      <c r="B529" s="324" t="s">
        <v>605</v>
      </c>
      <c r="C529" s="328" t="s">
        <v>115</v>
      </c>
      <c r="E529" s="326">
        <v>0</v>
      </c>
      <c r="F529" s="48">
        <f t="shared" si="14"/>
        <v>0</v>
      </c>
    </row>
    <row r="530" spans="1:6" ht="14.4" x14ac:dyDescent="0.3">
      <c r="A530" s="324"/>
      <c r="B530" s="324" t="s">
        <v>606</v>
      </c>
      <c r="C530" s="328" t="s">
        <v>115</v>
      </c>
      <c r="E530" s="326">
        <v>0</v>
      </c>
      <c r="F530" s="48">
        <f t="shared" si="14"/>
        <v>0</v>
      </c>
    </row>
    <row r="531" spans="1:6" ht="14.4" x14ac:dyDescent="0.3">
      <c r="A531" s="324"/>
      <c r="B531" s="420" t="s">
        <v>607</v>
      </c>
      <c r="C531" s="328" t="s">
        <v>115</v>
      </c>
      <c r="E531" s="326">
        <v>0</v>
      </c>
      <c r="F531" s="48">
        <f t="shared" si="14"/>
        <v>0</v>
      </c>
    </row>
    <row r="532" spans="1:6" ht="14.4" x14ac:dyDescent="0.3">
      <c r="A532" s="324"/>
      <c r="B532" s="420" t="s">
        <v>608</v>
      </c>
      <c r="C532" s="328" t="s">
        <v>115</v>
      </c>
      <c r="E532" s="326">
        <v>0</v>
      </c>
      <c r="F532" s="48">
        <f t="shared" si="14"/>
        <v>0</v>
      </c>
    </row>
    <row r="533" spans="1:6" ht="14.4" x14ac:dyDescent="0.3">
      <c r="A533" s="324"/>
      <c r="B533" s="324" t="s">
        <v>609</v>
      </c>
      <c r="C533" s="328" t="s">
        <v>115</v>
      </c>
      <c r="E533" s="326">
        <v>18.54</v>
      </c>
      <c r="F533" s="48">
        <f t="shared" si="14"/>
        <v>0</v>
      </c>
    </row>
    <row r="534" spans="1:6" ht="14.4" x14ac:dyDescent="0.3">
      <c r="A534" s="324"/>
      <c r="B534" s="324" t="s">
        <v>610</v>
      </c>
      <c r="C534" s="328" t="s">
        <v>115</v>
      </c>
      <c r="E534" s="326">
        <v>0</v>
      </c>
      <c r="F534" s="48">
        <f t="shared" si="14"/>
        <v>0</v>
      </c>
    </row>
    <row r="535" spans="1:6" ht="14.4" x14ac:dyDescent="0.3">
      <c r="A535" s="324"/>
      <c r="B535" s="324" t="s">
        <v>611</v>
      </c>
      <c r="C535" s="328" t="s">
        <v>115</v>
      </c>
      <c r="E535" s="326">
        <v>0</v>
      </c>
      <c r="F535" s="48">
        <f t="shared" si="14"/>
        <v>0</v>
      </c>
    </row>
    <row r="536" spans="1:6" ht="14.4" x14ac:dyDescent="0.3">
      <c r="A536" s="324"/>
      <c r="B536" s="324" t="s">
        <v>612</v>
      </c>
      <c r="C536" s="328" t="s">
        <v>115</v>
      </c>
      <c r="E536" s="326">
        <v>18.350000000000001</v>
      </c>
      <c r="F536" s="48">
        <f t="shared" si="14"/>
        <v>0</v>
      </c>
    </row>
    <row r="537" spans="1:6" ht="14.4" x14ac:dyDescent="0.3">
      <c r="A537" s="324"/>
      <c r="B537" s="324" t="s">
        <v>613</v>
      </c>
      <c r="C537" s="328" t="s">
        <v>115</v>
      </c>
      <c r="E537" s="326">
        <v>0</v>
      </c>
      <c r="F537" s="48">
        <f t="shared" si="14"/>
        <v>0</v>
      </c>
    </row>
    <row r="538" spans="1:6" ht="14.4" x14ac:dyDescent="0.3">
      <c r="A538" s="324"/>
      <c r="B538" s="324" t="s">
        <v>614</v>
      </c>
      <c r="C538" s="328" t="s">
        <v>115</v>
      </c>
      <c r="E538" s="326">
        <v>0</v>
      </c>
      <c r="F538" s="48">
        <f t="shared" si="14"/>
        <v>0</v>
      </c>
    </row>
    <row r="539" spans="1:6" ht="14.4" x14ac:dyDescent="0.3">
      <c r="A539" s="324"/>
      <c r="B539" s="324" t="s">
        <v>615</v>
      </c>
      <c r="C539" s="328" t="s">
        <v>115</v>
      </c>
      <c r="E539" s="326">
        <v>0</v>
      </c>
      <c r="F539" s="48">
        <f t="shared" si="14"/>
        <v>0</v>
      </c>
    </row>
    <row r="540" spans="1:6" ht="14.4" x14ac:dyDescent="0.3">
      <c r="A540" s="324"/>
      <c r="B540" s="324" t="s">
        <v>616</v>
      </c>
      <c r="C540" s="328" t="s">
        <v>115</v>
      </c>
      <c r="E540" s="326">
        <v>0</v>
      </c>
      <c r="F540" s="48">
        <f t="shared" si="14"/>
        <v>0</v>
      </c>
    </row>
    <row r="541" spans="1:6" ht="14.4" x14ac:dyDescent="0.3">
      <c r="A541" s="324"/>
      <c r="B541" s="324" t="s">
        <v>617</v>
      </c>
      <c r="C541" s="328" t="s">
        <v>115</v>
      </c>
      <c r="E541" s="326">
        <v>0</v>
      </c>
      <c r="F541" s="48">
        <f t="shared" ref="F541:F604" si="15">E541*D541</f>
        <v>0</v>
      </c>
    </row>
    <row r="542" spans="1:6" ht="14.4" x14ac:dyDescent="0.3">
      <c r="A542" s="324"/>
      <c r="B542" s="420" t="s">
        <v>618</v>
      </c>
      <c r="C542" s="328" t="s">
        <v>115</v>
      </c>
      <c r="E542" s="326">
        <v>0</v>
      </c>
      <c r="F542" s="48">
        <f t="shared" si="15"/>
        <v>0</v>
      </c>
    </row>
    <row r="543" spans="1:6" ht="14.4" x14ac:dyDescent="0.3">
      <c r="A543" s="324"/>
      <c r="B543" s="324" t="s">
        <v>619</v>
      </c>
      <c r="C543" s="328" t="s">
        <v>115</v>
      </c>
      <c r="E543" s="326">
        <v>16.329999999999998</v>
      </c>
      <c r="F543" s="48">
        <f t="shared" si="15"/>
        <v>0</v>
      </c>
    </row>
    <row r="544" spans="1:6" ht="14.4" x14ac:dyDescent="0.3">
      <c r="A544" s="324"/>
      <c r="B544" s="324" t="s">
        <v>620</v>
      </c>
      <c r="C544" s="328" t="s">
        <v>115</v>
      </c>
      <c r="E544" s="326">
        <v>0</v>
      </c>
      <c r="F544" s="48">
        <f t="shared" si="15"/>
        <v>0</v>
      </c>
    </row>
    <row r="545" spans="1:6" ht="14.4" x14ac:dyDescent="0.3">
      <c r="A545" s="324"/>
      <c r="B545" s="324" t="s">
        <v>621</v>
      </c>
      <c r="C545" s="328" t="s">
        <v>115</v>
      </c>
      <c r="E545" s="326">
        <v>0</v>
      </c>
      <c r="F545" s="48">
        <f t="shared" si="15"/>
        <v>0</v>
      </c>
    </row>
    <row r="546" spans="1:6" ht="14.4" x14ac:dyDescent="0.3">
      <c r="A546" s="324"/>
      <c r="B546" s="324" t="s">
        <v>622</v>
      </c>
      <c r="C546" s="328" t="s">
        <v>115</v>
      </c>
      <c r="E546" s="326">
        <v>0</v>
      </c>
      <c r="F546" s="48">
        <f t="shared" si="15"/>
        <v>0</v>
      </c>
    </row>
    <row r="547" spans="1:6" ht="14.4" x14ac:dyDescent="0.3">
      <c r="A547" s="324"/>
      <c r="B547" s="324" t="s">
        <v>623</v>
      </c>
      <c r="C547" s="328" t="s">
        <v>115</v>
      </c>
      <c r="E547" s="326">
        <v>0</v>
      </c>
      <c r="F547" s="48">
        <f t="shared" si="15"/>
        <v>0</v>
      </c>
    </row>
    <row r="548" spans="1:6" ht="14.4" x14ac:dyDescent="0.3">
      <c r="A548" s="324"/>
      <c r="B548" s="324" t="s">
        <v>624</v>
      </c>
      <c r="C548" s="328" t="s">
        <v>115</v>
      </c>
      <c r="E548" s="326">
        <v>0</v>
      </c>
      <c r="F548" s="48">
        <f t="shared" si="15"/>
        <v>0</v>
      </c>
    </row>
    <row r="549" spans="1:6" ht="14.4" x14ac:dyDescent="0.3">
      <c r="A549" s="324"/>
      <c r="B549" s="324" t="s">
        <v>625</v>
      </c>
      <c r="C549" s="328" t="s">
        <v>115</v>
      </c>
      <c r="E549" s="326">
        <v>0</v>
      </c>
      <c r="F549" s="48">
        <f t="shared" si="15"/>
        <v>0</v>
      </c>
    </row>
    <row r="550" spans="1:6" ht="14.4" x14ac:dyDescent="0.3">
      <c r="A550" s="324"/>
      <c r="B550" s="324" t="s">
        <v>626</v>
      </c>
      <c r="C550" s="328" t="s">
        <v>115</v>
      </c>
      <c r="E550" s="326">
        <v>0</v>
      </c>
      <c r="F550" s="48">
        <f t="shared" si="15"/>
        <v>0</v>
      </c>
    </row>
    <row r="551" spans="1:6" ht="14.4" x14ac:dyDescent="0.3">
      <c r="A551" s="324"/>
      <c r="B551" s="324" t="s">
        <v>627</v>
      </c>
      <c r="C551" s="328" t="s">
        <v>115</v>
      </c>
      <c r="E551" s="326">
        <v>0</v>
      </c>
      <c r="F551" s="48">
        <f t="shared" si="15"/>
        <v>0</v>
      </c>
    </row>
    <row r="552" spans="1:6" ht="14.4" x14ac:dyDescent="0.3">
      <c r="A552" s="324"/>
      <c r="B552" s="324" t="s">
        <v>628</v>
      </c>
      <c r="C552" s="328" t="s">
        <v>115</v>
      </c>
      <c r="E552" s="326">
        <v>0</v>
      </c>
      <c r="F552" s="48">
        <f t="shared" si="15"/>
        <v>0</v>
      </c>
    </row>
    <row r="553" spans="1:6" ht="14.4" x14ac:dyDescent="0.3">
      <c r="A553" s="324"/>
      <c r="B553" s="324" t="s">
        <v>629</v>
      </c>
      <c r="C553" s="328" t="s">
        <v>115</v>
      </c>
      <c r="E553" s="326">
        <v>0</v>
      </c>
      <c r="F553" s="48">
        <f t="shared" si="15"/>
        <v>0</v>
      </c>
    </row>
    <row r="554" spans="1:6" ht="14.4" x14ac:dyDescent="0.3">
      <c r="A554" s="324"/>
      <c r="B554" s="324" t="s">
        <v>630</v>
      </c>
      <c r="C554" s="328" t="s">
        <v>115</v>
      </c>
      <c r="E554" s="326">
        <v>0</v>
      </c>
      <c r="F554" s="48">
        <f t="shared" si="15"/>
        <v>0</v>
      </c>
    </row>
    <row r="555" spans="1:6" ht="14.4" x14ac:dyDescent="0.3">
      <c r="A555" s="324"/>
      <c r="B555" s="324" t="s">
        <v>631</v>
      </c>
      <c r="C555" s="328" t="s">
        <v>115</v>
      </c>
      <c r="E555" s="326">
        <v>0</v>
      </c>
      <c r="F555" s="48">
        <f t="shared" si="15"/>
        <v>0</v>
      </c>
    </row>
    <row r="556" spans="1:6" ht="14.4" x14ac:dyDescent="0.3">
      <c r="A556" s="324"/>
      <c r="B556" s="324" t="s">
        <v>632</v>
      </c>
      <c r="C556" s="328" t="s">
        <v>115</v>
      </c>
      <c r="E556" s="326">
        <v>0</v>
      </c>
      <c r="F556" s="48">
        <f t="shared" si="15"/>
        <v>0</v>
      </c>
    </row>
    <row r="557" spans="1:6" ht="14.4" x14ac:dyDescent="0.3">
      <c r="A557" s="324"/>
      <c r="B557" s="324" t="s">
        <v>633</v>
      </c>
      <c r="C557" s="328" t="s">
        <v>115</v>
      </c>
      <c r="E557" s="326">
        <v>0</v>
      </c>
      <c r="F557" s="48">
        <f t="shared" si="15"/>
        <v>0</v>
      </c>
    </row>
    <row r="558" spans="1:6" ht="14.4" x14ac:dyDescent="0.3">
      <c r="A558" s="324"/>
      <c r="B558" s="324" t="s">
        <v>634</v>
      </c>
      <c r="C558" s="328" t="s">
        <v>115</v>
      </c>
      <c r="E558" s="326">
        <v>0</v>
      </c>
      <c r="F558" s="48">
        <f t="shared" si="15"/>
        <v>0</v>
      </c>
    </row>
    <row r="559" spans="1:6" ht="14.4" x14ac:dyDescent="0.3">
      <c r="A559" s="324"/>
      <c r="B559" s="324" t="s">
        <v>635</v>
      </c>
      <c r="C559" s="328" t="s">
        <v>115</v>
      </c>
      <c r="E559" s="326">
        <v>0</v>
      </c>
      <c r="F559" s="48">
        <f t="shared" si="15"/>
        <v>0</v>
      </c>
    </row>
    <row r="560" spans="1:6" ht="14.4" x14ac:dyDescent="0.3">
      <c r="A560" s="324"/>
      <c r="B560" s="324" t="s">
        <v>636</v>
      </c>
      <c r="C560" s="328" t="s">
        <v>115</v>
      </c>
      <c r="E560" s="326">
        <v>0</v>
      </c>
      <c r="F560" s="48">
        <f t="shared" si="15"/>
        <v>0</v>
      </c>
    </row>
    <row r="561" spans="1:6" ht="14.4" x14ac:dyDescent="0.3">
      <c r="A561" s="324"/>
      <c r="B561" s="324" t="s">
        <v>637</v>
      </c>
      <c r="C561" s="328" t="s">
        <v>115</v>
      </c>
      <c r="E561" s="326">
        <v>0</v>
      </c>
      <c r="F561" s="48">
        <f t="shared" si="15"/>
        <v>0</v>
      </c>
    </row>
    <row r="562" spans="1:6" ht="14.4" x14ac:dyDescent="0.3">
      <c r="A562" s="324"/>
      <c r="B562" s="324" t="s">
        <v>638</v>
      </c>
      <c r="C562" s="328" t="s">
        <v>115</v>
      </c>
      <c r="E562" s="326">
        <v>0</v>
      </c>
      <c r="F562" s="48">
        <f t="shared" si="15"/>
        <v>0</v>
      </c>
    </row>
    <row r="563" spans="1:6" ht="14.4" x14ac:dyDescent="0.3">
      <c r="A563" s="324"/>
      <c r="B563" s="324" t="s">
        <v>639</v>
      </c>
      <c r="C563" s="328" t="s">
        <v>115</v>
      </c>
      <c r="E563" s="326">
        <v>0</v>
      </c>
      <c r="F563" s="48">
        <f t="shared" si="15"/>
        <v>0</v>
      </c>
    </row>
    <row r="564" spans="1:6" ht="14.4" x14ac:dyDescent="0.3">
      <c r="A564" s="324"/>
      <c r="B564" s="324" t="s">
        <v>640</v>
      </c>
      <c r="C564" s="328" t="s">
        <v>115</v>
      </c>
      <c r="E564" s="326">
        <v>0</v>
      </c>
      <c r="F564" s="48">
        <f t="shared" si="15"/>
        <v>0</v>
      </c>
    </row>
    <row r="565" spans="1:6" ht="14.4" x14ac:dyDescent="0.3">
      <c r="A565" s="324"/>
      <c r="B565" s="324" t="s">
        <v>641</v>
      </c>
      <c r="C565" s="328" t="s">
        <v>115</v>
      </c>
      <c r="E565" s="326">
        <v>0</v>
      </c>
      <c r="F565" s="48">
        <f t="shared" si="15"/>
        <v>0</v>
      </c>
    </row>
    <row r="566" spans="1:6" ht="14.4" x14ac:dyDescent="0.3">
      <c r="A566" s="324"/>
      <c r="B566" s="324" t="s">
        <v>642</v>
      </c>
      <c r="C566" s="328" t="s">
        <v>115</v>
      </c>
      <c r="E566" s="326">
        <v>0</v>
      </c>
      <c r="F566" s="48">
        <f t="shared" si="15"/>
        <v>0</v>
      </c>
    </row>
    <row r="567" spans="1:6" ht="14.4" x14ac:dyDescent="0.3">
      <c r="A567" s="324"/>
      <c r="B567" s="324" t="s">
        <v>643</v>
      </c>
      <c r="C567" s="328" t="s">
        <v>115</v>
      </c>
      <c r="E567" s="326">
        <v>0</v>
      </c>
      <c r="F567" s="48">
        <f t="shared" si="15"/>
        <v>0</v>
      </c>
    </row>
    <row r="568" spans="1:6" ht="14.4" x14ac:dyDescent="0.3">
      <c r="A568" s="324"/>
      <c r="B568" s="324" t="s">
        <v>644</v>
      </c>
      <c r="C568" s="328" t="s">
        <v>115</v>
      </c>
      <c r="E568" s="326">
        <v>0</v>
      </c>
      <c r="F568" s="48">
        <f t="shared" si="15"/>
        <v>0</v>
      </c>
    </row>
    <row r="569" spans="1:6" ht="14.4" x14ac:dyDescent="0.3">
      <c r="A569" s="324"/>
      <c r="B569" s="324" t="s">
        <v>645</v>
      </c>
      <c r="C569" s="328" t="s">
        <v>115</v>
      </c>
      <c r="E569" s="326">
        <v>0</v>
      </c>
      <c r="F569" s="48">
        <f t="shared" si="15"/>
        <v>0</v>
      </c>
    </row>
    <row r="570" spans="1:6" ht="14.4" x14ac:dyDescent="0.3">
      <c r="A570" s="324"/>
      <c r="B570" s="324" t="s">
        <v>646</v>
      </c>
      <c r="C570" s="328" t="s">
        <v>115</v>
      </c>
      <c r="E570" s="326">
        <v>0</v>
      </c>
      <c r="F570" s="48">
        <f t="shared" si="15"/>
        <v>0</v>
      </c>
    </row>
    <row r="571" spans="1:6" ht="14.4" x14ac:dyDescent="0.3">
      <c r="A571" s="324"/>
      <c r="B571" s="324" t="s">
        <v>647</v>
      </c>
      <c r="C571" s="328" t="s">
        <v>115</v>
      </c>
      <c r="E571" s="326">
        <v>0</v>
      </c>
      <c r="F571" s="48">
        <f t="shared" si="15"/>
        <v>0</v>
      </c>
    </row>
    <row r="572" spans="1:6" ht="14.4" x14ac:dyDescent="0.3">
      <c r="A572" s="324"/>
      <c r="B572" s="324" t="s">
        <v>648</v>
      </c>
      <c r="C572" s="328" t="s">
        <v>115</v>
      </c>
      <c r="E572" s="326">
        <v>0</v>
      </c>
      <c r="F572" s="48">
        <f t="shared" si="15"/>
        <v>0</v>
      </c>
    </row>
    <row r="573" spans="1:6" ht="14.4" x14ac:dyDescent="0.3">
      <c r="A573" s="324"/>
      <c r="B573" s="324" t="s">
        <v>649</v>
      </c>
      <c r="C573" s="328" t="s">
        <v>115</v>
      </c>
      <c r="E573" s="326">
        <v>0</v>
      </c>
      <c r="F573" s="48">
        <f t="shared" si="15"/>
        <v>0</v>
      </c>
    </row>
    <row r="574" spans="1:6" ht="14.4" x14ac:dyDescent="0.3">
      <c r="A574" s="324"/>
      <c r="B574" s="324" t="s">
        <v>650</v>
      </c>
      <c r="C574" s="328" t="s">
        <v>115</v>
      </c>
      <c r="E574" s="326">
        <v>0</v>
      </c>
      <c r="F574" s="48">
        <f t="shared" si="15"/>
        <v>0</v>
      </c>
    </row>
    <row r="575" spans="1:6" ht="14.4" x14ac:dyDescent="0.3">
      <c r="A575" s="324"/>
      <c r="B575" s="324" t="s">
        <v>651</v>
      </c>
      <c r="C575" s="328" t="s">
        <v>115</v>
      </c>
      <c r="E575" s="326">
        <v>5.61</v>
      </c>
      <c r="F575" s="48">
        <f t="shared" si="15"/>
        <v>0</v>
      </c>
    </row>
    <row r="576" spans="1:6" ht="14.4" x14ac:dyDescent="0.3">
      <c r="A576" s="324"/>
      <c r="B576" s="324" t="s">
        <v>652</v>
      </c>
      <c r="C576" s="328" t="s">
        <v>115</v>
      </c>
      <c r="E576" s="326">
        <v>0</v>
      </c>
      <c r="F576" s="48">
        <f t="shared" si="15"/>
        <v>0</v>
      </c>
    </row>
    <row r="577" spans="1:6" ht="14.4" x14ac:dyDescent="0.3">
      <c r="A577" s="324"/>
      <c r="B577" s="324" t="s">
        <v>653</v>
      </c>
      <c r="C577" s="328" t="s">
        <v>115</v>
      </c>
      <c r="E577" s="326">
        <v>0</v>
      </c>
      <c r="F577" s="48">
        <f t="shared" si="15"/>
        <v>0</v>
      </c>
    </row>
    <row r="578" spans="1:6" ht="14.4" x14ac:dyDescent="0.3">
      <c r="A578" s="324"/>
      <c r="B578" s="324" t="s">
        <v>654</v>
      </c>
      <c r="C578" s="328" t="s">
        <v>115</v>
      </c>
      <c r="E578" s="326">
        <v>0</v>
      </c>
      <c r="F578" s="48">
        <f t="shared" si="15"/>
        <v>0</v>
      </c>
    </row>
    <row r="579" spans="1:6" ht="14.4" x14ac:dyDescent="0.3">
      <c r="A579" s="324"/>
      <c r="B579" s="324" t="s">
        <v>655</v>
      </c>
      <c r="C579" s="328" t="s">
        <v>115</v>
      </c>
      <c r="E579" s="326">
        <v>0</v>
      </c>
      <c r="F579" s="48">
        <f t="shared" si="15"/>
        <v>0</v>
      </c>
    </row>
    <row r="580" spans="1:6" ht="14.4" x14ac:dyDescent="0.3">
      <c r="A580" s="324"/>
      <c r="B580" s="324" t="s">
        <v>656</v>
      </c>
      <c r="C580" s="328" t="s">
        <v>115</v>
      </c>
      <c r="E580" s="326">
        <v>0</v>
      </c>
      <c r="F580" s="48">
        <f t="shared" si="15"/>
        <v>0</v>
      </c>
    </row>
    <row r="581" spans="1:6" ht="14.4" x14ac:dyDescent="0.3">
      <c r="A581" s="324"/>
      <c r="B581" s="324" t="s">
        <v>657</v>
      </c>
      <c r="C581" s="328" t="s">
        <v>115</v>
      </c>
      <c r="E581" s="326">
        <v>0</v>
      </c>
      <c r="F581" s="48">
        <f t="shared" si="15"/>
        <v>0</v>
      </c>
    </row>
    <row r="582" spans="1:6" ht="14.4" x14ac:dyDescent="0.3">
      <c r="A582" s="324"/>
      <c r="B582" s="324" t="s">
        <v>658</v>
      </c>
      <c r="C582" s="328" t="s">
        <v>115</v>
      </c>
      <c r="E582" s="326">
        <v>0</v>
      </c>
      <c r="F582" s="48">
        <f t="shared" si="15"/>
        <v>0</v>
      </c>
    </row>
    <row r="583" spans="1:6" ht="14.4" x14ac:dyDescent="0.3">
      <c r="A583" s="324"/>
      <c r="B583" s="324" t="s">
        <v>659</v>
      </c>
      <c r="C583" s="328" t="s">
        <v>115</v>
      </c>
      <c r="E583" s="326">
        <v>0</v>
      </c>
      <c r="F583" s="48">
        <f t="shared" si="15"/>
        <v>0</v>
      </c>
    </row>
    <row r="584" spans="1:6" ht="14.4" x14ac:dyDescent="0.3">
      <c r="A584" s="324"/>
      <c r="B584" s="324" t="s">
        <v>660</v>
      </c>
      <c r="C584" s="328" t="s">
        <v>115</v>
      </c>
      <c r="E584" s="326">
        <v>0</v>
      </c>
      <c r="F584" s="48">
        <f t="shared" si="15"/>
        <v>0</v>
      </c>
    </row>
    <row r="585" spans="1:6" ht="14.4" x14ac:dyDescent="0.3">
      <c r="A585" s="324"/>
      <c r="B585" s="324" t="s">
        <v>661</v>
      </c>
      <c r="C585" s="328" t="s">
        <v>115</v>
      </c>
      <c r="E585" s="326">
        <v>0</v>
      </c>
      <c r="F585" s="48">
        <f t="shared" si="15"/>
        <v>0</v>
      </c>
    </row>
    <row r="586" spans="1:6" ht="14.4" x14ac:dyDescent="0.3">
      <c r="A586" s="324"/>
      <c r="B586" s="324" t="s">
        <v>662</v>
      </c>
      <c r="C586" s="328" t="s">
        <v>115</v>
      </c>
      <c r="E586" s="326">
        <v>0</v>
      </c>
      <c r="F586" s="48">
        <f t="shared" si="15"/>
        <v>0</v>
      </c>
    </row>
    <row r="587" spans="1:6" ht="14.4" x14ac:dyDescent="0.3">
      <c r="A587" s="324"/>
      <c r="B587" s="324" t="s">
        <v>663</v>
      </c>
      <c r="C587" s="328" t="s">
        <v>115</v>
      </c>
      <c r="E587" s="326">
        <v>0</v>
      </c>
      <c r="F587" s="48">
        <f t="shared" si="15"/>
        <v>0</v>
      </c>
    </row>
    <row r="588" spans="1:6" ht="14.4" x14ac:dyDescent="0.3">
      <c r="A588" s="324"/>
      <c r="B588" s="324" t="s">
        <v>664</v>
      </c>
      <c r="C588" s="328" t="s">
        <v>115</v>
      </c>
      <c r="E588" s="326">
        <v>0</v>
      </c>
      <c r="F588" s="48">
        <f t="shared" si="15"/>
        <v>0</v>
      </c>
    </row>
    <row r="589" spans="1:6" ht="14.4" x14ac:dyDescent="0.3">
      <c r="A589" s="324"/>
      <c r="B589" s="324" t="s">
        <v>665</v>
      </c>
      <c r="C589" s="328" t="s">
        <v>115</v>
      </c>
      <c r="E589" s="326">
        <v>0</v>
      </c>
      <c r="F589" s="48">
        <f t="shared" si="15"/>
        <v>0</v>
      </c>
    </row>
    <row r="590" spans="1:6" ht="14.4" x14ac:dyDescent="0.3">
      <c r="A590" s="324"/>
      <c r="B590" s="324" t="s">
        <v>666</v>
      </c>
      <c r="C590" s="328" t="s">
        <v>115</v>
      </c>
      <c r="E590" s="326">
        <v>0</v>
      </c>
      <c r="F590" s="48">
        <f t="shared" si="15"/>
        <v>0</v>
      </c>
    </row>
    <row r="591" spans="1:6" ht="14.4" x14ac:dyDescent="0.3">
      <c r="A591" s="324"/>
      <c r="B591" s="324" t="s">
        <v>667</v>
      </c>
      <c r="C591" s="328" t="s">
        <v>115</v>
      </c>
      <c r="E591" s="326">
        <v>0</v>
      </c>
      <c r="F591" s="48">
        <f t="shared" si="15"/>
        <v>0</v>
      </c>
    </row>
    <row r="592" spans="1:6" ht="14.4" x14ac:dyDescent="0.3">
      <c r="A592" s="324"/>
      <c r="B592" s="324" t="s">
        <v>668</v>
      </c>
      <c r="C592" s="328" t="s">
        <v>115</v>
      </c>
      <c r="E592" s="326">
        <v>0</v>
      </c>
      <c r="F592" s="48">
        <f t="shared" si="15"/>
        <v>0</v>
      </c>
    </row>
    <row r="593" spans="1:6" ht="14.4" x14ac:dyDescent="0.3">
      <c r="A593" s="324"/>
      <c r="B593" s="324" t="s">
        <v>669</v>
      </c>
      <c r="C593" s="328" t="s">
        <v>115</v>
      </c>
      <c r="E593" s="326">
        <v>0</v>
      </c>
      <c r="F593" s="48">
        <f t="shared" si="15"/>
        <v>0</v>
      </c>
    </row>
    <row r="594" spans="1:6" ht="14.4" x14ac:dyDescent="0.3">
      <c r="A594" s="324"/>
      <c r="B594" s="324" t="s">
        <v>670</v>
      </c>
      <c r="C594" s="328" t="s">
        <v>115</v>
      </c>
      <c r="E594" s="326">
        <v>0</v>
      </c>
      <c r="F594" s="48">
        <f t="shared" si="15"/>
        <v>0</v>
      </c>
    </row>
    <row r="595" spans="1:6" ht="14.4" x14ac:dyDescent="0.3">
      <c r="A595" s="324"/>
      <c r="B595" s="324" t="s">
        <v>671</v>
      </c>
      <c r="C595" s="328" t="s">
        <v>115</v>
      </c>
      <c r="E595" s="326">
        <v>0</v>
      </c>
      <c r="F595" s="48">
        <f t="shared" si="15"/>
        <v>0</v>
      </c>
    </row>
    <row r="596" spans="1:6" ht="14.4" x14ac:dyDescent="0.3">
      <c r="A596" s="324"/>
      <c r="B596" s="324" t="s">
        <v>672</v>
      </c>
      <c r="C596" s="328" t="s">
        <v>115</v>
      </c>
      <c r="E596" s="326">
        <v>0</v>
      </c>
      <c r="F596" s="48">
        <f t="shared" si="15"/>
        <v>0</v>
      </c>
    </row>
    <row r="597" spans="1:6" ht="14.4" x14ac:dyDescent="0.3">
      <c r="A597" s="324"/>
      <c r="B597" s="324" t="s">
        <v>673</v>
      </c>
      <c r="C597" s="328" t="s">
        <v>115</v>
      </c>
      <c r="E597" s="326">
        <v>0</v>
      </c>
      <c r="F597" s="48">
        <f t="shared" si="15"/>
        <v>0</v>
      </c>
    </row>
    <row r="598" spans="1:6" ht="14.4" x14ac:dyDescent="0.3">
      <c r="A598" s="324"/>
      <c r="B598" s="324" t="s">
        <v>674</v>
      </c>
      <c r="C598" s="328" t="s">
        <v>115</v>
      </c>
      <c r="E598" s="326">
        <v>0</v>
      </c>
      <c r="F598" s="48">
        <f t="shared" si="15"/>
        <v>0</v>
      </c>
    </row>
    <row r="599" spans="1:6" ht="14.4" x14ac:dyDescent="0.3">
      <c r="A599" s="324"/>
      <c r="B599" s="324" t="s">
        <v>675</v>
      </c>
      <c r="C599" s="328" t="s">
        <v>115</v>
      </c>
      <c r="E599" s="326">
        <v>0</v>
      </c>
      <c r="F599" s="48">
        <f t="shared" si="15"/>
        <v>0</v>
      </c>
    </row>
    <row r="600" spans="1:6" ht="14.4" x14ac:dyDescent="0.3">
      <c r="A600" s="324"/>
      <c r="B600" s="324" t="s">
        <v>676</v>
      </c>
      <c r="C600" s="328" t="s">
        <v>115</v>
      </c>
      <c r="E600" s="326">
        <v>0</v>
      </c>
      <c r="F600" s="48">
        <f t="shared" si="15"/>
        <v>0</v>
      </c>
    </row>
    <row r="601" spans="1:6" ht="14.4" x14ac:dyDescent="0.3">
      <c r="A601" s="324"/>
      <c r="B601" s="324" t="s">
        <v>677</v>
      </c>
      <c r="C601" s="328" t="s">
        <v>115</v>
      </c>
      <c r="E601" s="326">
        <v>26.25</v>
      </c>
      <c r="F601" s="48">
        <f t="shared" si="15"/>
        <v>0</v>
      </c>
    </row>
    <row r="602" spans="1:6" ht="14.4" x14ac:dyDescent="0.3">
      <c r="A602" s="324"/>
      <c r="B602" s="324" t="s">
        <v>678</v>
      </c>
      <c r="C602" s="328" t="s">
        <v>115</v>
      </c>
      <c r="E602" s="326">
        <v>0</v>
      </c>
      <c r="F602" s="48">
        <f t="shared" si="15"/>
        <v>0</v>
      </c>
    </row>
    <row r="603" spans="1:6" ht="14.4" x14ac:dyDescent="0.3">
      <c r="A603" s="324"/>
      <c r="B603" s="324" t="s">
        <v>679</v>
      </c>
      <c r="C603" s="328" t="s">
        <v>115</v>
      </c>
      <c r="E603" s="326">
        <v>0</v>
      </c>
      <c r="F603" s="48">
        <f t="shared" si="15"/>
        <v>0</v>
      </c>
    </row>
    <row r="604" spans="1:6" ht="14.4" x14ac:dyDescent="0.3">
      <c r="A604" s="324"/>
      <c r="B604" s="324" t="s">
        <v>680</v>
      </c>
      <c r="C604" s="328" t="s">
        <v>115</v>
      </c>
      <c r="E604" s="326">
        <v>0</v>
      </c>
      <c r="F604" s="48">
        <f t="shared" si="15"/>
        <v>0</v>
      </c>
    </row>
    <row r="605" spans="1:6" ht="14.4" x14ac:dyDescent="0.3">
      <c r="A605" s="324"/>
      <c r="B605" s="324" t="s">
        <v>681</v>
      </c>
      <c r="C605" s="328" t="s">
        <v>115</v>
      </c>
      <c r="E605" s="326">
        <v>0</v>
      </c>
      <c r="F605" s="48">
        <f t="shared" ref="F605:F669" si="16">E605*D605</f>
        <v>0</v>
      </c>
    </row>
    <row r="606" spans="1:6" ht="14.4" x14ac:dyDescent="0.3">
      <c r="A606" s="324"/>
      <c r="B606" s="324" t="s">
        <v>682</v>
      </c>
      <c r="C606" s="328" t="s">
        <v>115</v>
      </c>
      <c r="E606" s="326">
        <v>0</v>
      </c>
      <c r="F606" s="48">
        <f t="shared" si="16"/>
        <v>0</v>
      </c>
    </row>
    <row r="607" spans="1:6" ht="14.4" x14ac:dyDescent="0.3">
      <c r="A607" s="324"/>
      <c r="B607" s="324" t="s">
        <v>683</v>
      </c>
      <c r="C607" s="328" t="s">
        <v>115</v>
      </c>
      <c r="E607" s="326">
        <v>0</v>
      </c>
      <c r="F607" s="48">
        <f t="shared" si="16"/>
        <v>0</v>
      </c>
    </row>
    <row r="608" spans="1:6" ht="14.4" x14ac:dyDescent="0.3">
      <c r="A608" s="324"/>
      <c r="B608" s="324" t="s">
        <v>684</v>
      </c>
      <c r="C608" s="328" t="s">
        <v>115</v>
      </c>
      <c r="E608" s="326">
        <v>0</v>
      </c>
      <c r="F608" s="48">
        <f t="shared" si="16"/>
        <v>0</v>
      </c>
    </row>
    <row r="609" spans="1:6" ht="14.4" x14ac:dyDescent="0.3">
      <c r="A609" s="324"/>
      <c r="B609" s="324" t="s">
        <v>685</v>
      </c>
      <c r="C609" s="328" t="s">
        <v>115</v>
      </c>
      <c r="E609" s="326">
        <v>0</v>
      </c>
      <c r="F609" s="48">
        <f t="shared" si="16"/>
        <v>0</v>
      </c>
    </row>
    <row r="610" spans="1:6" ht="14.4" x14ac:dyDescent="0.3">
      <c r="A610" s="324"/>
      <c r="B610" s="324" t="s">
        <v>686</v>
      </c>
      <c r="C610" s="328" t="s">
        <v>115</v>
      </c>
      <c r="E610" s="326">
        <v>0</v>
      </c>
      <c r="F610" s="48">
        <f t="shared" si="16"/>
        <v>0</v>
      </c>
    </row>
    <row r="611" spans="1:6" ht="14.4" x14ac:dyDescent="0.3">
      <c r="A611" s="324"/>
      <c r="B611" s="324" t="s">
        <v>687</v>
      </c>
      <c r="C611" s="328" t="s">
        <v>115</v>
      </c>
      <c r="E611" s="326">
        <v>0</v>
      </c>
      <c r="F611" s="48">
        <f t="shared" si="16"/>
        <v>0</v>
      </c>
    </row>
    <row r="612" spans="1:6" ht="14.4" x14ac:dyDescent="0.3">
      <c r="A612" s="324"/>
      <c r="B612" s="324" t="s">
        <v>688</v>
      </c>
      <c r="C612" s="328" t="s">
        <v>115</v>
      </c>
      <c r="E612" s="326">
        <v>0</v>
      </c>
      <c r="F612" s="48">
        <f t="shared" si="16"/>
        <v>0</v>
      </c>
    </row>
    <row r="613" spans="1:6" ht="14.4" x14ac:dyDescent="0.3">
      <c r="A613" s="324"/>
      <c r="B613" s="324" t="s">
        <v>689</v>
      </c>
      <c r="C613" s="328" t="s">
        <v>115</v>
      </c>
      <c r="E613" s="326">
        <v>0</v>
      </c>
      <c r="F613" s="48">
        <f t="shared" si="16"/>
        <v>0</v>
      </c>
    </row>
    <row r="614" spans="1:6" ht="14.4" x14ac:dyDescent="0.3">
      <c r="A614" s="324"/>
      <c r="B614" s="324" t="s">
        <v>690</v>
      </c>
      <c r="C614" s="328" t="s">
        <v>115</v>
      </c>
      <c r="E614" s="326">
        <v>0</v>
      </c>
      <c r="F614" s="48">
        <f t="shared" si="16"/>
        <v>0</v>
      </c>
    </row>
    <row r="615" spans="1:6" ht="14.4" x14ac:dyDescent="0.3">
      <c r="A615" s="324"/>
      <c r="B615" s="324" t="s">
        <v>691</v>
      </c>
      <c r="C615" s="328" t="s">
        <v>115</v>
      </c>
      <c r="E615" s="326">
        <v>0</v>
      </c>
      <c r="F615" s="48">
        <f t="shared" si="16"/>
        <v>0</v>
      </c>
    </row>
    <row r="616" spans="1:6" ht="14.4" x14ac:dyDescent="0.3">
      <c r="A616" s="324"/>
      <c r="B616" s="324" t="s">
        <v>692</v>
      </c>
      <c r="C616" s="328" t="s">
        <v>115</v>
      </c>
      <c r="E616" s="326">
        <v>0</v>
      </c>
      <c r="F616" s="48">
        <f t="shared" si="16"/>
        <v>0</v>
      </c>
    </row>
    <row r="617" spans="1:6" ht="14.4" x14ac:dyDescent="0.3">
      <c r="A617" s="324"/>
      <c r="B617" s="324" t="s">
        <v>693</v>
      </c>
      <c r="C617" s="328" t="s">
        <v>115</v>
      </c>
      <c r="E617" s="326">
        <v>0</v>
      </c>
      <c r="F617" s="48">
        <f t="shared" si="16"/>
        <v>0</v>
      </c>
    </row>
    <row r="618" spans="1:6" ht="14.4" x14ac:dyDescent="0.3">
      <c r="A618" s="324"/>
      <c r="B618" s="324" t="s">
        <v>694</v>
      </c>
      <c r="C618" s="328" t="s">
        <v>115</v>
      </c>
      <c r="E618" s="326">
        <v>0</v>
      </c>
      <c r="F618" s="48">
        <f t="shared" si="16"/>
        <v>0</v>
      </c>
    </row>
    <row r="619" spans="1:6" ht="14.4" x14ac:dyDescent="0.3">
      <c r="A619" s="324"/>
      <c r="B619" s="324" t="s">
        <v>695</v>
      </c>
      <c r="C619" s="328" t="s">
        <v>115</v>
      </c>
      <c r="E619" s="326">
        <v>0</v>
      </c>
      <c r="F619" s="48">
        <f t="shared" si="16"/>
        <v>0</v>
      </c>
    </row>
    <row r="620" spans="1:6" ht="14.4" x14ac:dyDescent="0.3">
      <c r="A620" s="324"/>
      <c r="B620" s="324" t="s">
        <v>696</v>
      </c>
      <c r="C620" s="328" t="s">
        <v>115</v>
      </c>
      <c r="E620" s="326">
        <v>0</v>
      </c>
      <c r="F620" s="48">
        <f t="shared" si="16"/>
        <v>0</v>
      </c>
    </row>
    <row r="621" spans="1:6" ht="14.4" x14ac:dyDescent="0.3">
      <c r="A621" s="324"/>
      <c r="B621" s="324" t="s">
        <v>697</v>
      </c>
      <c r="C621" s="328" t="s">
        <v>115</v>
      </c>
      <c r="E621" s="326">
        <v>0</v>
      </c>
      <c r="F621" s="48">
        <f t="shared" si="16"/>
        <v>0</v>
      </c>
    </row>
    <row r="622" spans="1:6" ht="14.4" x14ac:dyDescent="0.3">
      <c r="A622" s="324"/>
      <c r="B622" s="324" t="s">
        <v>698</v>
      </c>
      <c r="C622" s="328" t="s">
        <v>115</v>
      </c>
      <c r="E622" s="326">
        <v>0</v>
      </c>
      <c r="F622" s="48">
        <f t="shared" si="16"/>
        <v>0</v>
      </c>
    </row>
    <row r="623" spans="1:6" ht="14.4" x14ac:dyDescent="0.3">
      <c r="A623" s="324"/>
      <c r="B623" s="324" t="s">
        <v>699</v>
      </c>
      <c r="C623" s="328" t="s">
        <v>115</v>
      </c>
      <c r="E623" s="326">
        <v>0</v>
      </c>
      <c r="F623" s="48">
        <f t="shared" si="16"/>
        <v>0</v>
      </c>
    </row>
    <row r="624" spans="1:6" ht="14.4" x14ac:dyDescent="0.3">
      <c r="A624" s="324"/>
      <c r="B624" s="324" t="s">
        <v>700</v>
      </c>
      <c r="C624" s="328" t="s">
        <v>115</v>
      </c>
      <c r="E624" s="326">
        <v>0</v>
      </c>
      <c r="F624" s="48">
        <f t="shared" si="16"/>
        <v>0</v>
      </c>
    </row>
    <row r="625" spans="1:6" ht="14.4" x14ac:dyDescent="0.3">
      <c r="A625" s="324"/>
      <c r="B625" s="324" t="s">
        <v>701</v>
      </c>
      <c r="C625" s="328" t="s">
        <v>115</v>
      </c>
      <c r="E625" s="326">
        <v>0</v>
      </c>
      <c r="F625" s="48">
        <f t="shared" si="16"/>
        <v>0</v>
      </c>
    </row>
    <row r="626" spans="1:6" ht="14.4" x14ac:dyDescent="0.3">
      <c r="A626" s="324"/>
      <c r="B626" s="324" t="s">
        <v>702</v>
      </c>
      <c r="C626" s="328" t="s">
        <v>115</v>
      </c>
      <c r="E626" s="326">
        <v>0</v>
      </c>
      <c r="F626" s="48">
        <f t="shared" si="16"/>
        <v>0</v>
      </c>
    </row>
    <row r="627" spans="1:6" ht="14.4" x14ac:dyDescent="0.3">
      <c r="A627" s="324"/>
      <c r="B627" s="324" t="s">
        <v>703</v>
      </c>
      <c r="C627" s="328" t="s">
        <v>115</v>
      </c>
      <c r="E627" s="326">
        <v>0</v>
      </c>
      <c r="F627" s="48">
        <f t="shared" si="16"/>
        <v>0</v>
      </c>
    </row>
    <row r="628" spans="1:6" ht="14.4" x14ac:dyDescent="0.3">
      <c r="A628" s="324"/>
      <c r="B628" s="324"/>
      <c r="C628" s="328" t="s">
        <v>115</v>
      </c>
      <c r="E628" s="326">
        <v>0</v>
      </c>
      <c r="F628" s="48">
        <f t="shared" si="16"/>
        <v>0</v>
      </c>
    </row>
    <row r="629" spans="1:6" ht="14.4" x14ac:dyDescent="0.3">
      <c r="A629" s="324"/>
      <c r="B629" s="324" t="s">
        <v>704</v>
      </c>
      <c r="C629" s="328"/>
      <c r="E629" s="326">
        <v>0</v>
      </c>
      <c r="F629" s="48">
        <f t="shared" si="16"/>
        <v>0</v>
      </c>
    </row>
    <row r="630" spans="1:6" ht="14.4" x14ac:dyDescent="0.3">
      <c r="A630" s="324"/>
      <c r="B630" s="324" t="s">
        <v>705</v>
      </c>
      <c r="C630" s="328" t="s">
        <v>149</v>
      </c>
      <c r="E630" s="326">
        <v>0</v>
      </c>
      <c r="F630" s="48">
        <f t="shared" si="16"/>
        <v>0</v>
      </c>
    </row>
    <row r="631" spans="1:6" ht="14.4" x14ac:dyDescent="0.3">
      <c r="A631" s="324"/>
      <c r="B631" s="324" t="s">
        <v>706</v>
      </c>
      <c r="C631" s="328" t="s">
        <v>149</v>
      </c>
      <c r="E631" s="326">
        <v>0</v>
      </c>
      <c r="F631" s="48">
        <f t="shared" si="16"/>
        <v>0</v>
      </c>
    </row>
    <row r="632" spans="1:6" ht="14.4" x14ac:dyDescent="0.3">
      <c r="A632" s="324"/>
      <c r="B632" s="324" t="s">
        <v>707</v>
      </c>
      <c r="C632" s="328" t="s">
        <v>149</v>
      </c>
      <c r="E632" s="326">
        <v>0</v>
      </c>
      <c r="F632" s="48">
        <f t="shared" si="16"/>
        <v>0</v>
      </c>
    </row>
    <row r="633" spans="1:6" ht="14.4" x14ac:dyDescent="0.3">
      <c r="A633" s="324"/>
      <c r="B633" s="324" t="s">
        <v>708</v>
      </c>
      <c r="C633" s="328" t="s">
        <v>115</v>
      </c>
      <c r="E633" s="326">
        <v>0</v>
      </c>
      <c r="F633" s="48">
        <f t="shared" si="16"/>
        <v>0</v>
      </c>
    </row>
    <row r="634" spans="1:6" ht="14.4" x14ac:dyDescent="0.3">
      <c r="A634" s="324"/>
      <c r="B634" s="324" t="s">
        <v>709</v>
      </c>
      <c r="C634" s="328" t="s">
        <v>115</v>
      </c>
      <c r="E634" s="326">
        <v>0</v>
      </c>
      <c r="F634" s="48">
        <f t="shared" si="16"/>
        <v>0</v>
      </c>
    </row>
    <row r="635" spans="1:6" ht="14.4" x14ac:dyDescent="0.3">
      <c r="A635" s="324"/>
      <c r="B635" s="324" t="s">
        <v>710</v>
      </c>
      <c r="C635" s="328" t="s">
        <v>115</v>
      </c>
      <c r="E635" s="326">
        <v>0</v>
      </c>
      <c r="F635" s="48">
        <f t="shared" si="16"/>
        <v>0</v>
      </c>
    </row>
    <row r="636" spans="1:6" ht="14.4" x14ac:dyDescent="0.3">
      <c r="A636" s="324"/>
      <c r="B636" s="324" t="s">
        <v>711</v>
      </c>
      <c r="C636" s="328" t="s">
        <v>115</v>
      </c>
      <c r="E636" s="326">
        <v>0</v>
      </c>
      <c r="F636" s="48">
        <f t="shared" si="16"/>
        <v>0</v>
      </c>
    </row>
    <row r="637" spans="1:6" ht="14.4" x14ac:dyDescent="0.3">
      <c r="A637" s="324"/>
      <c r="B637" s="324" t="s">
        <v>712</v>
      </c>
      <c r="C637" s="328" t="s">
        <v>115</v>
      </c>
      <c r="E637" s="326">
        <v>0</v>
      </c>
      <c r="F637" s="48">
        <f t="shared" si="16"/>
        <v>0</v>
      </c>
    </row>
    <row r="638" spans="1:6" ht="14.4" x14ac:dyDescent="0.3">
      <c r="A638" s="324"/>
      <c r="B638" s="324" t="s">
        <v>713</v>
      </c>
      <c r="C638" s="328" t="s">
        <v>115</v>
      </c>
      <c r="E638" s="326">
        <v>0</v>
      </c>
      <c r="F638" s="48">
        <f t="shared" si="16"/>
        <v>0</v>
      </c>
    </row>
    <row r="639" spans="1:6" ht="14.4" x14ac:dyDescent="0.3">
      <c r="A639" s="324"/>
      <c r="B639" s="324" t="s">
        <v>714</v>
      </c>
      <c r="C639" s="328" t="s">
        <v>115</v>
      </c>
      <c r="E639" s="326">
        <v>0</v>
      </c>
      <c r="F639" s="48">
        <f t="shared" si="16"/>
        <v>0</v>
      </c>
    </row>
    <row r="640" spans="1:6" ht="14.4" x14ac:dyDescent="0.3">
      <c r="A640" s="324"/>
      <c r="B640" s="324" t="s">
        <v>715</v>
      </c>
      <c r="C640" s="328" t="s">
        <v>115</v>
      </c>
      <c r="E640" s="326">
        <v>0</v>
      </c>
      <c r="F640" s="48">
        <f t="shared" si="16"/>
        <v>0</v>
      </c>
    </row>
    <row r="641" spans="1:7" ht="14.4" x14ac:dyDescent="0.3">
      <c r="A641" s="324"/>
      <c r="B641" s="324" t="s">
        <v>716</v>
      </c>
      <c r="C641" s="328" t="s">
        <v>115</v>
      </c>
      <c r="E641" s="326">
        <v>0</v>
      </c>
      <c r="F641" s="48">
        <f t="shared" si="16"/>
        <v>0</v>
      </c>
    </row>
    <row r="642" spans="1:7" ht="14.4" x14ac:dyDescent="0.3">
      <c r="A642" s="324"/>
      <c r="B642" s="324" t="s">
        <v>717</v>
      </c>
      <c r="C642" s="328" t="s">
        <v>115</v>
      </c>
      <c r="E642" s="326">
        <v>0</v>
      </c>
      <c r="F642" s="48">
        <f t="shared" si="16"/>
        <v>0</v>
      </c>
    </row>
    <row r="643" spans="1:7" ht="14.4" x14ac:dyDescent="0.3">
      <c r="A643" s="324"/>
      <c r="B643" s="324" t="s">
        <v>718</v>
      </c>
      <c r="C643" s="328" t="s">
        <v>115</v>
      </c>
      <c r="E643" s="326">
        <v>0</v>
      </c>
      <c r="F643" s="48">
        <f t="shared" si="16"/>
        <v>0</v>
      </c>
    </row>
    <row r="644" spans="1:7" ht="14.4" x14ac:dyDescent="0.3">
      <c r="A644" s="324"/>
      <c r="B644" s="324" t="s">
        <v>719</v>
      </c>
      <c r="C644" s="328" t="s">
        <v>115</v>
      </c>
      <c r="E644" s="326">
        <v>0</v>
      </c>
      <c r="F644" s="48">
        <f t="shared" si="16"/>
        <v>0</v>
      </c>
    </row>
    <row r="645" spans="1:7" ht="14.4" x14ac:dyDescent="0.3">
      <c r="A645" s="324"/>
      <c r="B645" s="324" t="s">
        <v>720</v>
      </c>
      <c r="C645" s="328" t="s">
        <v>115</v>
      </c>
      <c r="E645" s="326">
        <v>0</v>
      </c>
      <c r="F645" s="48">
        <f t="shared" si="16"/>
        <v>0</v>
      </c>
    </row>
    <row r="646" spans="1:7" ht="14.4" x14ac:dyDescent="0.3">
      <c r="A646" s="324"/>
      <c r="B646" s="324" t="s">
        <v>721</v>
      </c>
      <c r="C646" s="328" t="s">
        <v>115</v>
      </c>
      <c r="E646" s="326">
        <v>0</v>
      </c>
      <c r="F646" s="48">
        <f t="shared" si="16"/>
        <v>0</v>
      </c>
    </row>
    <row r="647" spans="1:7" ht="14.4" x14ac:dyDescent="0.3">
      <c r="A647" s="324"/>
      <c r="B647" s="324" t="s">
        <v>722</v>
      </c>
      <c r="C647" s="328" t="s">
        <v>115</v>
      </c>
      <c r="E647" s="326">
        <v>0</v>
      </c>
      <c r="F647" s="48">
        <f t="shared" si="16"/>
        <v>0</v>
      </c>
    </row>
    <row r="648" spans="1:7" ht="14.4" x14ac:dyDescent="0.3">
      <c r="A648" s="324"/>
      <c r="B648" s="324" t="s">
        <v>723</v>
      </c>
      <c r="C648" s="328" t="s">
        <v>115</v>
      </c>
      <c r="E648" s="326">
        <v>0</v>
      </c>
      <c r="F648" s="48">
        <f t="shared" si="16"/>
        <v>0</v>
      </c>
    </row>
    <row r="649" spans="1:7" ht="14.4" x14ac:dyDescent="0.3">
      <c r="A649" s="324"/>
      <c r="B649" s="324"/>
      <c r="C649" s="328" t="s">
        <v>115</v>
      </c>
      <c r="E649" s="326">
        <v>0</v>
      </c>
      <c r="F649" s="48">
        <f t="shared" si="16"/>
        <v>0</v>
      </c>
    </row>
    <row r="650" spans="1:7" ht="14.4" x14ac:dyDescent="0.3">
      <c r="A650"/>
      <c r="B650" s="330" t="s">
        <v>724</v>
      </c>
      <c r="C650" s="328"/>
      <c r="E650" s="326">
        <v>56</v>
      </c>
      <c r="F650" s="48">
        <f t="shared" si="16"/>
        <v>0</v>
      </c>
      <c r="G650" s="326"/>
    </row>
    <row r="651" spans="1:7" ht="14.4" x14ac:dyDescent="0.3">
      <c r="A651"/>
      <c r="B651" t="s">
        <v>725</v>
      </c>
      <c r="C651" s="303" t="s">
        <v>115</v>
      </c>
      <c r="E651" s="326">
        <v>202.94</v>
      </c>
      <c r="F651" s="48">
        <f t="shared" si="16"/>
        <v>0</v>
      </c>
      <c r="G651" s="326"/>
    </row>
    <row r="652" spans="1:7" ht="14.4" x14ac:dyDescent="0.3">
      <c r="A652"/>
      <c r="B652" t="s">
        <v>726</v>
      </c>
      <c r="C652" s="303" t="s">
        <v>115</v>
      </c>
      <c r="E652" s="326">
        <v>92.67</v>
      </c>
      <c r="F652" s="48">
        <f t="shared" si="16"/>
        <v>0</v>
      </c>
      <c r="G652" s="326"/>
    </row>
    <row r="653" spans="1:7" ht="14.4" x14ac:dyDescent="0.3">
      <c r="A653"/>
      <c r="B653" t="s">
        <v>727</v>
      </c>
      <c r="C653" s="303" t="s">
        <v>115</v>
      </c>
      <c r="E653" s="326">
        <v>24.71</v>
      </c>
      <c r="F653" s="48">
        <f t="shared" si="16"/>
        <v>0</v>
      </c>
      <c r="G653" s="326"/>
    </row>
    <row r="654" spans="1:7" ht="14.4" x14ac:dyDescent="0.3">
      <c r="A654"/>
      <c r="B654" t="s">
        <v>340</v>
      </c>
      <c r="C654" s="303" t="s">
        <v>115</v>
      </c>
      <c r="E654" s="326">
        <v>20</v>
      </c>
      <c r="F654" s="48">
        <f t="shared" si="16"/>
        <v>0</v>
      </c>
      <c r="G654" s="326"/>
    </row>
    <row r="655" spans="1:7" ht="14.4" x14ac:dyDescent="0.3">
      <c r="A655"/>
      <c r="B655" t="s">
        <v>305</v>
      </c>
      <c r="C655" s="303" t="s">
        <v>115</v>
      </c>
      <c r="E655" s="326">
        <v>136.94</v>
      </c>
      <c r="F655" s="48">
        <f t="shared" si="16"/>
        <v>0</v>
      </c>
      <c r="G655" s="326"/>
    </row>
    <row r="656" spans="1:7" ht="14.4" x14ac:dyDescent="0.3">
      <c r="A656"/>
      <c r="B656" t="s">
        <v>374</v>
      </c>
      <c r="C656" s="303" t="s">
        <v>115</v>
      </c>
      <c r="E656" s="326">
        <v>365</v>
      </c>
      <c r="F656" s="48">
        <f t="shared" si="16"/>
        <v>0</v>
      </c>
      <c r="G656" s="326"/>
    </row>
    <row r="657" spans="1:7" ht="14.4" x14ac:dyDescent="0.3">
      <c r="A657"/>
      <c r="B657" t="s">
        <v>728</v>
      </c>
      <c r="C657" s="303" t="s">
        <v>115</v>
      </c>
      <c r="E657" s="326">
        <v>201.43</v>
      </c>
      <c r="F657" s="48">
        <f t="shared" si="16"/>
        <v>0</v>
      </c>
      <c r="G657" s="326"/>
    </row>
    <row r="658" spans="1:7" ht="14.4" x14ac:dyDescent="0.3">
      <c r="A658"/>
      <c r="B658" t="s">
        <v>376</v>
      </c>
      <c r="C658" s="303" t="s">
        <v>115</v>
      </c>
      <c r="E658" s="326">
        <v>5</v>
      </c>
      <c r="F658" s="48">
        <f t="shared" si="16"/>
        <v>0</v>
      </c>
      <c r="G658" s="326"/>
    </row>
    <row r="659" spans="1:7" ht="14.4" x14ac:dyDescent="0.3">
      <c r="A659"/>
      <c r="B659" t="s">
        <v>729</v>
      </c>
      <c r="C659" s="303" t="s">
        <v>115</v>
      </c>
      <c r="E659" s="326">
        <v>853</v>
      </c>
      <c r="F659" s="48">
        <f t="shared" si="16"/>
        <v>0</v>
      </c>
      <c r="G659" s="326"/>
    </row>
    <row r="660" spans="1:7" ht="14.4" x14ac:dyDescent="0.3">
      <c r="A660"/>
      <c r="B660" t="s">
        <v>730</v>
      </c>
      <c r="C660" s="303" t="s">
        <v>115</v>
      </c>
      <c r="E660" s="326">
        <v>503</v>
      </c>
      <c r="F660" s="48">
        <f t="shared" si="16"/>
        <v>0</v>
      </c>
      <c r="G660" s="326"/>
    </row>
    <row r="661" spans="1:7" ht="14.4" x14ac:dyDescent="0.3">
      <c r="A661"/>
      <c r="B661" t="s">
        <v>731</v>
      </c>
      <c r="C661" s="303" t="s">
        <v>115</v>
      </c>
      <c r="E661" s="326">
        <v>1809.63</v>
      </c>
      <c r="F661" s="48">
        <f t="shared" si="16"/>
        <v>0</v>
      </c>
      <c r="G661" s="326"/>
    </row>
    <row r="662" spans="1:7" ht="14.4" x14ac:dyDescent="0.3">
      <c r="A662"/>
      <c r="B662" s="63" t="s">
        <v>732</v>
      </c>
      <c r="C662" s="303" t="s">
        <v>115</v>
      </c>
      <c r="E662" s="326">
        <v>1650</v>
      </c>
      <c r="F662" s="48">
        <f t="shared" si="16"/>
        <v>0</v>
      </c>
      <c r="G662" s="326"/>
    </row>
    <row r="663" spans="1:7" ht="14.4" x14ac:dyDescent="0.3">
      <c r="A663"/>
      <c r="B663" s="63" t="s">
        <v>733</v>
      </c>
      <c r="C663" s="303" t="s">
        <v>115</v>
      </c>
      <c r="E663" s="326">
        <v>160</v>
      </c>
      <c r="F663" s="48">
        <f t="shared" si="16"/>
        <v>0</v>
      </c>
      <c r="G663" s="326"/>
    </row>
    <row r="664" spans="1:7" ht="14.4" x14ac:dyDescent="0.3">
      <c r="A664"/>
      <c r="B664" s="63" t="s">
        <v>734</v>
      </c>
      <c r="C664" s="303" t="s">
        <v>115</v>
      </c>
      <c r="E664" s="326">
        <v>750</v>
      </c>
      <c r="F664" s="48">
        <f t="shared" si="16"/>
        <v>0</v>
      </c>
      <c r="G664" s="326"/>
    </row>
    <row r="665" spans="1:7" ht="14.4" x14ac:dyDescent="0.3">
      <c r="A665"/>
      <c r="B665" s="63" t="s">
        <v>735</v>
      </c>
      <c r="C665" s="303" t="s">
        <v>115</v>
      </c>
      <c r="E665" s="326">
        <v>450</v>
      </c>
      <c r="F665" s="48">
        <f t="shared" si="16"/>
        <v>0</v>
      </c>
      <c r="G665" s="326"/>
    </row>
    <row r="666" spans="1:7" ht="14.4" x14ac:dyDescent="0.3">
      <c r="A666"/>
      <c r="B666" s="63" t="s">
        <v>736</v>
      </c>
      <c r="C666" s="303" t="s">
        <v>115</v>
      </c>
      <c r="E666" s="326">
        <v>1250</v>
      </c>
      <c r="F666" s="48">
        <f t="shared" si="16"/>
        <v>0</v>
      </c>
      <c r="G666" s="326"/>
    </row>
    <row r="667" spans="1:7" ht="14.4" x14ac:dyDescent="0.3">
      <c r="A667"/>
      <c r="B667" t="s">
        <v>737</v>
      </c>
      <c r="C667" s="303" t="s">
        <v>115</v>
      </c>
      <c r="E667" s="326">
        <v>190</v>
      </c>
      <c r="F667" s="48">
        <f t="shared" si="16"/>
        <v>0</v>
      </c>
      <c r="G667" s="326"/>
    </row>
    <row r="668" spans="1:7" ht="14.4" x14ac:dyDescent="0.3">
      <c r="A668"/>
      <c r="B668" t="s">
        <v>738</v>
      </c>
      <c r="C668" s="303" t="s">
        <v>115</v>
      </c>
      <c r="E668" s="326">
        <v>412.59</v>
      </c>
      <c r="F668" s="48">
        <f t="shared" si="16"/>
        <v>0</v>
      </c>
    </row>
    <row r="669" spans="1:7" ht="14.4" x14ac:dyDescent="0.3">
      <c r="A669"/>
      <c r="B669" t="s">
        <v>974</v>
      </c>
      <c r="C669" s="303" t="s">
        <v>115</v>
      </c>
      <c r="D669" s="40">
        <v>1</v>
      </c>
      <c r="E669" s="326">
        <v>284.07</v>
      </c>
      <c r="F669" s="48">
        <f t="shared" si="16"/>
        <v>284.07</v>
      </c>
    </row>
    <row r="670" spans="1:7" ht="27" x14ac:dyDescent="0.3">
      <c r="A670"/>
      <c r="B670" s="410" t="s">
        <v>975</v>
      </c>
      <c r="C670" s="303" t="s">
        <v>115</v>
      </c>
      <c r="D670" s="40">
        <v>1</v>
      </c>
      <c r="E670" s="326">
        <v>502.1</v>
      </c>
      <c r="F670" s="48">
        <f t="shared" ref="F670" si="17">E670*D670</f>
        <v>502.1</v>
      </c>
    </row>
    <row r="671" spans="1:7" ht="14.4" x14ac:dyDescent="0.3">
      <c r="A671"/>
      <c r="B671" t="s">
        <v>739</v>
      </c>
      <c r="C671" s="303" t="s">
        <v>115</v>
      </c>
      <c r="E671" s="326">
        <v>50</v>
      </c>
      <c r="F671" s="48">
        <f t="shared" ref="F671:F685" si="18">E671*D671</f>
        <v>0</v>
      </c>
      <c r="G671" s="326"/>
    </row>
    <row r="672" spans="1:7" ht="16.8" x14ac:dyDescent="0.3">
      <c r="A672"/>
      <c r="B672" s="331" t="s">
        <v>742</v>
      </c>
      <c r="C672" s="303" t="s">
        <v>115</v>
      </c>
      <c r="E672" s="326">
        <v>30</v>
      </c>
      <c r="F672" s="48">
        <f t="shared" si="18"/>
        <v>0</v>
      </c>
      <c r="G672" s="326"/>
    </row>
    <row r="673" spans="1:7" ht="14.4" x14ac:dyDescent="0.3">
      <c r="A673"/>
      <c r="B673" t="s">
        <v>743</v>
      </c>
      <c r="C673" s="303" t="s">
        <v>115</v>
      </c>
      <c r="E673" s="326">
        <v>1850</v>
      </c>
      <c r="F673" s="48">
        <f t="shared" si="18"/>
        <v>0</v>
      </c>
      <c r="G673" s="326"/>
    </row>
    <row r="674" spans="1:7" ht="14.4" x14ac:dyDescent="0.3">
      <c r="A674"/>
      <c r="B674" t="s">
        <v>744</v>
      </c>
      <c r="C674" s="303" t="s">
        <v>115</v>
      </c>
      <c r="E674" s="326">
        <v>1800</v>
      </c>
      <c r="F674" s="48">
        <f t="shared" si="18"/>
        <v>0</v>
      </c>
      <c r="G674" s="326"/>
    </row>
    <row r="675" spans="1:7" ht="14.4" x14ac:dyDescent="0.3">
      <c r="A675"/>
      <c r="B675"/>
      <c r="C675" s="303"/>
      <c r="E675" s="326"/>
      <c r="F675" s="48"/>
    </row>
    <row r="676" spans="1:7" ht="14.4" x14ac:dyDescent="0.3">
      <c r="A676" s="324"/>
      <c r="B676" s="420" t="s">
        <v>745</v>
      </c>
      <c r="C676" s="328" t="s">
        <v>115</v>
      </c>
      <c r="E676" s="326">
        <v>3800</v>
      </c>
      <c r="F676" s="48">
        <f t="shared" si="18"/>
        <v>0</v>
      </c>
      <c r="G676" s="326"/>
    </row>
    <row r="677" spans="1:7" ht="14.4" x14ac:dyDescent="0.3">
      <c r="A677" s="324"/>
      <c r="B677" s="420" t="s">
        <v>746</v>
      </c>
      <c r="C677" s="328" t="s">
        <v>115</v>
      </c>
      <c r="E677" s="326">
        <v>371.37</v>
      </c>
      <c r="F677" s="48">
        <f t="shared" si="18"/>
        <v>0</v>
      </c>
      <c r="G677" s="326"/>
    </row>
    <row r="678" spans="1:7" ht="14.4" x14ac:dyDescent="0.3">
      <c r="A678" s="324"/>
      <c r="B678" s="420" t="s">
        <v>747</v>
      </c>
      <c r="C678" s="419" t="s">
        <v>115</v>
      </c>
      <c r="E678" s="326">
        <f>430.67+38.37</f>
        <v>469.04</v>
      </c>
      <c r="F678" s="48">
        <f t="shared" si="18"/>
        <v>0</v>
      </c>
      <c r="G678" s="326"/>
    </row>
    <row r="679" spans="1:7" ht="14.4" x14ac:dyDescent="0.3">
      <c r="A679" s="324"/>
      <c r="B679" s="420" t="s">
        <v>748</v>
      </c>
      <c r="C679" s="419" t="s">
        <v>115</v>
      </c>
      <c r="E679" s="326">
        <f>141.13+18.87+18.87+480.93</f>
        <v>659.8</v>
      </c>
      <c r="F679" s="48">
        <f t="shared" si="18"/>
        <v>0</v>
      </c>
      <c r="G679" s="326"/>
    </row>
    <row r="680" spans="1:7" ht="14.4" x14ac:dyDescent="0.3">
      <c r="A680" s="324"/>
      <c r="B680" s="420" t="s">
        <v>749</v>
      </c>
      <c r="C680" s="419" t="s">
        <v>115</v>
      </c>
      <c r="E680" s="326">
        <v>587.96</v>
      </c>
      <c r="F680" s="48">
        <f t="shared" si="18"/>
        <v>0</v>
      </c>
      <c r="G680" s="326"/>
    </row>
    <row r="681" spans="1:7" ht="14.4" x14ac:dyDescent="0.3">
      <c r="A681" s="324"/>
      <c r="B681" s="420" t="s">
        <v>750</v>
      </c>
      <c r="C681" s="328" t="s">
        <v>115</v>
      </c>
      <c r="E681" s="326">
        <v>641.58000000000004</v>
      </c>
      <c r="F681" s="48">
        <f t="shared" si="18"/>
        <v>0</v>
      </c>
      <c r="G681" s="326"/>
    </row>
    <row r="682" spans="1:7" ht="14.4" x14ac:dyDescent="0.3">
      <c r="A682" s="324"/>
      <c r="B682" s="420" t="s">
        <v>752</v>
      </c>
      <c r="C682" s="328" t="s">
        <v>115</v>
      </c>
      <c r="E682" s="326">
        <v>50</v>
      </c>
      <c r="F682" s="48">
        <f t="shared" si="18"/>
        <v>0</v>
      </c>
      <c r="G682" s="326"/>
    </row>
    <row r="683" spans="1:7" ht="14.4" x14ac:dyDescent="0.3">
      <c r="A683" s="324"/>
      <c r="B683" s="420" t="s">
        <v>753</v>
      </c>
      <c r="C683" s="419" t="s">
        <v>115</v>
      </c>
      <c r="E683" s="326">
        <v>31.71</v>
      </c>
      <c r="F683" s="48">
        <f t="shared" si="18"/>
        <v>0</v>
      </c>
      <c r="G683" s="326"/>
    </row>
    <row r="684" spans="1:7" ht="14.4" x14ac:dyDescent="0.3">
      <c r="A684" s="324"/>
      <c r="B684" s="420" t="s">
        <v>754</v>
      </c>
      <c r="C684" s="328" t="s">
        <v>115</v>
      </c>
      <c r="E684" s="326">
        <v>146.09</v>
      </c>
      <c r="F684" s="48">
        <f t="shared" si="18"/>
        <v>0</v>
      </c>
      <c r="G684" s="326"/>
    </row>
    <row r="685" spans="1:7" ht="14.4" x14ac:dyDescent="0.3">
      <c r="A685" s="324"/>
      <c r="B685" s="420" t="s">
        <v>755</v>
      </c>
      <c r="C685" s="328" t="s">
        <v>115</v>
      </c>
      <c r="E685" s="326">
        <v>99.49</v>
      </c>
      <c r="F685" s="48">
        <f t="shared" si="18"/>
        <v>0</v>
      </c>
      <c r="G685" s="326"/>
    </row>
    <row r="686" spans="1:7" ht="14.4" x14ac:dyDescent="0.3">
      <c r="A686" s="324"/>
      <c r="B686" s="420"/>
      <c r="C686" s="328"/>
      <c r="E686" s="326"/>
      <c r="F686" s="48"/>
      <c r="G686" s="326"/>
    </row>
    <row r="687" spans="1:7" ht="15.6" x14ac:dyDescent="0.3">
      <c r="B687" s="499" t="s">
        <v>976</v>
      </c>
      <c r="C687" s="500" t="s">
        <v>115</v>
      </c>
      <c r="D687" s="447">
        <v>0</v>
      </c>
      <c r="E687" s="501">
        <v>15000</v>
      </c>
      <c r="F687" s="448">
        <f>E687*D687</f>
        <v>0</v>
      </c>
    </row>
    <row r="689" spans="2:6" ht="14.4" x14ac:dyDescent="0.3">
      <c r="B689" s="325" t="s">
        <v>762</v>
      </c>
    </row>
    <row r="690" spans="2:6" ht="14.4" x14ac:dyDescent="0.3">
      <c r="B690" s="327" t="s">
        <v>354</v>
      </c>
    </row>
    <row r="691" spans="2:6" ht="14.4" x14ac:dyDescent="0.3">
      <c r="B691" s="324"/>
    </row>
    <row r="692" spans="2:6" ht="14.4" x14ac:dyDescent="0.3">
      <c r="B692" s="324" t="s">
        <v>763</v>
      </c>
      <c r="C692" s="328" t="s">
        <v>149</v>
      </c>
      <c r="E692" s="385">
        <v>14.489999999999998</v>
      </c>
      <c r="F692" s="48">
        <f t="shared" ref="F692:F751" si="19">E692*D692</f>
        <v>0</v>
      </c>
    </row>
    <row r="693" spans="2:6" ht="14.4" x14ac:dyDescent="0.3">
      <c r="B693" s="420" t="s">
        <v>764</v>
      </c>
      <c r="C693" s="328" t="s">
        <v>149</v>
      </c>
      <c r="D693" s="40">
        <v>43</v>
      </c>
      <c r="E693" s="385">
        <v>9.5495999999999999</v>
      </c>
      <c r="F693" s="48">
        <f t="shared" si="19"/>
        <v>410.63279999999997</v>
      </c>
    </row>
    <row r="694" spans="2:6" ht="14.4" x14ac:dyDescent="0.3">
      <c r="B694" s="420" t="s">
        <v>765</v>
      </c>
      <c r="C694" s="419" t="s">
        <v>115</v>
      </c>
      <c r="E694" s="385">
        <v>9.66</v>
      </c>
      <c r="F694" s="48">
        <f t="shared" si="19"/>
        <v>0</v>
      </c>
    </row>
    <row r="695" spans="2:6" ht="14.4" x14ac:dyDescent="0.3">
      <c r="B695" s="420" t="s">
        <v>766</v>
      </c>
      <c r="C695" s="419" t="s">
        <v>115</v>
      </c>
      <c r="D695" s="40">
        <v>8</v>
      </c>
      <c r="E695" s="385">
        <v>4.7885999999999997</v>
      </c>
      <c r="F695" s="48">
        <f t="shared" si="19"/>
        <v>38.308799999999998</v>
      </c>
    </row>
    <row r="696" spans="2:6" ht="14.4" x14ac:dyDescent="0.3">
      <c r="B696" s="420" t="s">
        <v>767</v>
      </c>
      <c r="C696" s="419" t="s">
        <v>115</v>
      </c>
      <c r="E696" s="385">
        <v>13.799999999999999</v>
      </c>
      <c r="F696" s="48">
        <f t="shared" si="19"/>
        <v>0</v>
      </c>
    </row>
    <row r="697" spans="2:6" ht="14.4" x14ac:dyDescent="0.3">
      <c r="B697" s="420" t="s">
        <v>768</v>
      </c>
      <c r="C697" s="419" t="s">
        <v>115</v>
      </c>
      <c r="E697" s="385">
        <v>6.5274000000000001</v>
      </c>
      <c r="F697" s="48">
        <f t="shared" si="19"/>
        <v>0</v>
      </c>
    </row>
    <row r="698" spans="2:6" ht="14.4" x14ac:dyDescent="0.3">
      <c r="B698" s="420" t="s">
        <v>769</v>
      </c>
      <c r="C698" s="419" t="s">
        <v>115</v>
      </c>
      <c r="E698" s="385">
        <v>8.5974000000000004</v>
      </c>
      <c r="F698" s="48">
        <f t="shared" si="19"/>
        <v>0</v>
      </c>
    </row>
    <row r="699" spans="2:6" ht="14.4" x14ac:dyDescent="0.3">
      <c r="B699" s="420" t="s">
        <v>770</v>
      </c>
      <c r="C699" s="419" t="s">
        <v>115</v>
      </c>
      <c r="E699" s="385">
        <v>6.8999999999999995</v>
      </c>
      <c r="F699" s="48">
        <f t="shared" si="19"/>
        <v>0</v>
      </c>
    </row>
    <row r="700" spans="2:6" ht="14.4" x14ac:dyDescent="0.3">
      <c r="B700" s="420" t="s">
        <v>771</v>
      </c>
      <c r="C700" s="419" t="s">
        <v>115</v>
      </c>
      <c r="E700" s="385">
        <v>6.8999999999999995</v>
      </c>
      <c r="F700" s="48">
        <f t="shared" si="19"/>
        <v>0</v>
      </c>
    </row>
    <row r="701" spans="2:6" ht="14.4" x14ac:dyDescent="0.3">
      <c r="B701" s="420" t="s">
        <v>772</v>
      </c>
      <c r="C701" s="419" t="s">
        <v>115</v>
      </c>
      <c r="D701" s="40">
        <v>13</v>
      </c>
      <c r="E701" s="385">
        <v>2.5667999999999997</v>
      </c>
      <c r="F701" s="48">
        <f t="shared" si="19"/>
        <v>33.368399999999994</v>
      </c>
    </row>
    <row r="702" spans="2:6" ht="14.4" x14ac:dyDescent="0.3">
      <c r="B702" s="420" t="s">
        <v>773</v>
      </c>
      <c r="C702" s="419" t="s">
        <v>115</v>
      </c>
      <c r="D702" s="40">
        <v>13</v>
      </c>
      <c r="E702" s="385">
        <v>2.3308200000000001</v>
      </c>
      <c r="F702" s="48">
        <f t="shared" si="19"/>
        <v>30.300660000000001</v>
      </c>
    </row>
    <row r="703" spans="2:6" ht="14.4" x14ac:dyDescent="0.3">
      <c r="B703" s="420" t="s">
        <v>774</v>
      </c>
      <c r="C703" s="419" t="s">
        <v>115</v>
      </c>
      <c r="E703" s="385">
        <v>5.52</v>
      </c>
      <c r="F703" s="48">
        <f t="shared" si="19"/>
        <v>0</v>
      </c>
    </row>
    <row r="704" spans="2:6" ht="14.4" x14ac:dyDescent="0.3">
      <c r="B704" s="420" t="s">
        <v>775</v>
      </c>
      <c r="C704" s="419" t="s">
        <v>115</v>
      </c>
      <c r="D704" s="40">
        <v>2</v>
      </c>
      <c r="E704" s="385">
        <v>2.6771999999999996</v>
      </c>
      <c r="F704" s="48">
        <f t="shared" si="19"/>
        <v>5.3543999999999992</v>
      </c>
    </row>
    <row r="705" spans="2:6" ht="14.4" x14ac:dyDescent="0.3">
      <c r="B705" s="324" t="s">
        <v>776</v>
      </c>
      <c r="C705" s="328" t="s">
        <v>149</v>
      </c>
      <c r="E705" s="385">
        <v>6.8999999999999995</v>
      </c>
      <c r="F705" s="48">
        <f t="shared" si="19"/>
        <v>0</v>
      </c>
    </row>
    <row r="706" spans="2:6" ht="14.4" x14ac:dyDescent="0.3">
      <c r="B706" s="420" t="s">
        <v>777</v>
      </c>
      <c r="C706" s="328" t="s">
        <v>149</v>
      </c>
      <c r="E706" s="385">
        <v>5.52</v>
      </c>
      <c r="F706" s="48">
        <f t="shared" si="19"/>
        <v>0</v>
      </c>
    </row>
    <row r="707" spans="2:6" ht="14.4" x14ac:dyDescent="0.3">
      <c r="B707" s="324" t="s">
        <v>778</v>
      </c>
      <c r="C707" s="328" t="s">
        <v>149</v>
      </c>
      <c r="E707" s="385">
        <v>8.7354000000000003</v>
      </c>
      <c r="F707" s="48">
        <f t="shared" si="19"/>
        <v>0</v>
      </c>
    </row>
    <row r="708" spans="2:6" ht="14.4" x14ac:dyDescent="0.3">
      <c r="B708" s="420" t="s">
        <v>779</v>
      </c>
      <c r="C708" s="328" t="s">
        <v>149</v>
      </c>
      <c r="D708" s="40">
        <v>9</v>
      </c>
      <c r="E708" s="385">
        <v>3.726</v>
      </c>
      <c r="F708" s="48">
        <f t="shared" si="19"/>
        <v>33.533999999999999</v>
      </c>
    </row>
    <row r="709" spans="2:6" ht="14.4" x14ac:dyDescent="0.3">
      <c r="B709" s="420" t="s">
        <v>780</v>
      </c>
      <c r="C709" s="328" t="s">
        <v>149</v>
      </c>
      <c r="E709" s="385">
        <v>2.8979999999999997</v>
      </c>
      <c r="F709" s="48">
        <f t="shared" si="19"/>
        <v>0</v>
      </c>
    </row>
    <row r="710" spans="2:6" ht="14.4" x14ac:dyDescent="0.3">
      <c r="B710" s="420" t="s">
        <v>783</v>
      </c>
      <c r="C710" s="419" t="s">
        <v>115</v>
      </c>
      <c r="E710" s="385">
        <v>2.3321999999999998</v>
      </c>
      <c r="F710" s="48">
        <f t="shared" si="19"/>
        <v>0</v>
      </c>
    </row>
    <row r="711" spans="2:6" ht="14.4" x14ac:dyDescent="0.3">
      <c r="B711" s="420" t="s">
        <v>784</v>
      </c>
      <c r="C711" s="419" t="s">
        <v>115</v>
      </c>
      <c r="E711" s="385">
        <v>4.1399999999999997</v>
      </c>
      <c r="F711" s="48">
        <f t="shared" si="19"/>
        <v>0</v>
      </c>
    </row>
    <row r="712" spans="2:6" ht="14.4" x14ac:dyDescent="0.3">
      <c r="B712" s="420" t="s">
        <v>785</v>
      </c>
      <c r="C712" s="419" t="s">
        <v>115</v>
      </c>
      <c r="E712" s="385">
        <v>0.93840000000000001</v>
      </c>
      <c r="F712" s="48">
        <f t="shared" si="19"/>
        <v>0</v>
      </c>
    </row>
    <row r="713" spans="2:6" ht="14.4" x14ac:dyDescent="0.3">
      <c r="B713" s="420" t="s">
        <v>786</v>
      </c>
      <c r="C713" s="419" t="s">
        <v>115</v>
      </c>
      <c r="D713" s="40">
        <v>7</v>
      </c>
      <c r="E713" s="385">
        <v>11.716199999999999</v>
      </c>
      <c r="F713" s="48">
        <f t="shared" si="19"/>
        <v>82.01339999999999</v>
      </c>
    </row>
    <row r="714" spans="2:6" ht="14.4" x14ac:dyDescent="0.3">
      <c r="B714" s="324" t="s">
        <v>787</v>
      </c>
      <c r="C714" s="328" t="s">
        <v>149</v>
      </c>
      <c r="E714" s="326">
        <v>14</v>
      </c>
      <c r="F714" s="48">
        <f t="shared" si="19"/>
        <v>0</v>
      </c>
    </row>
    <row r="715" spans="2:6" ht="14.4" x14ac:dyDescent="0.3">
      <c r="B715" s="420" t="s">
        <v>788</v>
      </c>
      <c r="C715" s="328" t="s">
        <v>149</v>
      </c>
      <c r="E715" s="326">
        <v>6</v>
      </c>
      <c r="F715" s="48">
        <f t="shared" si="19"/>
        <v>0</v>
      </c>
    </row>
    <row r="716" spans="2:6" ht="14.4" x14ac:dyDescent="0.3">
      <c r="B716" s="324"/>
      <c r="C716" s="328"/>
      <c r="E716" s="328"/>
      <c r="F716" s="48">
        <f t="shared" si="19"/>
        <v>0</v>
      </c>
    </row>
    <row r="717" spans="2:6" ht="14.4" x14ac:dyDescent="0.3">
      <c r="B717" s="324" t="s">
        <v>789</v>
      </c>
      <c r="C717" s="328" t="s">
        <v>115</v>
      </c>
      <c r="E717" s="326">
        <v>40</v>
      </c>
      <c r="F717" s="48">
        <f t="shared" si="19"/>
        <v>0</v>
      </c>
    </row>
    <row r="718" spans="2:6" ht="14.4" x14ac:dyDescent="0.3">
      <c r="B718" s="420" t="s">
        <v>790</v>
      </c>
      <c r="C718" s="328" t="s">
        <v>115</v>
      </c>
      <c r="E718" s="326">
        <v>30</v>
      </c>
      <c r="F718" s="48">
        <f t="shared" si="19"/>
        <v>0</v>
      </c>
    </row>
    <row r="719" spans="2:6" ht="14.4" x14ac:dyDescent="0.3">
      <c r="B719" s="324" t="s">
        <v>791</v>
      </c>
      <c r="C719" s="328" t="s">
        <v>115</v>
      </c>
      <c r="E719" s="326">
        <v>33</v>
      </c>
      <c r="F719" s="48">
        <f t="shared" si="19"/>
        <v>0</v>
      </c>
    </row>
    <row r="720" spans="2:6" ht="14.4" x14ac:dyDescent="0.3">
      <c r="B720" s="420" t="s">
        <v>792</v>
      </c>
      <c r="C720" s="328" t="s">
        <v>115</v>
      </c>
      <c r="E720" s="326">
        <v>23.26</v>
      </c>
      <c r="F720" s="48">
        <f t="shared" si="19"/>
        <v>0</v>
      </c>
    </row>
    <row r="721" spans="2:6" ht="14.4" x14ac:dyDescent="0.3">
      <c r="B721" s="420" t="s">
        <v>793</v>
      </c>
      <c r="C721" s="328" t="s">
        <v>115</v>
      </c>
      <c r="E721" s="326">
        <v>50</v>
      </c>
      <c r="F721" s="48">
        <f t="shared" si="19"/>
        <v>0</v>
      </c>
    </row>
    <row r="722" spans="2:6" ht="14.4" x14ac:dyDescent="0.3">
      <c r="B722" s="324" t="s">
        <v>794</v>
      </c>
      <c r="C722" s="328" t="s">
        <v>115</v>
      </c>
      <c r="E722" s="326">
        <v>7.65</v>
      </c>
      <c r="F722" s="48">
        <f t="shared" si="19"/>
        <v>0</v>
      </c>
    </row>
    <row r="723" spans="2:6" ht="14.4" x14ac:dyDescent="0.3">
      <c r="B723" s="324" t="s">
        <v>795</v>
      </c>
      <c r="C723" s="328" t="s">
        <v>115</v>
      </c>
      <c r="E723" s="326">
        <v>7.65</v>
      </c>
      <c r="F723" s="48">
        <f t="shared" si="19"/>
        <v>0</v>
      </c>
    </row>
    <row r="724" spans="2:6" ht="14.4" x14ac:dyDescent="0.3">
      <c r="B724" s="324" t="s">
        <v>796</v>
      </c>
      <c r="C724" s="328" t="s">
        <v>115</v>
      </c>
      <c r="E724" s="326">
        <v>13.59</v>
      </c>
      <c r="F724" s="48">
        <f t="shared" si="19"/>
        <v>0</v>
      </c>
    </row>
    <row r="725" spans="2:6" ht="14.4" x14ac:dyDescent="0.3">
      <c r="B725" s="324" t="s">
        <v>797</v>
      </c>
      <c r="C725" s="328" t="s">
        <v>115</v>
      </c>
      <c r="E725" s="326">
        <v>0</v>
      </c>
      <c r="F725" s="48">
        <f t="shared" si="19"/>
        <v>0</v>
      </c>
    </row>
    <row r="726" spans="2:6" ht="14.4" x14ac:dyDescent="0.3">
      <c r="B726" s="324" t="s">
        <v>798</v>
      </c>
      <c r="C726" s="328" t="s">
        <v>115</v>
      </c>
      <c r="E726" s="326">
        <v>75</v>
      </c>
      <c r="F726" s="48">
        <f t="shared" si="19"/>
        <v>0</v>
      </c>
    </row>
    <row r="727" spans="2:6" ht="14.4" x14ac:dyDescent="0.3">
      <c r="B727" s="324"/>
      <c r="C727" s="328"/>
      <c r="E727" s="324"/>
      <c r="F727" s="48">
        <f t="shared" si="19"/>
        <v>0</v>
      </c>
    </row>
    <row r="728" spans="2:6" ht="14.4" x14ac:dyDescent="0.3">
      <c r="B728" s="324" t="s">
        <v>799</v>
      </c>
      <c r="C728" s="328" t="s">
        <v>115</v>
      </c>
      <c r="E728" s="326">
        <v>2</v>
      </c>
      <c r="F728" s="48">
        <f t="shared" si="19"/>
        <v>0</v>
      </c>
    </row>
    <row r="729" spans="2:6" ht="14.4" x14ac:dyDescent="0.3">
      <c r="B729" s="324" t="s">
        <v>800</v>
      </c>
      <c r="C729" s="328" t="s">
        <v>115</v>
      </c>
      <c r="E729" s="326">
        <v>1.5</v>
      </c>
      <c r="F729" s="48">
        <f t="shared" si="19"/>
        <v>0</v>
      </c>
    </row>
    <row r="730" spans="2:6" ht="14.4" x14ac:dyDescent="0.3">
      <c r="B730" s="324" t="s">
        <v>491</v>
      </c>
      <c r="C730" s="328" t="s">
        <v>149</v>
      </c>
      <c r="E730" s="326">
        <f>E622</f>
        <v>0</v>
      </c>
      <c r="F730" s="48">
        <f t="shared" si="19"/>
        <v>0</v>
      </c>
    </row>
    <row r="731" spans="2:6" ht="14.4" x14ac:dyDescent="0.3">
      <c r="B731" s="324"/>
      <c r="C731" s="328"/>
      <c r="E731" s="326"/>
      <c r="F731" s="48">
        <f t="shared" si="19"/>
        <v>0</v>
      </c>
    </row>
    <row r="732" spans="2:6" ht="14.4" x14ac:dyDescent="0.3">
      <c r="B732" s="324" t="s">
        <v>801</v>
      </c>
      <c r="C732" s="328" t="s">
        <v>115</v>
      </c>
      <c r="E732" s="326">
        <v>26.4</v>
      </c>
      <c r="F732" s="48">
        <f t="shared" si="19"/>
        <v>0</v>
      </c>
    </row>
    <row r="733" spans="2:6" ht="14.4" x14ac:dyDescent="0.3">
      <c r="B733" s="324" t="s">
        <v>802</v>
      </c>
      <c r="C733" s="328" t="s">
        <v>115</v>
      </c>
      <c r="E733" s="326">
        <v>23</v>
      </c>
      <c r="F733" s="48">
        <f t="shared" si="19"/>
        <v>0</v>
      </c>
    </row>
    <row r="734" spans="2:6" ht="14.4" x14ac:dyDescent="0.3">
      <c r="B734" s="324" t="s">
        <v>803</v>
      </c>
      <c r="C734" s="328" t="s">
        <v>115</v>
      </c>
      <c r="E734" s="326">
        <v>75</v>
      </c>
      <c r="F734" s="48">
        <f t="shared" si="19"/>
        <v>0</v>
      </c>
    </row>
    <row r="735" spans="2:6" ht="14.4" x14ac:dyDescent="0.3">
      <c r="B735" s="324" t="s">
        <v>804</v>
      </c>
      <c r="C735" s="328" t="s">
        <v>115</v>
      </c>
      <c r="E735" s="326">
        <v>22</v>
      </c>
      <c r="F735" s="48">
        <f t="shared" si="19"/>
        <v>0</v>
      </c>
    </row>
    <row r="736" spans="2:6" ht="14.4" x14ac:dyDescent="0.3">
      <c r="B736" s="324" t="s">
        <v>805</v>
      </c>
      <c r="C736" s="328" t="s">
        <v>115</v>
      </c>
      <c r="E736" s="326">
        <v>10</v>
      </c>
      <c r="F736" s="48">
        <f t="shared" si="19"/>
        <v>0</v>
      </c>
    </row>
    <row r="737" spans="2:6" ht="14.4" x14ac:dyDescent="0.3">
      <c r="B737" s="324"/>
      <c r="C737" s="328"/>
      <c r="E737" s="326"/>
      <c r="F737" s="48">
        <f t="shared" si="19"/>
        <v>0</v>
      </c>
    </row>
    <row r="738" spans="2:6" ht="14.4" x14ac:dyDescent="0.3">
      <c r="B738" s="420" t="s">
        <v>806</v>
      </c>
      <c r="C738" s="328" t="s">
        <v>115</v>
      </c>
      <c r="E738" s="326">
        <v>520</v>
      </c>
      <c r="F738" s="48">
        <f t="shared" si="19"/>
        <v>0</v>
      </c>
    </row>
    <row r="739" spans="2:6" ht="14.4" x14ac:dyDescent="0.3">
      <c r="B739" s="420" t="s">
        <v>807</v>
      </c>
      <c r="C739" s="328" t="s">
        <v>115</v>
      </c>
      <c r="E739" s="326">
        <v>230</v>
      </c>
      <c r="F739" s="48">
        <f t="shared" si="19"/>
        <v>0</v>
      </c>
    </row>
    <row r="740" spans="2:6" ht="14.4" x14ac:dyDescent="0.3">
      <c r="B740" s="420" t="s">
        <v>808</v>
      </c>
      <c r="C740" s="328" t="s">
        <v>115</v>
      </c>
      <c r="E740" s="326">
        <v>2800</v>
      </c>
      <c r="F740" s="48">
        <f t="shared" si="19"/>
        <v>0</v>
      </c>
    </row>
    <row r="741" spans="2:6" ht="14.4" x14ac:dyDescent="0.3">
      <c r="B741" s="420" t="s">
        <v>809</v>
      </c>
      <c r="C741" s="328" t="s">
        <v>115</v>
      </c>
      <c r="E741" s="326">
        <v>950</v>
      </c>
      <c r="F741" s="48">
        <f t="shared" si="19"/>
        <v>0</v>
      </c>
    </row>
    <row r="742" spans="2:6" ht="14.4" x14ac:dyDescent="0.3">
      <c r="B742" s="420" t="s">
        <v>745</v>
      </c>
      <c r="C742" s="328" t="s">
        <v>115</v>
      </c>
      <c r="E742" s="326">
        <v>1250</v>
      </c>
      <c r="F742" s="48">
        <f t="shared" si="19"/>
        <v>0</v>
      </c>
    </row>
    <row r="743" spans="2:6" ht="14.4" x14ac:dyDescent="0.3">
      <c r="B743" s="420" t="s">
        <v>810</v>
      </c>
      <c r="C743" s="328" t="s">
        <v>115</v>
      </c>
      <c r="E743" s="334">
        <v>200</v>
      </c>
      <c r="F743" s="48">
        <f t="shared" si="19"/>
        <v>0</v>
      </c>
    </row>
    <row r="744" spans="2:6" ht="14.4" x14ac:dyDescent="0.3">
      <c r="B744" s="420" t="s">
        <v>811</v>
      </c>
      <c r="C744" s="328" t="s">
        <v>115</v>
      </c>
      <c r="D744" s="40">
        <v>1</v>
      </c>
      <c r="E744" s="334">
        <v>60</v>
      </c>
      <c r="F744" s="48">
        <f t="shared" si="19"/>
        <v>60</v>
      </c>
    </row>
    <row r="745" spans="2:6" ht="14.4" x14ac:dyDescent="0.3">
      <c r="B745" s="420" t="s">
        <v>812</v>
      </c>
      <c r="C745" s="328" t="s">
        <v>115</v>
      </c>
      <c r="E745" s="334">
        <v>120</v>
      </c>
      <c r="F745" s="48">
        <f t="shared" si="19"/>
        <v>0</v>
      </c>
    </row>
    <row r="746" spans="2:6" ht="14.4" x14ac:dyDescent="0.3">
      <c r="B746" s="420" t="s">
        <v>813</v>
      </c>
      <c r="C746" s="328" t="s">
        <v>115</v>
      </c>
      <c r="D746" s="40">
        <v>5</v>
      </c>
      <c r="E746" s="326">
        <v>61.33</v>
      </c>
      <c r="F746" s="48">
        <f t="shared" si="19"/>
        <v>306.64999999999998</v>
      </c>
    </row>
    <row r="747" spans="2:6" ht="14.4" x14ac:dyDescent="0.3">
      <c r="B747" s="420" t="s">
        <v>814</v>
      </c>
      <c r="C747" s="328" t="s">
        <v>115</v>
      </c>
      <c r="E747" s="334">
        <v>100</v>
      </c>
      <c r="F747" s="48">
        <f t="shared" si="19"/>
        <v>0</v>
      </c>
    </row>
    <row r="748" spans="2:6" ht="28.8" x14ac:dyDescent="0.3">
      <c r="B748" s="425" t="s">
        <v>815</v>
      </c>
      <c r="C748" s="328" t="s">
        <v>115</v>
      </c>
      <c r="D748" s="40">
        <v>2</v>
      </c>
      <c r="E748" s="334">
        <v>250</v>
      </c>
      <c r="F748" s="48">
        <f t="shared" si="19"/>
        <v>500</v>
      </c>
    </row>
    <row r="749" spans="2:6" ht="43.2" x14ac:dyDescent="0.3">
      <c r="B749" s="425" t="s">
        <v>816</v>
      </c>
      <c r="C749" s="328" t="s">
        <v>115</v>
      </c>
      <c r="E749" s="334">
        <v>250</v>
      </c>
      <c r="F749" s="48">
        <f t="shared" si="19"/>
        <v>0</v>
      </c>
    </row>
    <row r="750" spans="2:6" ht="14.4" x14ac:dyDescent="0.3">
      <c r="B750" s="425" t="s">
        <v>817</v>
      </c>
      <c r="C750" s="328" t="s">
        <v>115</v>
      </c>
      <c r="E750" s="326">
        <v>300</v>
      </c>
      <c r="F750" s="48">
        <f t="shared" si="19"/>
        <v>0</v>
      </c>
    </row>
    <row r="751" spans="2:6" ht="14.4" x14ac:dyDescent="0.3">
      <c r="B751" s="425" t="s">
        <v>818</v>
      </c>
      <c r="C751" s="328" t="s">
        <v>115</v>
      </c>
      <c r="E751" s="334">
        <v>1200</v>
      </c>
      <c r="F751" s="48">
        <f t="shared" si="19"/>
        <v>0</v>
      </c>
    </row>
    <row r="754" spans="2:6" ht="14.4" x14ac:dyDescent="0.3">
      <c r="B754" s="325" t="s">
        <v>840</v>
      </c>
    </row>
    <row r="755" spans="2:6" ht="14.4" x14ac:dyDescent="0.3">
      <c r="B755" s="327" t="s">
        <v>354</v>
      </c>
    </row>
    <row r="756" spans="2:6" ht="14.4" x14ac:dyDescent="0.3">
      <c r="B756" s="324"/>
    </row>
    <row r="757" spans="2:6" ht="14.4" x14ac:dyDescent="0.3">
      <c r="B757" s="324"/>
    </row>
    <row r="758" spans="2:6" ht="14.4" x14ac:dyDescent="0.3">
      <c r="B758" s="420" t="s">
        <v>841</v>
      </c>
      <c r="C758" s="328" t="s">
        <v>149</v>
      </c>
      <c r="E758" s="385">
        <v>165.6</v>
      </c>
      <c r="F758" s="48">
        <f>E758*D758</f>
        <v>0</v>
      </c>
    </row>
    <row r="759" spans="2:6" ht="14.4" x14ac:dyDescent="0.3">
      <c r="B759" s="420" t="s">
        <v>842</v>
      </c>
      <c r="C759" s="328" t="s">
        <v>149</v>
      </c>
      <c r="E759" s="385">
        <v>89.699999999999989</v>
      </c>
      <c r="F759" s="48">
        <f t="shared" ref="F759:F822" si="20">E759*D759</f>
        <v>0</v>
      </c>
    </row>
    <row r="760" spans="2:6" ht="14.4" x14ac:dyDescent="0.3">
      <c r="B760" s="420" t="s">
        <v>843</v>
      </c>
      <c r="C760" s="328" t="s">
        <v>149</v>
      </c>
      <c r="E760" s="385">
        <v>66.239999999999995</v>
      </c>
      <c r="F760" s="48">
        <f t="shared" si="20"/>
        <v>0</v>
      </c>
    </row>
    <row r="761" spans="2:6" ht="14.4" x14ac:dyDescent="0.3">
      <c r="B761" s="420" t="s">
        <v>844</v>
      </c>
      <c r="C761" s="328" t="s">
        <v>149</v>
      </c>
      <c r="E761" s="385">
        <v>0</v>
      </c>
      <c r="F761" s="48">
        <f t="shared" si="20"/>
        <v>0</v>
      </c>
    </row>
    <row r="762" spans="2:6" ht="14.4" x14ac:dyDescent="0.3">
      <c r="B762" s="420" t="s">
        <v>845</v>
      </c>
      <c r="C762" s="328" t="s">
        <v>149</v>
      </c>
      <c r="E762" s="385">
        <v>85.104599999999991</v>
      </c>
      <c r="F762" s="48">
        <f t="shared" si="20"/>
        <v>0</v>
      </c>
    </row>
    <row r="763" spans="2:6" ht="14.4" x14ac:dyDescent="0.3">
      <c r="B763" s="420" t="s">
        <v>846</v>
      </c>
      <c r="C763" s="328" t="s">
        <v>149</v>
      </c>
      <c r="E763" s="385">
        <v>84.179999999999993</v>
      </c>
      <c r="F763" s="48">
        <f t="shared" si="20"/>
        <v>0</v>
      </c>
    </row>
    <row r="764" spans="2:6" ht="14.4" x14ac:dyDescent="0.3">
      <c r="B764" s="324" t="s">
        <v>847</v>
      </c>
      <c r="C764" s="328" t="s">
        <v>149</v>
      </c>
      <c r="E764" s="385">
        <v>68.77</v>
      </c>
      <c r="F764" s="48">
        <f t="shared" si="20"/>
        <v>0</v>
      </c>
    </row>
    <row r="765" spans="2:6" ht="14.4" x14ac:dyDescent="0.3">
      <c r="B765" s="324" t="s">
        <v>848</v>
      </c>
      <c r="C765" s="328" t="s">
        <v>149</v>
      </c>
      <c r="E765" s="385">
        <v>55.199999999999996</v>
      </c>
      <c r="F765" s="48">
        <f t="shared" si="20"/>
        <v>0</v>
      </c>
    </row>
    <row r="766" spans="2:6" ht="14.4" x14ac:dyDescent="0.3">
      <c r="B766" s="420" t="s">
        <v>849</v>
      </c>
      <c r="C766" s="328" t="s">
        <v>149</v>
      </c>
      <c r="E766" s="385">
        <v>55.199999999999996</v>
      </c>
      <c r="F766" s="48">
        <f t="shared" si="20"/>
        <v>0</v>
      </c>
    </row>
    <row r="767" spans="2:6" ht="14.4" x14ac:dyDescent="0.3">
      <c r="B767" s="420" t="s">
        <v>850</v>
      </c>
      <c r="C767" s="328" t="s">
        <v>149</v>
      </c>
      <c r="E767" s="385">
        <v>42.779999999999994</v>
      </c>
      <c r="F767" s="48">
        <f t="shared" si="20"/>
        <v>0</v>
      </c>
    </row>
    <row r="768" spans="2:6" ht="14.4" x14ac:dyDescent="0.3">
      <c r="B768" s="324" t="s">
        <v>851</v>
      </c>
      <c r="C768" s="328" t="s">
        <v>149</v>
      </c>
      <c r="E768" s="385">
        <v>32.659999999999997</v>
      </c>
      <c r="F768" s="48">
        <f t="shared" si="20"/>
        <v>0</v>
      </c>
    </row>
    <row r="769" spans="2:6" ht="14.4" x14ac:dyDescent="0.3">
      <c r="B769" s="420" t="s">
        <v>852</v>
      </c>
      <c r="C769" s="328" t="s">
        <v>149</v>
      </c>
      <c r="E769" s="385">
        <v>19.549999999999997</v>
      </c>
      <c r="F769" s="48">
        <f t="shared" si="20"/>
        <v>0</v>
      </c>
    </row>
    <row r="770" spans="2:6" ht="14.4" x14ac:dyDescent="0.3">
      <c r="B770" s="324" t="s">
        <v>853</v>
      </c>
      <c r="C770" s="328" t="s">
        <v>149</v>
      </c>
      <c r="E770" s="385">
        <v>16.099999999999998</v>
      </c>
      <c r="F770" s="48">
        <f t="shared" si="20"/>
        <v>0</v>
      </c>
    </row>
    <row r="771" spans="2:6" ht="14.4" x14ac:dyDescent="0.3">
      <c r="B771" s="324" t="s">
        <v>854</v>
      </c>
      <c r="C771" s="328" t="s">
        <v>149</v>
      </c>
      <c r="E771" s="385">
        <v>19.549999999999997</v>
      </c>
      <c r="F771" s="48">
        <f t="shared" si="20"/>
        <v>0</v>
      </c>
    </row>
    <row r="772" spans="2:6" ht="14.4" x14ac:dyDescent="0.3">
      <c r="B772" s="420" t="s">
        <v>853</v>
      </c>
      <c r="C772" s="419" t="s">
        <v>149</v>
      </c>
      <c r="E772" s="385">
        <v>16.559999999999999</v>
      </c>
      <c r="F772" s="48">
        <f t="shared" si="20"/>
        <v>0</v>
      </c>
    </row>
    <row r="773" spans="2:6" ht="14.4" x14ac:dyDescent="0.3">
      <c r="B773" s="420" t="s">
        <v>764</v>
      </c>
      <c r="C773" s="419" t="s">
        <v>149</v>
      </c>
      <c r="E773" s="385">
        <f>(2415.3/(83*6))*1.38</f>
        <v>6.6930000000000005</v>
      </c>
      <c r="F773" s="48">
        <f t="shared" si="20"/>
        <v>0</v>
      </c>
    </row>
    <row r="774" spans="2:6" ht="14.4" x14ac:dyDescent="0.3">
      <c r="B774" s="420" t="s">
        <v>855</v>
      </c>
      <c r="C774" s="419" t="s">
        <v>149</v>
      </c>
      <c r="E774" s="385">
        <v>6.8999999999999995</v>
      </c>
      <c r="F774" s="48">
        <f t="shared" si="20"/>
        <v>0</v>
      </c>
    </row>
    <row r="775" spans="2:6" ht="14.4" x14ac:dyDescent="0.3">
      <c r="B775" s="420" t="s">
        <v>856</v>
      </c>
      <c r="C775" s="419" t="s">
        <v>149</v>
      </c>
      <c r="E775" s="385">
        <f>(2415.3/(83*6))*1.38</f>
        <v>6.6930000000000005</v>
      </c>
      <c r="F775" s="48">
        <f t="shared" si="20"/>
        <v>0</v>
      </c>
    </row>
    <row r="776" spans="2:6" ht="14.4" x14ac:dyDescent="0.3">
      <c r="B776" s="420"/>
      <c r="C776" s="419"/>
      <c r="E776" s="385">
        <v>0</v>
      </c>
      <c r="F776" s="48">
        <f t="shared" si="20"/>
        <v>0</v>
      </c>
    </row>
    <row r="777" spans="2:6" ht="14.4" x14ac:dyDescent="0.3">
      <c r="B777" s="335" t="s">
        <v>857</v>
      </c>
      <c r="C777" s="328"/>
      <c r="E777" s="385">
        <v>0</v>
      </c>
      <c r="F777" s="48">
        <f t="shared" si="20"/>
        <v>0</v>
      </c>
    </row>
    <row r="778" spans="2:6" ht="14.4" x14ac:dyDescent="0.3">
      <c r="B778" s="420"/>
      <c r="C778" s="328" t="s">
        <v>115</v>
      </c>
      <c r="E778" s="385">
        <v>0</v>
      </c>
      <c r="F778" s="48">
        <f t="shared" si="20"/>
        <v>0</v>
      </c>
    </row>
    <row r="779" spans="2:6" ht="14.4" x14ac:dyDescent="0.3">
      <c r="B779" t="s">
        <v>858</v>
      </c>
      <c r="C779" s="328" t="s">
        <v>115</v>
      </c>
      <c r="E779" s="385">
        <v>676.19999999999993</v>
      </c>
      <c r="F779" s="48">
        <f t="shared" si="20"/>
        <v>0</v>
      </c>
    </row>
    <row r="780" spans="2:6" ht="14.4" x14ac:dyDescent="0.3">
      <c r="B780" t="s">
        <v>859</v>
      </c>
      <c r="C780" s="328" t="s">
        <v>115</v>
      </c>
      <c r="E780" s="385">
        <v>896.99999999999989</v>
      </c>
      <c r="F780" s="48">
        <f t="shared" si="20"/>
        <v>0</v>
      </c>
    </row>
    <row r="781" spans="2:6" ht="14.4" x14ac:dyDescent="0.3">
      <c r="B781" t="s">
        <v>860</v>
      </c>
      <c r="C781" s="328" t="s">
        <v>115</v>
      </c>
      <c r="E781" s="385">
        <v>1517.9999999999998</v>
      </c>
      <c r="F781" s="48">
        <f t="shared" si="20"/>
        <v>0</v>
      </c>
    </row>
    <row r="782" spans="2:6" ht="14.4" x14ac:dyDescent="0.3">
      <c r="B782" t="s">
        <v>861</v>
      </c>
      <c r="C782" s="328" t="s">
        <v>115</v>
      </c>
      <c r="E782" s="385">
        <v>634.79999999999995</v>
      </c>
      <c r="F782" s="48">
        <f t="shared" si="20"/>
        <v>0</v>
      </c>
    </row>
    <row r="783" spans="2:6" ht="14.4" x14ac:dyDescent="0.3">
      <c r="B783" t="s">
        <v>862</v>
      </c>
      <c r="C783" s="328" t="s">
        <v>115</v>
      </c>
      <c r="E783" s="385">
        <v>800.4</v>
      </c>
      <c r="F783" s="48">
        <f t="shared" si="20"/>
        <v>0</v>
      </c>
    </row>
    <row r="784" spans="2:6" ht="14.4" x14ac:dyDescent="0.3">
      <c r="B784" t="s">
        <v>863</v>
      </c>
      <c r="C784" s="328" t="s">
        <v>115</v>
      </c>
      <c r="E784" s="385">
        <v>441.59999999999997</v>
      </c>
      <c r="F784" s="48">
        <f t="shared" si="20"/>
        <v>0</v>
      </c>
    </row>
    <row r="785" spans="2:6" ht="14.4" x14ac:dyDescent="0.3">
      <c r="B785" s="420" t="s">
        <v>864</v>
      </c>
      <c r="C785" s="328" t="s">
        <v>115</v>
      </c>
      <c r="E785" s="385">
        <v>579.59999999999991</v>
      </c>
      <c r="F785" s="48">
        <f t="shared" si="20"/>
        <v>0</v>
      </c>
    </row>
    <row r="786" spans="2:6" ht="14.4" x14ac:dyDescent="0.3">
      <c r="B786" s="420" t="s">
        <v>865</v>
      </c>
      <c r="C786" s="328" t="s">
        <v>115</v>
      </c>
      <c r="E786" s="385">
        <v>776.09819999999991</v>
      </c>
      <c r="F786" s="48">
        <f t="shared" si="20"/>
        <v>0</v>
      </c>
    </row>
    <row r="787" spans="2:6" ht="14.4" x14ac:dyDescent="0.3">
      <c r="B787" s="420" t="s">
        <v>866</v>
      </c>
      <c r="C787" s="328" t="s">
        <v>115</v>
      </c>
      <c r="E787" s="385">
        <v>777.4781999999999</v>
      </c>
      <c r="F787" s="48">
        <f t="shared" si="20"/>
        <v>0</v>
      </c>
    </row>
    <row r="788" spans="2:6" ht="14.4" x14ac:dyDescent="0.3">
      <c r="B788" s="420" t="s">
        <v>867</v>
      </c>
      <c r="C788" s="328" t="s">
        <v>115</v>
      </c>
      <c r="E788" s="385">
        <v>524.4</v>
      </c>
      <c r="F788" s="48">
        <f t="shared" si="20"/>
        <v>0</v>
      </c>
    </row>
    <row r="789" spans="2:6" ht="14.4" x14ac:dyDescent="0.3">
      <c r="B789" s="420" t="s">
        <v>868</v>
      </c>
      <c r="C789" s="328" t="s">
        <v>115</v>
      </c>
      <c r="E789" s="385">
        <v>496.79999999999995</v>
      </c>
      <c r="F789" s="48">
        <f t="shared" si="20"/>
        <v>0</v>
      </c>
    </row>
    <row r="790" spans="2:6" ht="14.4" x14ac:dyDescent="0.3">
      <c r="B790" s="420" t="s">
        <v>869</v>
      </c>
      <c r="C790" s="328" t="s">
        <v>115</v>
      </c>
      <c r="E790" s="385">
        <v>745.19999999999993</v>
      </c>
      <c r="F790" s="48">
        <f t="shared" si="20"/>
        <v>0</v>
      </c>
    </row>
    <row r="791" spans="2:6" ht="14.4" x14ac:dyDescent="0.3">
      <c r="B791" s="420" t="s">
        <v>870</v>
      </c>
      <c r="C791" s="328" t="s">
        <v>115</v>
      </c>
      <c r="E791" s="385">
        <v>621</v>
      </c>
      <c r="F791" s="48">
        <f t="shared" si="20"/>
        <v>0</v>
      </c>
    </row>
    <row r="792" spans="2:6" ht="14.4" x14ac:dyDescent="0.3">
      <c r="B792" s="420" t="s">
        <v>871</v>
      </c>
      <c r="C792" s="328" t="s">
        <v>115</v>
      </c>
      <c r="E792" s="385">
        <v>496.79999999999995</v>
      </c>
      <c r="F792" s="48">
        <f t="shared" si="20"/>
        <v>0</v>
      </c>
    </row>
    <row r="793" spans="2:6" ht="14.4" x14ac:dyDescent="0.3">
      <c r="B793" s="420" t="s">
        <v>872</v>
      </c>
      <c r="C793" s="328" t="s">
        <v>115</v>
      </c>
      <c r="E793" s="385">
        <v>441.59999999999997</v>
      </c>
      <c r="F793" s="48">
        <f t="shared" si="20"/>
        <v>0</v>
      </c>
    </row>
    <row r="794" spans="2:6" ht="14.4" x14ac:dyDescent="0.3">
      <c r="B794" s="420" t="s">
        <v>873</v>
      </c>
      <c r="C794" s="328" t="s">
        <v>115</v>
      </c>
      <c r="E794" s="385">
        <v>262.2</v>
      </c>
      <c r="F794" s="48">
        <f t="shared" si="20"/>
        <v>0</v>
      </c>
    </row>
    <row r="795" spans="2:6" ht="14.4" x14ac:dyDescent="0.3">
      <c r="B795" s="420" t="s">
        <v>874</v>
      </c>
      <c r="C795" s="328" t="s">
        <v>115</v>
      </c>
      <c r="E795" s="385">
        <v>345</v>
      </c>
      <c r="F795" s="48">
        <f t="shared" si="20"/>
        <v>0</v>
      </c>
    </row>
    <row r="796" spans="2:6" ht="14.4" x14ac:dyDescent="0.3">
      <c r="B796" s="420" t="s">
        <v>875</v>
      </c>
      <c r="C796" s="328" t="s">
        <v>115</v>
      </c>
      <c r="E796" s="385">
        <v>262.2</v>
      </c>
      <c r="F796" s="48">
        <f t="shared" si="20"/>
        <v>0</v>
      </c>
    </row>
    <row r="797" spans="2:6" ht="14.4" x14ac:dyDescent="0.3">
      <c r="B797" s="420" t="s">
        <v>876</v>
      </c>
      <c r="C797" s="328" t="s">
        <v>115</v>
      </c>
      <c r="E797" s="385">
        <v>455.4</v>
      </c>
      <c r="F797" s="48">
        <f t="shared" si="20"/>
        <v>0</v>
      </c>
    </row>
    <row r="798" spans="2:6" ht="14.4" x14ac:dyDescent="0.3">
      <c r="B798" s="420" t="s">
        <v>877</v>
      </c>
      <c r="C798" s="328" t="s">
        <v>115</v>
      </c>
      <c r="E798" s="385">
        <v>117.645</v>
      </c>
      <c r="F798" s="48">
        <f t="shared" si="20"/>
        <v>0</v>
      </c>
    </row>
    <row r="799" spans="2:6" ht="14.4" x14ac:dyDescent="0.3">
      <c r="B799" s="420" t="s">
        <v>878</v>
      </c>
      <c r="C799" s="328" t="s">
        <v>115</v>
      </c>
      <c r="E799" s="385">
        <v>289.79999999999995</v>
      </c>
      <c r="F799" s="48">
        <f t="shared" si="20"/>
        <v>0</v>
      </c>
    </row>
    <row r="800" spans="2:6" ht="14.4" x14ac:dyDescent="0.3">
      <c r="B800" s="420" t="s">
        <v>879</v>
      </c>
      <c r="C800" s="328" t="s">
        <v>115</v>
      </c>
      <c r="E800" s="385">
        <v>85.559999999999988</v>
      </c>
      <c r="F800" s="48">
        <f t="shared" si="20"/>
        <v>0</v>
      </c>
    </row>
    <row r="801" spans="2:6" ht="14.4" x14ac:dyDescent="0.3">
      <c r="B801" s="420" t="s">
        <v>880</v>
      </c>
      <c r="C801" s="328" t="s">
        <v>115</v>
      </c>
      <c r="E801" s="385">
        <v>84.179999999999993</v>
      </c>
      <c r="F801" s="48">
        <f t="shared" si="20"/>
        <v>0</v>
      </c>
    </row>
    <row r="802" spans="2:6" ht="14.4" x14ac:dyDescent="0.3">
      <c r="B802" s="420" t="s">
        <v>881</v>
      </c>
      <c r="C802" s="419" t="s">
        <v>115</v>
      </c>
      <c r="E802" s="385">
        <v>62.099999999999994</v>
      </c>
      <c r="F802" s="48">
        <f t="shared" si="20"/>
        <v>0</v>
      </c>
    </row>
    <row r="803" spans="2:6" ht="14.4" x14ac:dyDescent="0.3">
      <c r="B803" s="420" t="s">
        <v>882</v>
      </c>
      <c r="C803" s="328" t="s">
        <v>115</v>
      </c>
      <c r="E803" s="385">
        <v>24.839999999999996</v>
      </c>
      <c r="F803" s="48">
        <f t="shared" si="20"/>
        <v>0</v>
      </c>
    </row>
    <row r="804" spans="2:6" ht="14.4" x14ac:dyDescent="0.3">
      <c r="B804" s="420" t="s">
        <v>883</v>
      </c>
      <c r="C804" s="328" t="s">
        <v>115</v>
      </c>
      <c r="E804" s="385">
        <v>22.08</v>
      </c>
      <c r="F804" s="48">
        <f t="shared" si="20"/>
        <v>0</v>
      </c>
    </row>
    <row r="805" spans="2:6" ht="14.4" x14ac:dyDescent="0.3">
      <c r="B805" s="420" t="s">
        <v>884</v>
      </c>
      <c r="C805" s="328" t="s">
        <v>115</v>
      </c>
      <c r="E805" s="385">
        <v>16.559999999999999</v>
      </c>
      <c r="F805" s="48">
        <f t="shared" si="20"/>
        <v>0</v>
      </c>
    </row>
    <row r="806" spans="2:6" ht="14.4" x14ac:dyDescent="0.3">
      <c r="B806" s="420" t="s">
        <v>885</v>
      </c>
      <c r="C806" s="419" t="s">
        <v>115</v>
      </c>
      <c r="E806" s="385">
        <v>22.08</v>
      </c>
      <c r="F806" s="48">
        <f t="shared" si="20"/>
        <v>0</v>
      </c>
    </row>
    <row r="807" spans="2:6" ht="14.4" x14ac:dyDescent="0.3">
      <c r="B807" s="420" t="s">
        <v>886</v>
      </c>
      <c r="C807" s="419" t="s">
        <v>115</v>
      </c>
      <c r="E807" s="385">
        <v>22.08</v>
      </c>
      <c r="F807" s="48">
        <f t="shared" si="20"/>
        <v>0</v>
      </c>
    </row>
    <row r="808" spans="2:6" ht="14.4" x14ac:dyDescent="0.3">
      <c r="B808" s="420" t="s">
        <v>766</v>
      </c>
      <c r="C808" s="419" t="s">
        <v>115</v>
      </c>
      <c r="E808" s="385">
        <v>6.4859999999999998</v>
      </c>
      <c r="F808" s="48">
        <f t="shared" si="20"/>
        <v>0</v>
      </c>
    </row>
    <row r="809" spans="2:6" ht="14.4" x14ac:dyDescent="0.3">
      <c r="B809" s="420" t="s">
        <v>887</v>
      </c>
      <c r="C809" s="419" t="s">
        <v>115</v>
      </c>
      <c r="E809" s="385">
        <v>22.08</v>
      </c>
      <c r="F809" s="48">
        <f t="shared" si="20"/>
        <v>0</v>
      </c>
    </row>
    <row r="810" spans="2:6" ht="14.4" x14ac:dyDescent="0.3">
      <c r="B810" s="420" t="s">
        <v>888</v>
      </c>
      <c r="C810" s="419" t="s">
        <v>115</v>
      </c>
      <c r="E810" s="385">
        <v>22.08</v>
      </c>
      <c r="F810" s="48">
        <f t="shared" si="20"/>
        <v>0</v>
      </c>
    </row>
    <row r="811" spans="2:6" ht="14.4" x14ac:dyDescent="0.3">
      <c r="B811" s="420" t="s">
        <v>772</v>
      </c>
      <c r="C811" s="419" t="s">
        <v>115</v>
      </c>
      <c r="E811" s="385">
        <v>16.559999999999999</v>
      </c>
      <c r="F811" s="48">
        <f t="shared" si="20"/>
        <v>0</v>
      </c>
    </row>
    <row r="812" spans="2:6" ht="14.4" x14ac:dyDescent="0.3">
      <c r="B812" s="420" t="s">
        <v>773</v>
      </c>
      <c r="C812" s="419" t="s">
        <v>115</v>
      </c>
      <c r="E812" s="385">
        <v>16.559999999999999</v>
      </c>
      <c r="F812" s="48">
        <f t="shared" si="20"/>
        <v>0</v>
      </c>
    </row>
    <row r="813" spans="2:6" ht="14.4" x14ac:dyDescent="0.3">
      <c r="B813" s="420" t="s">
        <v>889</v>
      </c>
      <c r="C813" s="419" t="s">
        <v>115</v>
      </c>
      <c r="E813" s="385">
        <v>19.32</v>
      </c>
      <c r="F813" s="48">
        <f t="shared" si="20"/>
        <v>0</v>
      </c>
    </row>
    <row r="814" spans="2:6" ht="14.4" x14ac:dyDescent="0.3">
      <c r="B814" s="420" t="s">
        <v>890</v>
      </c>
      <c r="C814" s="419" t="s">
        <v>115</v>
      </c>
      <c r="E814" s="385">
        <v>0.89699999999999991</v>
      </c>
      <c r="F814" s="48">
        <f t="shared" si="20"/>
        <v>0</v>
      </c>
    </row>
    <row r="815" spans="2:6" ht="14.4" x14ac:dyDescent="0.3">
      <c r="B815" s="420" t="s">
        <v>891</v>
      </c>
      <c r="C815" s="419" t="s">
        <v>115</v>
      </c>
      <c r="E815" s="385">
        <v>0.89699999999999991</v>
      </c>
      <c r="F815" s="48">
        <f t="shared" si="20"/>
        <v>0</v>
      </c>
    </row>
    <row r="816" spans="2:6" ht="14.4" x14ac:dyDescent="0.3">
      <c r="B816" s="420"/>
      <c r="C816" s="419"/>
      <c r="E816" s="385">
        <v>0</v>
      </c>
      <c r="F816" s="48">
        <f t="shared" si="20"/>
        <v>0</v>
      </c>
    </row>
    <row r="817" spans="2:6" ht="14.4" x14ac:dyDescent="0.3">
      <c r="B817" s="420"/>
      <c r="C817" s="419"/>
      <c r="E817" s="385">
        <v>0</v>
      </c>
      <c r="F817" s="48">
        <f t="shared" si="20"/>
        <v>0</v>
      </c>
    </row>
    <row r="818" spans="2:6" ht="14.4" x14ac:dyDescent="0.3">
      <c r="B818" s="324" t="s">
        <v>892</v>
      </c>
      <c r="C818" s="328" t="s">
        <v>115</v>
      </c>
      <c r="E818" s="385">
        <v>2.6219999999999999</v>
      </c>
      <c r="F818" s="48">
        <f t="shared" si="20"/>
        <v>0</v>
      </c>
    </row>
    <row r="819" spans="2:6" ht="14.4" x14ac:dyDescent="0.3">
      <c r="B819" s="324" t="s">
        <v>491</v>
      </c>
      <c r="C819" s="328" t="s">
        <v>149</v>
      </c>
      <c r="E819" s="385">
        <v>2.76</v>
      </c>
      <c r="F819" s="48">
        <f t="shared" si="20"/>
        <v>0</v>
      </c>
    </row>
    <row r="820" spans="2:6" ht="14.4" x14ac:dyDescent="0.3">
      <c r="B820" s="324" t="s">
        <v>801</v>
      </c>
      <c r="C820" s="328" t="s">
        <v>115</v>
      </c>
      <c r="E820" s="385">
        <v>36.431999999999995</v>
      </c>
      <c r="F820" s="48">
        <f t="shared" si="20"/>
        <v>0</v>
      </c>
    </row>
    <row r="821" spans="2:6" ht="14.4" x14ac:dyDescent="0.3">
      <c r="B821" s="324" t="s">
        <v>802</v>
      </c>
      <c r="C821" s="328" t="s">
        <v>115</v>
      </c>
      <c r="E821" s="385">
        <v>31.74</v>
      </c>
      <c r="F821" s="48">
        <f t="shared" si="20"/>
        <v>0</v>
      </c>
    </row>
    <row r="822" spans="2:6" ht="14.4" x14ac:dyDescent="0.3">
      <c r="B822" s="324"/>
      <c r="C822" s="328"/>
      <c r="E822" s="385">
        <v>0</v>
      </c>
      <c r="F822" s="48">
        <f t="shared" si="20"/>
        <v>0</v>
      </c>
    </row>
    <row r="823" spans="2:6" ht="14.4" x14ac:dyDescent="0.3">
      <c r="B823" s="426" t="s">
        <v>893</v>
      </c>
      <c r="C823" s="328"/>
      <c r="E823" s="385">
        <v>0</v>
      </c>
      <c r="F823" s="48">
        <f t="shared" ref="F823:F836" si="21">E823*D823</f>
        <v>0</v>
      </c>
    </row>
    <row r="824" spans="2:6" ht="14.4" x14ac:dyDescent="0.3">
      <c r="B824" s="324"/>
      <c r="C824" s="328"/>
      <c r="E824" s="385">
        <v>0</v>
      </c>
      <c r="F824" s="48">
        <f t="shared" si="21"/>
        <v>0</v>
      </c>
    </row>
    <row r="825" spans="2:6" ht="14.4" x14ac:dyDescent="0.3">
      <c r="B825" s="420" t="s">
        <v>894</v>
      </c>
      <c r="C825" s="328" t="s">
        <v>115</v>
      </c>
      <c r="E825" s="385">
        <v>362.13959999999997</v>
      </c>
      <c r="F825" s="48">
        <f t="shared" si="21"/>
        <v>0</v>
      </c>
    </row>
    <row r="826" spans="2:6" ht="14.4" x14ac:dyDescent="0.3">
      <c r="B826" s="420" t="s">
        <v>895</v>
      </c>
      <c r="C826" s="328" t="s">
        <v>115</v>
      </c>
      <c r="E826" s="385">
        <v>827.99999999999989</v>
      </c>
      <c r="F826" s="48">
        <f t="shared" si="21"/>
        <v>0</v>
      </c>
    </row>
    <row r="827" spans="2:6" ht="14.4" x14ac:dyDescent="0.3">
      <c r="B827" s="420" t="s">
        <v>896</v>
      </c>
      <c r="C827" s="328" t="s">
        <v>115</v>
      </c>
      <c r="E827" s="385">
        <v>552</v>
      </c>
      <c r="F827" s="48">
        <f t="shared" si="21"/>
        <v>0</v>
      </c>
    </row>
    <row r="828" spans="2:6" ht="14.4" x14ac:dyDescent="0.3">
      <c r="B828" s="420"/>
      <c r="C828" s="328"/>
      <c r="E828" s="385">
        <v>0</v>
      </c>
      <c r="F828" s="48">
        <f t="shared" si="21"/>
        <v>0</v>
      </c>
    </row>
    <row r="829" spans="2:6" ht="14.4" x14ac:dyDescent="0.3">
      <c r="B829" s="420" t="s">
        <v>897</v>
      </c>
      <c r="C829" s="328" t="s">
        <v>115</v>
      </c>
      <c r="E829" s="385">
        <v>690</v>
      </c>
      <c r="F829" s="48">
        <f t="shared" si="21"/>
        <v>0</v>
      </c>
    </row>
    <row r="830" spans="2:6" ht="14.4" x14ac:dyDescent="0.3">
      <c r="B830" s="420" t="s">
        <v>898</v>
      </c>
      <c r="C830" s="328" t="s">
        <v>115</v>
      </c>
      <c r="E830" s="385">
        <v>413.99999999999994</v>
      </c>
      <c r="F830" s="48">
        <f t="shared" si="21"/>
        <v>0</v>
      </c>
    </row>
    <row r="831" spans="2:6" ht="14.4" x14ac:dyDescent="0.3">
      <c r="B831" s="420" t="s">
        <v>899</v>
      </c>
      <c r="C831" s="328" t="s">
        <v>115</v>
      </c>
      <c r="E831" s="385">
        <v>413.99999999999994</v>
      </c>
      <c r="F831" s="48">
        <f t="shared" si="21"/>
        <v>0</v>
      </c>
    </row>
    <row r="832" spans="2:6" ht="14.4" x14ac:dyDescent="0.3">
      <c r="B832" s="420" t="s">
        <v>898</v>
      </c>
      <c r="C832" s="328" t="s">
        <v>115</v>
      </c>
      <c r="E832" s="385">
        <v>413.99999999999994</v>
      </c>
      <c r="F832" s="48">
        <f t="shared" si="21"/>
        <v>0</v>
      </c>
    </row>
    <row r="833" spans="2:6" ht="14.4" x14ac:dyDescent="0.3">
      <c r="B833" s="420"/>
      <c r="C833" s="328" t="s">
        <v>115</v>
      </c>
      <c r="E833" s="385">
        <v>0</v>
      </c>
      <c r="F833" s="48">
        <f t="shared" si="21"/>
        <v>0</v>
      </c>
    </row>
    <row r="834" spans="2:6" ht="14.4" x14ac:dyDescent="0.3">
      <c r="B834" s="420" t="s">
        <v>905</v>
      </c>
      <c r="C834" s="328" t="s">
        <v>115</v>
      </c>
      <c r="E834" s="385">
        <v>20.7</v>
      </c>
      <c r="F834" s="48">
        <f t="shared" si="21"/>
        <v>0</v>
      </c>
    </row>
    <row r="835" spans="2:6" ht="14.4" x14ac:dyDescent="0.3">
      <c r="B835" s="420" t="s">
        <v>906</v>
      </c>
      <c r="C835" s="419" t="s">
        <v>115</v>
      </c>
      <c r="E835" s="385">
        <v>110.39999999999999</v>
      </c>
      <c r="F835" s="48">
        <f t="shared" si="21"/>
        <v>0</v>
      </c>
    </row>
    <row r="836" spans="2:6" ht="14.4" x14ac:dyDescent="0.3">
      <c r="B836" s="420" t="s">
        <v>907</v>
      </c>
      <c r="C836" s="419" t="s">
        <v>115</v>
      </c>
      <c r="E836" s="326">
        <v>180</v>
      </c>
      <c r="F836" s="48">
        <f t="shared" si="21"/>
        <v>0</v>
      </c>
    </row>
    <row r="839" spans="2:6" ht="14.4" x14ac:dyDescent="0.3">
      <c r="B839" s="325" t="s">
        <v>908</v>
      </c>
    </row>
    <row r="841" spans="2:6" ht="14.4" x14ac:dyDescent="0.3">
      <c r="B841" t="s">
        <v>909</v>
      </c>
      <c r="C841" s="419" t="s">
        <v>115</v>
      </c>
      <c r="D841" s="40">
        <v>20</v>
      </c>
      <c r="E841" s="326">
        <v>180</v>
      </c>
      <c r="F841" s="48">
        <f t="shared" ref="F841:F842" si="22">E841*D841</f>
        <v>3600</v>
      </c>
    </row>
    <row r="842" spans="2:6" ht="14.4" x14ac:dyDescent="0.3">
      <c r="B842" t="s">
        <v>909</v>
      </c>
      <c r="C842" s="419" t="s">
        <v>115</v>
      </c>
      <c r="E842" s="326">
        <v>0</v>
      </c>
      <c r="F842" s="48">
        <f t="shared" si="22"/>
        <v>0</v>
      </c>
    </row>
    <row r="846" spans="2:6" x14ac:dyDescent="0.2">
      <c r="C846" s="548" t="s">
        <v>910</v>
      </c>
      <c r="D846" s="548"/>
      <c r="E846" s="548"/>
    </row>
    <row r="847" spans="2:6" x14ac:dyDescent="0.2">
      <c r="C847" s="548"/>
      <c r="D847" s="548"/>
      <c r="E847" s="548"/>
      <c r="F847" s="41">
        <f>SUM(F15:F846)</f>
        <v>113844.07733372276</v>
      </c>
    </row>
    <row r="848" spans="2:6" x14ac:dyDescent="0.2">
      <c r="C848" s="548"/>
      <c r="D848" s="548"/>
      <c r="E848" s="548"/>
    </row>
    <row r="850" spans="2:11" x14ac:dyDescent="0.2">
      <c r="E850" s="392" t="s">
        <v>911</v>
      </c>
      <c r="F850" s="393">
        <v>1.18</v>
      </c>
    </row>
    <row r="851" spans="2:11" x14ac:dyDescent="0.2">
      <c r="E851" s="392" t="s">
        <v>912</v>
      </c>
      <c r="F851" s="41">
        <v>3650</v>
      </c>
    </row>
    <row r="853" spans="2:11" x14ac:dyDescent="0.2">
      <c r="C853" s="548" t="s">
        <v>14</v>
      </c>
      <c r="D853" s="548"/>
      <c r="E853" s="548"/>
    </row>
    <row r="854" spans="2:11" x14ac:dyDescent="0.2">
      <c r="C854" s="548"/>
      <c r="D854" s="548"/>
      <c r="E854" s="548"/>
      <c r="F854" s="41">
        <f>F847*F850+F851</f>
        <v>137986.01125379285</v>
      </c>
    </row>
    <row r="855" spans="2:11" x14ac:dyDescent="0.2">
      <c r="C855" s="548"/>
      <c r="D855" s="548"/>
      <c r="E855" s="548"/>
    </row>
    <row r="859" spans="2:11" ht="10.8" thickBot="1" x14ac:dyDescent="0.25"/>
    <row r="860" spans="2:11" s="120" customFormat="1" ht="15" thickBot="1" x14ac:dyDescent="0.35">
      <c r="B860" s="173" t="s">
        <v>913</v>
      </c>
      <c r="C860" s="121"/>
      <c r="D860" s="122"/>
      <c r="E860" s="125"/>
      <c r="F860" s="125"/>
      <c r="G860" s="125"/>
      <c r="H860" s="124"/>
      <c r="K860" s="196"/>
    </row>
    <row r="861" spans="2:11" s="120" customFormat="1" ht="14.4" x14ac:dyDescent="0.3">
      <c r="B861" s="126"/>
      <c r="C861" s="193" t="s">
        <v>914</v>
      </c>
      <c r="D861" s="193" t="s">
        <v>102</v>
      </c>
      <c r="E861" s="194"/>
      <c r="F861" s="194"/>
      <c r="G861" s="125"/>
      <c r="H861" s="124"/>
      <c r="K861" s="196"/>
    </row>
    <row r="862" spans="2:11" s="120" customFormat="1" ht="14.4" x14ac:dyDescent="0.3">
      <c r="B862" s="427" t="s">
        <v>915</v>
      </c>
      <c r="C862" s="196">
        <f>C866</f>
        <v>52</v>
      </c>
      <c r="D862" s="196" t="s">
        <v>149</v>
      </c>
      <c r="E862" s="125"/>
      <c r="F862" s="125"/>
      <c r="G862" s="125"/>
      <c r="H862" s="124"/>
      <c r="K862" s="196"/>
    </row>
    <row r="863" spans="2:11" s="120" customFormat="1" ht="14.4" x14ac:dyDescent="0.3">
      <c r="B863" s="336" t="s">
        <v>916</v>
      </c>
      <c r="C863" s="196">
        <v>0</v>
      </c>
      <c r="D863" s="196" t="s">
        <v>149</v>
      </c>
      <c r="E863" s="125"/>
      <c r="F863" s="125"/>
      <c r="G863" s="125"/>
      <c r="H863" s="124"/>
      <c r="K863" s="196"/>
    </row>
    <row r="864" spans="2:11" s="120" customFormat="1" ht="14.4" x14ac:dyDescent="0.3">
      <c r="B864" s="336" t="s">
        <v>917</v>
      </c>
      <c r="C864" s="196">
        <v>0</v>
      </c>
      <c r="D864" s="196" t="s">
        <v>154</v>
      </c>
      <c r="E864" s="125"/>
      <c r="F864" s="125"/>
      <c r="G864" s="125"/>
      <c r="H864" s="124"/>
      <c r="K864" s="196"/>
    </row>
    <row r="865" spans="2:12" s="120" customFormat="1" ht="14.4" x14ac:dyDescent="0.3">
      <c r="B865" s="336" t="s">
        <v>918</v>
      </c>
      <c r="C865" s="196">
        <v>0</v>
      </c>
      <c r="D865" s="196" t="s">
        <v>149</v>
      </c>
      <c r="E865" s="125"/>
      <c r="F865" s="125"/>
      <c r="G865" s="125"/>
      <c r="H865" s="124"/>
      <c r="K865" s="196"/>
    </row>
    <row r="866" spans="2:12" s="120" customFormat="1" ht="14.4" x14ac:dyDescent="0.3">
      <c r="B866" s="427" t="s">
        <v>919</v>
      </c>
      <c r="C866" s="428">
        <f>D693+D708</f>
        <v>52</v>
      </c>
      <c r="D866" s="196" t="s">
        <v>149</v>
      </c>
      <c r="E866" s="125"/>
      <c r="F866" s="125"/>
      <c r="G866" s="125"/>
      <c r="H866" s="124"/>
      <c r="K866" s="196"/>
    </row>
    <row r="867" spans="2:12" s="120" customFormat="1" ht="14.4" x14ac:dyDescent="0.3">
      <c r="B867" s="427" t="s">
        <v>920</v>
      </c>
      <c r="C867" s="338"/>
      <c r="D867" s="196" t="s">
        <v>149</v>
      </c>
      <c r="E867" s="125"/>
      <c r="F867" s="125"/>
      <c r="G867" s="125"/>
      <c r="H867" s="124"/>
      <c r="K867" s="196"/>
    </row>
    <row r="868" spans="2:12" s="120" customFormat="1" ht="14.4" x14ac:dyDescent="0.3">
      <c r="B868" s="427" t="s">
        <v>921</v>
      </c>
      <c r="C868" s="339">
        <v>0.1</v>
      </c>
      <c r="D868" s="196" t="s">
        <v>149</v>
      </c>
      <c r="F868" s="125"/>
      <c r="G868" s="125"/>
      <c r="H868" s="124"/>
      <c r="K868" s="196"/>
    </row>
    <row r="869" spans="2:12" s="120" customFormat="1" ht="14.4" x14ac:dyDescent="0.3">
      <c r="B869" s="427" t="s">
        <v>922</v>
      </c>
      <c r="C869" s="339"/>
      <c r="D869" s="196" t="s">
        <v>149</v>
      </c>
      <c r="E869" s="429">
        <f>C869/(C866+C867)</f>
        <v>0</v>
      </c>
      <c r="F869" s="125"/>
      <c r="G869" s="125"/>
      <c r="H869" s="124"/>
      <c r="K869" s="196"/>
    </row>
    <row r="870" spans="2:12" s="120" customFormat="1" ht="14.4" x14ac:dyDescent="0.3">
      <c r="B870" s="427" t="s">
        <v>923</v>
      </c>
      <c r="C870" s="339"/>
      <c r="D870" s="196" t="s">
        <v>149</v>
      </c>
      <c r="E870" s="429">
        <f>C870/(C866+C867)</f>
        <v>0</v>
      </c>
      <c r="F870" s="125"/>
      <c r="G870" s="125"/>
      <c r="H870" s="124"/>
      <c r="K870" s="196"/>
    </row>
    <row r="871" spans="2:12" s="120" customFormat="1" ht="14.4" x14ac:dyDescent="0.3">
      <c r="B871" s="427" t="s">
        <v>924</v>
      </c>
      <c r="C871" s="339"/>
      <c r="D871" s="196" t="s">
        <v>149</v>
      </c>
      <c r="E871" s="429">
        <f>C871/(C866+C867)</f>
        <v>0</v>
      </c>
      <c r="F871" s="125"/>
      <c r="G871" s="125"/>
      <c r="H871" s="124"/>
      <c r="K871" s="196"/>
    </row>
    <row r="872" spans="2:12" s="120" customFormat="1" ht="14.4" x14ac:dyDescent="0.3">
      <c r="B872" s="336"/>
      <c r="F872" s="125"/>
      <c r="G872" s="125"/>
      <c r="H872" s="124"/>
      <c r="K872" s="196"/>
    </row>
    <row r="873" spans="2:12" s="120" customFormat="1" ht="14.4" x14ac:dyDescent="0.3">
      <c r="B873" s="126"/>
      <c r="E873" s="125"/>
      <c r="F873" s="125"/>
      <c r="G873" s="125"/>
      <c r="H873" s="124"/>
      <c r="K873" s="196"/>
    </row>
    <row r="874" spans="2:12" s="340" customFormat="1" ht="72" x14ac:dyDescent="0.25">
      <c r="B874" s="341"/>
      <c r="C874" s="342" t="s">
        <v>32</v>
      </c>
      <c r="D874" s="342" t="s">
        <v>925</v>
      </c>
      <c r="E874" s="125" t="s">
        <v>926</v>
      </c>
      <c r="F874" s="430" t="s">
        <v>927</v>
      </c>
      <c r="G874" s="431" t="s">
        <v>928</v>
      </c>
      <c r="H874" s="343" t="s">
        <v>929</v>
      </c>
      <c r="I874" s="344" t="s">
        <v>930</v>
      </c>
      <c r="J874" s="344" t="s">
        <v>931</v>
      </c>
      <c r="K874" s="344" t="s">
        <v>932</v>
      </c>
      <c r="L874" s="431" t="s">
        <v>933</v>
      </c>
    </row>
    <row r="875" spans="2:12" s="120" customFormat="1" ht="14.4" x14ac:dyDescent="0.3">
      <c r="B875" s="336" t="str">
        <f>B866</f>
        <v>L/M of Inground Pipe (Average Depth)</v>
      </c>
      <c r="C875" s="345">
        <v>0.95</v>
      </c>
      <c r="D875" s="345">
        <v>0.6</v>
      </c>
      <c r="E875" s="337">
        <f>C866</f>
        <v>52</v>
      </c>
      <c r="F875" s="432">
        <v>1.3</v>
      </c>
      <c r="G875" s="346">
        <f>C868</f>
        <v>0.1</v>
      </c>
      <c r="H875" s="199">
        <f>(C875*D875*E875)*F875-(C875*D875*E875*G875)</f>
        <v>35.567999999999998</v>
      </c>
      <c r="I875" s="347"/>
      <c r="J875" s="347"/>
      <c r="K875" s="348"/>
    </row>
    <row r="876" spans="2:12" s="120" customFormat="1" ht="14.4" x14ac:dyDescent="0.3">
      <c r="B876" s="427" t="str">
        <f>B867</f>
        <v>L/M of Inground Pipe (Deeper Than Average Depth)</v>
      </c>
      <c r="C876" s="345">
        <v>1.1000000000000001</v>
      </c>
      <c r="D876" s="345">
        <v>0.5</v>
      </c>
      <c r="E876" s="337">
        <f>C867</f>
        <v>0</v>
      </c>
      <c r="F876" s="432">
        <v>1.3</v>
      </c>
      <c r="G876" s="345">
        <v>0</v>
      </c>
      <c r="H876" s="199">
        <f>(C876*D876*E876)*F876</f>
        <v>0</v>
      </c>
      <c r="I876" s="347"/>
      <c r="J876" s="347"/>
      <c r="K876" s="348"/>
    </row>
    <row r="877" spans="2:12" s="120" customFormat="1" ht="14.4" x14ac:dyDescent="0.3">
      <c r="B877" s="427" t="s">
        <v>934</v>
      </c>
      <c r="C877" s="345">
        <v>0.35</v>
      </c>
      <c r="D877" s="346">
        <f>D875</f>
        <v>0.6</v>
      </c>
      <c r="E877" s="346">
        <f>E875</f>
        <v>52</v>
      </c>
      <c r="F877" s="432">
        <v>0</v>
      </c>
      <c r="G877" s="346">
        <f>C868</f>
        <v>0.1</v>
      </c>
      <c r="H877" s="199"/>
      <c r="I877" s="199">
        <f>(C877*D877*E877)-(C877*D877*E877*G877)</f>
        <v>9.8279999999999994</v>
      </c>
      <c r="J877" s="199"/>
      <c r="K877" s="348"/>
    </row>
    <row r="878" spans="2:12" s="120" customFormat="1" ht="14.4" x14ac:dyDescent="0.3">
      <c r="B878" s="427" t="s">
        <v>935</v>
      </c>
      <c r="C878" s="345">
        <v>0.2</v>
      </c>
      <c r="D878" s="346">
        <f>D876</f>
        <v>0.5</v>
      </c>
      <c r="E878" s="349">
        <f>E876</f>
        <v>0</v>
      </c>
      <c r="F878" s="432">
        <v>0</v>
      </c>
      <c r="G878" s="346">
        <f>G876</f>
        <v>0</v>
      </c>
      <c r="H878" s="199"/>
      <c r="I878" s="199">
        <f>(C878*D878*E878)-(C878*D878*E878*G878)</f>
        <v>0</v>
      </c>
      <c r="J878" s="199"/>
      <c r="K878" s="348"/>
    </row>
    <row r="879" spans="2:12" s="120" customFormat="1" ht="14.4" x14ac:dyDescent="0.3">
      <c r="B879" s="427" t="s">
        <v>936</v>
      </c>
      <c r="C879" s="346">
        <f>C875</f>
        <v>0.95</v>
      </c>
      <c r="D879" s="346">
        <f>D875</f>
        <v>0.6</v>
      </c>
      <c r="E879" s="349">
        <f>E875</f>
        <v>52</v>
      </c>
      <c r="F879" s="432">
        <v>1.3</v>
      </c>
      <c r="G879" s="346">
        <f>C868</f>
        <v>0.1</v>
      </c>
      <c r="H879" s="199"/>
      <c r="I879" s="199"/>
      <c r="J879" s="199">
        <f>(C879*D879*E879*F879)-(C879*D879*E879*G879)-I877</f>
        <v>25.74</v>
      </c>
      <c r="K879" s="348"/>
    </row>
    <row r="880" spans="2:12" s="120" customFormat="1" ht="14.4" x14ac:dyDescent="0.3">
      <c r="B880" s="427" t="s">
        <v>937</v>
      </c>
      <c r="C880" s="346">
        <f>C876</f>
        <v>1.1000000000000001</v>
      </c>
      <c r="D880" s="346">
        <f t="shared" ref="D880:E880" si="23">D876</f>
        <v>0.5</v>
      </c>
      <c r="E880" s="346">
        <f t="shared" si="23"/>
        <v>0</v>
      </c>
      <c r="F880" s="432">
        <v>1.3</v>
      </c>
      <c r="G880" s="346">
        <f>G876</f>
        <v>0</v>
      </c>
      <c r="H880" s="199"/>
      <c r="I880" s="199"/>
      <c r="J880" s="199">
        <f>(C880*D880*E880*F880)-(C880*D880*E880*G880)-I878</f>
        <v>0</v>
      </c>
      <c r="K880" s="348"/>
    </row>
    <row r="881" spans="2:18" s="120" customFormat="1" ht="15" thickBot="1" x14ac:dyDescent="0.35">
      <c r="B881" s="336"/>
      <c r="C881" s="348"/>
      <c r="D881" s="348"/>
      <c r="E881" s="348"/>
      <c r="F881" s="433"/>
      <c r="G881" s="199"/>
      <c r="H881" s="348"/>
      <c r="I881" s="347"/>
      <c r="J881" s="347"/>
      <c r="K881" s="199" t="s">
        <v>938</v>
      </c>
      <c r="L881" s="350" t="s">
        <v>939</v>
      </c>
      <c r="M881" s="350" t="s">
        <v>940</v>
      </c>
    </row>
    <row r="882" spans="2:18" s="120" customFormat="1" ht="15" thickBot="1" x14ac:dyDescent="0.35">
      <c r="B882" s="336"/>
      <c r="C882" s="348"/>
      <c r="D882" s="348"/>
      <c r="E882" s="348"/>
      <c r="F882" s="433"/>
      <c r="G882" s="199"/>
      <c r="H882" s="351">
        <f>SUM(H875:H881)</f>
        <v>35.567999999999998</v>
      </c>
      <c r="I882" s="351">
        <f>SUM(I875:I881)</f>
        <v>9.8279999999999994</v>
      </c>
      <c r="J882" s="351">
        <f>SUM(J875:J881)</f>
        <v>25.74</v>
      </c>
      <c r="K882" s="352">
        <f>H882-J882</f>
        <v>9.8279999999999994</v>
      </c>
      <c r="L882" s="353">
        <v>15</v>
      </c>
      <c r="M882" s="354">
        <f>K882*L882</f>
        <v>147.41999999999999</v>
      </c>
      <c r="O882" s="192"/>
    </row>
    <row r="883" spans="2:18" s="120" customFormat="1" ht="14.4" x14ac:dyDescent="0.3">
      <c r="B883" s="336"/>
      <c r="C883" s="196"/>
      <c r="D883" s="196"/>
      <c r="E883" s="196"/>
      <c r="F883" s="433"/>
      <c r="G883" s="199"/>
      <c r="H883" s="124"/>
      <c r="K883" s="196"/>
      <c r="O883" s="347"/>
    </row>
    <row r="884" spans="2:18" s="120" customFormat="1" ht="14.4" x14ac:dyDescent="0.3">
      <c r="B884" s="336"/>
      <c r="C884" s="196"/>
      <c r="D884" s="196"/>
      <c r="E884" s="196"/>
      <c r="F884" s="433"/>
      <c r="G884" s="199"/>
      <c r="H884" s="124"/>
      <c r="K884" s="196"/>
      <c r="O884" s="347"/>
    </row>
    <row r="885" spans="2:18" s="120" customFormat="1" ht="14.4" x14ac:dyDescent="0.3">
      <c r="B885" s="336"/>
      <c r="C885" s="196"/>
      <c r="D885" s="196"/>
      <c r="E885" s="196"/>
      <c r="F885" s="433"/>
      <c r="G885" s="199"/>
      <c r="H885" s="124"/>
      <c r="K885" s="196"/>
      <c r="O885" s="347"/>
    </row>
    <row r="886" spans="2:18" s="120" customFormat="1" ht="14.4" x14ac:dyDescent="0.3">
      <c r="B886" s="336"/>
      <c r="C886" s="196"/>
      <c r="D886" s="196"/>
      <c r="E886" s="196"/>
      <c r="F886" s="433"/>
      <c r="G886" s="199"/>
      <c r="H886" s="124"/>
      <c r="K886" s="196"/>
      <c r="O886" s="347"/>
    </row>
    <row r="887" spans="2:18" s="120" customFormat="1" ht="7.2" customHeight="1" x14ac:dyDescent="0.3">
      <c r="B887" s="355"/>
      <c r="C887" s="232"/>
      <c r="D887" s="232"/>
      <c r="E887" s="232"/>
      <c r="F887" s="233"/>
      <c r="G887" s="233"/>
      <c r="H887" s="234"/>
      <c r="I887" s="232"/>
      <c r="K887" s="196"/>
    </row>
    <row r="888" spans="2:18" s="120" customFormat="1" ht="14.4" x14ac:dyDescent="0.3">
      <c r="B888" s="126" t="s">
        <v>941</v>
      </c>
      <c r="C888" s="196" t="s">
        <v>942</v>
      </c>
      <c r="D888" s="196" t="s">
        <v>914</v>
      </c>
      <c r="E888" s="125" t="s">
        <v>943</v>
      </c>
      <c r="F888" s="120" t="s">
        <v>911</v>
      </c>
      <c r="G888" s="194" t="s">
        <v>943</v>
      </c>
      <c r="H888" s="200" t="s">
        <v>944</v>
      </c>
      <c r="K888" s="196"/>
    </row>
    <row r="889" spans="2:18" s="120" customFormat="1" ht="14.4" x14ac:dyDescent="0.3">
      <c r="B889" s="336"/>
      <c r="C889" s="196">
        <v>0.1</v>
      </c>
      <c r="D889" s="339"/>
      <c r="E889" s="196">
        <f>D889*C889</f>
        <v>0</v>
      </c>
      <c r="F889" s="433">
        <v>1.1000000000000001</v>
      </c>
      <c r="G889" s="198">
        <f>E889*F889</f>
        <v>0</v>
      </c>
      <c r="H889" s="124">
        <f>G889*E914</f>
        <v>0</v>
      </c>
      <c r="I889" s="195"/>
      <c r="K889" s="196"/>
    </row>
    <row r="890" spans="2:18" s="324" customFormat="1" ht="14.4" x14ac:dyDescent="0.3">
      <c r="C890" s="328"/>
      <c r="D890" s="328"/>
      <c r="E890" s="326"/>
      <c r="F890" s="326"/>
    </row>
    <row r="891" spans="2:18" s="324" customFormat="1" ht="15" thickBot="1" x14ac:dyDescent="0.35">
      <c r="C891" s="328"/>
      <c r="D891" s="328"/>
      <c r="E891" s="326"/>
      <c r="F891" s="326"/>
    </row>
    <row r="892" spans="2:18" s="324" customFormat="1" ht="15" thickBot="1" x14ac:dyDescent="0.35">
      <c r="B892" s="173" t="s">
        <v>945</v>
      </c>
      <c r="C892" s="121"/>
      <c r="D892" s="122"/>
      <c r="E892" s="125"/>
      <c r="F892" s="125"/>
      <c r="G892" s="125"/>
      <c r="H892" s="124"/>
      <c r="I892" s="120"/>
      <c r="J892" s="120"/>
      <c r="K892" s="120"/>
      <c r="L892" s="120"/>
      <c r="M892" s="120"/>
      <c r="N892" s="120"/>
      <c r="O892" s="120"/>
      <c r="P892" s="120"/>
    </row>
    <row r="893" spans="2:18" s="324" customFormat="1" ht="15" thickBot="1" x14ac:dyDescent="0.35">
      <c r="B893" s="192"/>
      <c r="C893" s="120"/>
      <c r="D893" s="120"/>
      <c r="E893" s="125"/>
      <c r="F893" s="125"/>
      <c r="G893" s="125"/>
      <c r="H893" s="124"/>
      <c r="I893" s="120"/>
      <c r="J893" s="120"/>
      <c r="K893" s="120"/>
      <c r="L893" s="120"/>
      <c r="M893" s="342">
        <v>1.4</v>
      </c>
      <c r="N893" s="120"/>
      <c r="O893" s="120"/>
      <c r="P893" s="120"/>
    </row>
    <row r="894" spans="2:18" s="356" customFormat="1" ht="43.8" thickBot="1" x14ac:dyDescent="0.3">
      <c r="B894" s="357" t="s">
        <v>354</v>
      </c>
      <c r="C894" s="350" t="s">
        <v>946</v>
      </c>
      <c r="D894" s="350" t="s">
        <v>102</v>
      </c>
      <c r="E894" s="194" t="s">
        <v>939</v>
      </c>
      <c r="F894" s="194" t="s">
        <v>947</v>
      </c>
      <c r="G894" s="125"/>
      <c r="H894" s="125"/>
      <c r="I894" s="350" t="s">
        <v>938</v>
      </c>
      <c r="J894" s="344" t="s">
        <v>928</v>
      </c>
      <c r="K894" s="350" t="s">
        <v>948</v>
      </c>
      <c r="L894" s="350" t="s">
        <v>940</v>
      </c>
      <c r="M894" s="350" t="s">
        <v>911</v>
      </c>
      <c r="N894" s="358" t="s">
        <v>23</v>
      </c>
      <c r="O894" s="434" t="s">
        <v>949</v>
      </c>
      <c r="P894" s="431" t="s">
        <v>950</v>
      </c>
      <c r="Q894" s="435" t="s">
        <v>951</v>
      </c>
    </row>
    <row r="895" spans="2:18" s="324" customFormat="1" ht="15" thickBot="1" x14ac:dyDescent="0.35">
      <c r="B895" s="120" t="s">
        <v>952</v>
      </c>
      <c r="C895" s="359">
        <v>0.20300000000000001</v>
      </c>
      <c r="D895" s="360" t="s">
        <v>953</v>
      </c>
      <c r="E895" s="361">
        <f>E907</f>
        <v>62</v>
      </c>
      <c r="F895" s="361">
        <f>E895*C895</f>
        <v>12.586</v>
      </c>
      <c r="G895" s="125"/>
      <c r="H895" s="124"/>
      <c r="I895" s="362">
        <f>C895*(C866+C867)</f>
        <v>10.556000000000001</v>
      </c>
      <c r="J895" s="346">
        <f>C868</f>
        <v>0.1</v>
      </c>
      <c r="K895" s="363">
        <f>I895-(I895*J895)</f>
        <v>9.5004000000000008</v>
      </c>
      <c r="L895" s="195">
        <f>K895*E895</f>
        <v>589.02480000000003</v>
      </c>
      <c r="M895" s="326">
        <f>(L895*M893)-L895</f>
        <v>235.60991999999999</v>
      </c>
      <c r="N895" s="364">
        <f>L895*M893</f>
        <v>824.63472000000002</v>
      </c>
      <c r="O895" s="195">
        <f>N895*E869</f>
        <v>0</v>
      </c>
      <c r="P895" s="120"/>
      <c r="Q895" s="326"/>
      <c r="R895" s="326"/>
    </row>
    <row r="896" spans="2:18" s="324" customFormat="1" ht="14.4" x14ac:dyDescent="0.3">
      <c r="B896" s="120" t="s">
        <v>952</v>
      </c>
      <c r="C896" s="359">
        <v>0.14000000000000001</v>
      </c>
      <c r="D896" s="196" t="s">
        <v>954</v>
      </c>
      <c r="E896" s="125">
        <f>E907</f>
        <v>62</v>
      </c>
      <c r="F896" s="125">
        <f>(E896*C896)*1.95</f>
        <v>16.926000000000002</v>
      </c>
      <c r="G896" s="125"/>
      <c r="H896" s="124"/>
      <c r="I896" s="120"/>
      <c r="J896" s="120"/>
      <c r="L896" s="195"/>
      <c r="N896" s="365"/>
      <c r="O896" s="120"/>
      <c r="P896" s="120"/>
    </row>
    <row r="897" spans="2:17" s="324" customFormat="1" ht="14.4" x14ac:dyDescent="0.3">
      <c r="B897" s="120" t="s">
        <v>955</v>
      </c>
      <c r="C897" s="359">
        <v>0.45</v>
      </c>
      <c r="D897" s="196" t="s">
        <v>953</v>
      </c>
      <c r="E897" s="125">
        <f>E908</f>
        <v>62</v>
      </c>
      <c r="F897" s="125">
        <f>E897*C897</f>
        <v>27.900000000000002</v>
      </c>
      <c r="G897" s="125"/>
      <c r="H897" s="124"/>
      <c r="I897" s="120">
        <v>0</v>
      </c>
      <c r="J897" s="120"/>
      <c r="L897" s="195">
        <f>I897*E897</f>
        <v>0</v>
      </c>
      <c r="N897" s="366">
        <f>L897*$L$289</f>
        <v>0</v>
      </c>
      <c r="O897" s="120"/>
      <c r="P897" s="120"/>
    </row>
    <row r="898" spans="2:17" s="324" customFormat="1" ht="15" thickBot="1" x14ac:dyDescent="0.35">
      <c r="B898" s="120" t="s">
        <v>956</v>
      </c>
      <c r="C898" s="120">
        <v>0</v>
      </c>
      <c r="D898" s="196" t="s">
        <v>953</v>
      </c>
      <c r="E898" s="125">
        <f>E909</f>
        <v>25</v>
      </c>
      <c r="F898" s="125">
        <f t="shared" ref="F898:F903" si="24">E898*C898</f>
        <v>0</v>
      </c>
      <c r="G898" s="125"/>
      <c r="H898" s="124"/>
      <c r="I898" s="120">
        <v>0</v>
      </c>
      <c r="J898" s="120"/>
      <c r="L898" s="195">
        <f>I898*E898</f>
        <v>0</v>
      </c>
      <c r="N898" s="366">
        <f>L898*$L$289</f>
        <v>0</v>
      </c>
      <c r="O898" s="120"/>
      <c r="P898" s="120"/>
    </row>
    <row r="899" spans="2:17" s="324" customFormat="1" ht="15" thickBot="1" x14ac:dyDescent="0.35">
      <c r="B899" s="120" t="s">
        <v>957</v>
      </c>
      <c r="C899" s="359">
        <v>0.22500000000000001</v>
      </c>
      <c r="D899" s="360" t="s">
        <v>953</v>
      </c>
      <c r="E899" s="361">
        <f>E910</f>
        <v>62</v>
      </c>
      <c r="F899" s="361">
        <f t="shared" si="24"/>
        <v>13.950000000000001</v>
      </c>
      <c r="G899" s="125"/>
      <c r="H899" s="124"/>
      <c r="I899" s="362">
        <f>C899*(C866+C867)</f>
        <v>11.700000000000001</v>
      </c>
      <c r="J899" s="346">
        <f>C868</f>
        <v>0.1</v>
      </c>
      <c r="K899" s="363">
        <f>I899-(I899*J899)</f>
        <v>10.530000000000001</v>
      </c>
      <c r="L899" s="195">
        <f>K899*E899</f>
        <v>652.86000000000013</v>
      </c>
      <c r="M899" s="326">
        <f>(L899*M893)-L899</f>
        <v>261.14400000000001</v>
      </c>
      <c r="N899" s="364">
        <f>L899*M893</f>
        <v>914.00400000000013</v>
      </c>
      <c r="O899" s="120"/>
      <c r="P899" s="195">
        <f>N899*E870</f>
        <v>0</v>
      </c>
      <c r="Q899" s="326">
        <f>N899*E871</f>
        <v>0</v>
      </c>
    </row>
    <row r="900" spans="2:17" s="324" customFormat="1" ht="14.4" x14ac:dyDescent="0.3">
      <c r="B900" s="120" t="s">
        <v>957</v>
      </c>
      <c r="C900" s="359">
        <v>0.14000000000000001</v>
      </c>
      <c r="D900" s="196" t="s">
        <v>954</v>
      </c>
      <c r="E900" s="125">
        <f>E910</f>
        <v>62</v>
      </c>
      <c r="F900" s="125">
        <f>(E900*C900)*1.5</f>
        <v>13.020000000000003</v>
      </c>
      <c r="G900" s="125"/>
      <c r="H900" s="124"/>
      <c r="I900" s="120"/>
      <c r="J900" s="120"/>
      <c r="L900" s="195"/>
      <c r="N900" s="365"/>
      <c r="O900" s="120"/>
      <c r="P900" s="120"/>
    </row>
    <row r="901" spans="2:17" s="324" customFormat="1" ht="14.4" x14ac:dyDescent="0.3">
      <c r="B901" s="120" t="s">
        <v>958</v>
      </c>
      <c r="C901" s="359">
        <v>0.36</v>
      </c>
      <c r="D901" s="196" t="s">
        <v>953</v>
      </c>
      <c r="E901" s="125">
        <f>F911</f>
        <v>27</v>
      </c>
      <c r="F901" s="125">
        <f t="shared" si="24"/>
        <v>9.7199999999999989</v>
      </c>
      <c r="G901" s="125"/>
      <c r="H901" s="124"/>
      <c r="I901" s="120">
        <f>C865*C901</f>
        <v>0</v>
      </c>
      <c r="J901" s="120"/>
      <c r="L901" s="195">
        <f>I901*E901</f>
        <v>0</v>
      </c>
      <c r="N901" s="366">
        <f>L901*$L$289</f>
        <v>0</v>
      </c>
      <c r="O901" s="120"/>
      <c r="P901" s="120"/>
    </row>
    <row r="902" spans="2:17" s="324" customFormat="1" ht="14.4" x14ac:dyDescent="0.3">
      <c r="B902" s="120" t="s">
        <v>959</v>
      </c>
      <c r="C902" s="359">
        <v>0.36</v>
      </c>
      <c r="D902" s="196" t="s">
        <v>953</v>
      </c>
      <c r="E902" s="125">
        <f>F912</f>
        <v>30</v>
      </c>
      <c r="F902" s="125">
        <f t="shared" si="24"/>
        <v>10.799999999999999</v>
      </c>
      <c r="G902" s="125"/>
      <c r="H902" s="124"/>
      <c r="I902" s="120">
        <f>C902*C865</f>
        <v>0</v>
      </c>
      <c r="J902" s="120"/>
      <c r="L902" s="195">
        <f>I902*E902</f>
        <v>0</v>
      </c>
      <c r="N902" s="366">
        <f>L902*$L$289</f>
        <v>0</v>
      </c>
      <c r="O902" s="120"/>
      <c r="P902" s="120"/>
    </row>
    <row r="903" spans="2:17" s="324" customFormat="1" ht="15" thickBot="1" x14ac:dyDescent="0.35">
      <c r="B903" s="120" t="s">
        <v>960</v>
      </c>
      <c r="C903" s="359">
        <v>0.3</v>
      </c>
      <c r="D903" s="196" t="s">
        <v>954</v>
      </c>
      <c r="E903" s="125">
        <f>N913</f>
        <v>0</v>
      </c>
      <c r="F903" s="125">
        <f t="shared" si="24"/>
        <v>0</v>
      </c>
      <c r="G903" s="125"/>
      <c r="H903" s="124"/>
      <c r="I903" s="120">
        <f>C903*C863</f>
        <v>0</v>
      </c>
      <c r="J903" s="120"/>
      <c r="L903" s="195">
        <f>E903*I903</f>
        <v>0</v>
      </c>
      <c r="N903" s="367">
        <f>L903*$L$289</f>
        <v>0</v>
      </c>
      <c r="O903" s="120"/>
      <c r="P903" s="120"/>
    </row>
    <row r="904" spans="2:17" s="324" customFormat="1" ht="15" thickBot="1" x14ac:dyDescent="0.35">
      <c r="B904" s="120"/>
      <c r="C904" s="120"/>
      <c r="D904" s="196"/>
      <c r="E904" s="368"/>
      <c r="F904" s="368"/>
      <c r="G904" s="125"/>
      <c r="H904" s="124"/>
      <c r="I904" s="120"/>
      <c r="J904" s="120"/>
      <c r="K904" s="120"/>
      <c r="L904" s="120"/>
      <c r="M904" s="120"/>
      <c r="N904" s="120"/>
      <c r="O904" s="120"/>
      <c r="P904" s="120"/>
    </row>
    <row r="905" spans="2:17" s="324" customFormat="1" ht="14.4" x14ac:dyDescent="0.3">
      <c r="B905" s="123"/>
      <c r="C905" s="369"/>
      <c r="D905" s="370"/>
      <c r="E905" s="371" t="s">
        <v>961</v>
      </c>
      <c r="F905" s="372" t="s">
        <v>962</v>
      </c>
      <c r="G905" s="124"/>
      <c r="H905" s="125"/>
      <c r="I905" s="125"/>
      <c r="J905" s="125"/>
      <c r="K905" s="125"/>
      <c r="L905" s="125"/>
      <c r="M905" s="125"/>
      <c r="N905" s="125"/>
      <c r="O905" s="125"/>
    </row>
    <row r="906" spans="2:17" s="324" customFormat="1" ht="15" thickBot="1" x14ac:dyDescent="0.35">
      <c r="B906" s="373" t="s">
        <v>354</v>
      </c>
      <c r="C906" s="374"/>
      <c r="D906" s="375" t="s">
        <v>102</v>
      </c>
      <c r="E906" s="376" t="s">
        <v>939</v>
      </c>
      <c r="F906" s="376" t="s">
        <v>939</v>
      </c>
      <c r="G906" s="377"/>
      <c r="H906" s="125"/>
      <c r="I906" s="124"/>
      <c r="J906" s="125"/>
      <c r="K906" s="124"/>
      <c r="L906" s="125"/>
      <c r="M906" s="124"/>
      <c r="N906" s="125"/>
      <c r="O906" s="124"/>
    </row>
    <row r="907" spans="2:17" s="324" customFormat="1" ht="14.4" x14ac:dyDescent="0.3">
      <c r="B907" s="120" t="s">
        <v>952</v>
      </c>
      <c r="C907" s="196"/>
      <c r="D907" s="378" t="s">
        <v>963</v>
      </c>
      <c r="E907" s="379">
        <v>62</v>
      </c>
      <c r="F907" s="380">
        <v>31</v>
      </c>
      <c r="G907" s="124"/>
      <c r="H907" s="125"/>
      <c r="I907" s="124"/>
      <c r="J907" s="125"/>
      <c r="K907" s="124"/>
      <c r="L907" s="125"/>
      <c r="M907" s="124"/>
      <c r="N907" s="125"/>
      <c r="O907" s="124"/>
    </row>
    <row r="908" spans="2:17" s="324" customFormat="1" ht="14.4" x14ac:dyDescent="0.3">
      <c r="B908" s="120" t="s">
        <v>955</v>
      </c>
      <c r="C908" s="196"/>
      <c r="D908" s="378" t="s">
        <v>963</v>
      </c>
      <c r="E908" s="379">
        <v>62</v>
      </c>
      <c r="F908" s="381">
        <v>39</v>
      </c>
      <c r="G908" s="124"/>
      <c r="H908" s="125"/>
      <c r="I908" s="124"/>
      <c r="J908" s="125"/>
      <c r="K908" s="124"/>
      <c r="L908" s="125"/>
      <c r="M908" s="124"/>
      <c r="N908" s="125"/>
      <c r="O908" s="124"/>
    </row>
    <row r="909" spans="2:17" s="324" customFormat="1" ht="14.4" x14ac:dyDescent="0.3">
      <c r="B909" s="120" t="s">
        <v>956</v>
      </c>
      <c r="C909" s="196"/>
      <c r="D909" s="378" t="s">
        <v>963</v>
      </c>
      <c r="E909" s="382">
        <v>25</v>
      </c>
      <c r="F909" s="381">
        <v>29</v>
      </c>
      <c r="G909" s="124"/>
      <c r="H909" s="125"/>
      <c r="I909" s="124"/>
      <c r="J909" s="436"/>
      <c r="K909" s="124"/>
      <c r="L909" s="125"/>
      <c r="M909" s="124"/>
      <c r="N909" s="125"/>
      <c r="O909" s="124"/>
    </row>
    <row r="910" spans="2:17" s="324" customFormat="1" ht="14.4" x14ac:dyDescent="0.3">
      <c r="B910" s="120" t="s">
        <v>957</v>
      </c>
      <c r="C910" s="196"/>
      <c r="D910" s="378" t="s">
        <v>963</v>
      </c>
      <c r="E910" s="379">
        <v>62</v>
      </c>
      <c r="F910" s="381">
        <v>26</v>
      </c>
      <c r="G910" s="124"/>
      <c r="H910" s="125"/>
      <c r="I910" s="124"/>
      <c r="J910" s="125"/>
      <c r="K910" s="348"/>
      <c r="L910" s="436"/>
      <c r="M910" s="124"/>
      <c r="N910" s="125"/>
      <c r="O910" s="124"/>
    </row>
    <row r="911" spans="2:17" s="324" customFormat="1" ht="14.4" x14ac:dyDescent="0.3">
      <c r="B911" s="120" t="s">
        <v>958</v>
      </c>
      <c r="C911" s="196"/>
      <c r="D911" s="378" t="s">
        <v>963</v>
      </c>
      <c r="E911" s="382">
        <v>48</v>
      </c>
      <c r="F911" s="381">
        <v>27</v>
      </c>
      <c r="G911" s="124"/>
      <c r="H911" s="125"/>
      <c r="I911" s="124"/>
      <c r="J911" s="125"/>
      <c r="K911" s="348"/>
      <c r="L911" s="436"/>
      <c r="M911" s="124"/>
      <c r="N911" s="125"/>
      <c r="O911" s="124"/>
    </row>
    <row r="912" spans="2:17" s="324" customFormat="1" ht="14.4" x14ac:dyDescent="0.3">
      <c r="B912" s="120" t="s">
        <v>959</v>
      </c>
      <c r="C912" s="196"/>
      <c r="D912" s="378" t="s">
        <v>963</v>
      </c>
      <c r="E912" s="382">
        <v>50</v>
      </c>
      <c r="F912" s="381">
        <v>30</v>
      </c>
      <c r="G912" s="124"/>
      <c r="H912" s="125"/>
      <c r="I912" s="124"/>
      <c r="J912" s="125"/>
      <c r="K912" s="348"/>
      <c r="L912" s="436"/>
      <c r="M912" s="124"/>
      <c r="N912" s="125"/>
      <c r="O912" s="124"/>
    </row>
    <row r="913" spans="2:15" s="324" customFormat="1" ht="14.4" x14ac:dyDescent="0.3">
      <c r="B913" s="120" t="s">
        <v>964</v>
      </c>
      <c r="C913" s="196"/>
      <c r="D913" s="378" t="s">
        <v>965</v>
      </c>
      <c r="E913" s="383">
        <v>168</v>
      </c>
      <c r="F913" s="381">
        <v>0</v>
      </c>
      <c r="G913" s="124"/>
      <c r="H913" s="125"/>
      <c r="I913" s="124"/>
      <c r="J913" s="125"/>
      <c r="K913" s="124"/>
      <c r="L913" s="125"/>
      <c r="M913" s="124"/>
      <c r="N913" s="125"/>
      <c r="O913" s="124"/>
    </row>
    <row r="914" spans="2:15" s="324" customFormat="1" ht="15" thickBot="1" x14ac:dyDescent="0.35">
      <c r="B914" s="120" t="s">
        <v>966</v>
      </c>
      <c r="C914" s="348"/>
      <c r="D914" s="378" t="s">
        <v>965</v>
      </c>
      <c r="E914" s="384">
        <v>153</v>
      </c>
      <c r="F914" s="384">
        <v>0</v>
      </c>
      <c r="G914" s="124"/>
      <c r="H914" s="125"/>
      <c r="I914" s="124"/>
      <c r="J914" s="125"/>
      <c r="K914" s="348"/>
      <c r="L914" s="436"/>
      <c r="M914" s="124"/>
      <c r="N914" s="125"/>
      <c r="O914" s="124"/>
    </row>
  </sheetData>
  <mergeCells count="6">
    <mergeCell ref="C853:E855"/>
    <mergeCell ref="A6:F6"/>
    <mergeCell ref="B9:G9"/>
    <mergeCell ref="D14:E14"/>
    <mergeCell ref="J14:P14"/>
    <mergeCell ref="C846:E848"/>
  </mergeCells>
  <printOptions gridLines="1"/>
  <pageMargins left="0.46" right="0.42" top="0.37" bottom="0.4" header="0.39" footer="0.38"/>
  <pageSetup paperSize="8" scale="80" orientation="portrait" horizontalDpi="1200" verticalDpi="120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F61C-1E48-4EA2-9CCE-EF55B99122DF}">
  <sheetPr>
    <tabColor theme="7"/>
  </sheetPr>
  <dimension ref="A1:R920"/>
  <sheetViews>
    <sheetView topLeftCell="A858" zoomScale="130" zoomScaleNormal="130" workbookViewId="0">
      <selection activeCell="D760" sqref="D760"/>
    </sheetView>
  </sheetViews>
  <sheetFormatPr defaultColWidth="9.109375" defaultRowHeight="10.199999999999999" x14ac:dyDescent="0.2"/>
  <cols>
    <col min="1" max="1" width="8.109375" style="38" customWidth="1"/>
    <col min="2" max="2" width="91.6640625" style="38" customWidth="1"/>
    <col min="3" max="3" width="23.5546875" style="40" customWidth="1"/>
    <col min="4" max="4" width="10.44140625" style="40" customWidth="1"/>
    <col min="5" max="5" width="17.33203125" style="41" customWidth="1"/>
    <col min="6" max="6" width="14.109375" style="41" customWidth="1"/>
    <col min="7" max="9" width="9.109375" style="38"/>
    <col min="10" max="10" width="14.109375" style="38" customWidth="1"/>
    <col min="11"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17"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c r="E18" s="48">
        <f>'LabourProject Rates_Master'!$E$37</f>
        <v>2650.394536340852</v>
      </c>
      <c r="F18" s="48">
        <f>E18*D18</f>
        <v>0</v>
      </c>
      <c r="K18" s="149" t="s">
        <v>143</v>
      </c>
      <c r="L18" s="189">
        <v>0.15</v>
      </c>
      <c r="M18" s="40">
        <v>1.1499999999999999</v>
      </c>
    </row>
    <row r="19" spans="1:13" s="40" customFormat="1" x14ac:dyDescent="0.2">
      <c r="A19" s="42"/>
      <c r="B19" s="38" t="str">
        <f>'LabourProject Rates_Master'!$B$43</f>
        <v>Crew #2 - InGround Water/Fire</v>
      </c>
      <c r="C19" s="40" t="s">
        <v>93</v>
      </c>
      <c r="D19" s="333">
        <v>8</v>
      </c>
      <c r="E19" s="48">
        <f>'LabourProject Rates_Master'!$E$44</f>
        <v>2650.394536340852</v>
      </c>
      <c r="F19" s="48">
        <f>E19*D19</f>
        <v>21203.156290726816</v>
      </c>
      <c r="K19" s="149" t="s">
        <v>144</v>
      </c>
      <c r="L19" s="189">
        <v>0.2</v>
      </c>
      <c r="M19" s="40">
        <v>1.2</v>
      </c>
    </row>
    <row r="20" spans="1:13" s="40" customFormat="1" x14ac:dyDescent="0.2">
      <c r="A20" s="42"/>
      <c r="B20" s="38" t="str">
        <f>'LabourProject Rates_Master'!B51</f>
        <v>Crew #3 - Above Ground Drainage</v>
      </c>
      <c r="C20" s="40" t="s">
        <v>93</v>
      </c>
      <c r="D20" s="333">
        <v>0</v>
      </c>
      <c r="E20" s="48">
        <f>'LabourProject Rates_Master'!E52</f>
        <v>2650.394536340852</v>
      </c>
      <c r="F20" s="48">
        <f t="shared" ref="F20:F23" si="1">E20*D20</f>
        <v>0</v>
      </c>
      <c r="K20" s="149"/>
      <c r="L20" s="189"/>
    </row>
    <row r="21" spans="1:13" s="40" customFormat="1" x14ac:dyDescent="0.2">
      <c r="A21" s="42"/>
      <c r="B21" s="38" t="str">
        <f>'LabourProject Rates_Master'!B59</f>
        <v>Crew #4 - Above Ground WATER/FIRE</v>
      </c>
      <c r="C21" s="40" t="s">
        <v>93</v>
      </c>
      <c r="D21" s="333">
        <v>30</v>
      </c>
      <c r="E21" s="48">
        <f>'LabourProject Rates_Master'!E60</f>
        <v>2650.394536340852</v>
      </c>
      <c r="F21" s="48">
        <f t="shared" si="1"/>
        <v>79511.836090225566</v>
      </c>
      <c r="K21" s="149"/>
      <c r="L21" s="189"/>
    </row>
    <row r="22" spans="1:13" s="40" customFormat="1" x14ac:dyDescent="0.2">
      <c r="A22" s="42"/>
      <c r="B22" s="38" t="str">
        <f>'LabourProject Rates_Master'!B67</f>
        <v>Crew #5 - Above Ground FitOff / Misc</v>
      </c>
      <c r="C22" s="40" t="s">
        <v>93</v>
      </c>
      <c r="D22" s="333">
        <v>21</v>
      </c>
      <c r="E22" s="48">
        <f>'LabourProject Rates_Master'!E68</f>
        <v>2650.394536340852</v>
      </c>
      <c r="F22" s="48">
        <f t="shared" si="1"/>
        <v>55658.285263157893</v>
      </c>
      <c r="K22" s="149"/>
      <c r="L22" s="189"/>
    </row>
    <row r="23" spans="1:13" s="40" customFormat="1" x14ac:dyDescent="0.2">
      <c r="A23" s="42"/>
      <c r="B23" s="38" t="str">
        <f>'LabourProject Rates_Master'!B75</f>
        <v>Crew #6 - DEMO</v>
      </c>
      <c r="C23" s="40" t="s">
        <v>93</v>
      </c>
      <c r="D23" s="40">
        <v>16</v>
      </c>
      <c r="E23" s="48">
        <f>'LabourProject Rates_Master'!E76</f>
        <v>1709.2298078529657</v>
      </c>
      <c r="F23" s="48">
        <f t="shared" si="1"/>
        <v>27347.676925647451</v>
      </c>
      <c r="K23" s="149"/>
      <c r="L23" s="189"/>
    </row>
    <row r="24" spans="1:13" s="40" customFormat="1" ht="6.6" customHeight="1" x14ac:dyDescent="0.2">
      <c r="A24" s="42"/>
      <c r="B24" s="38"/>
      <c r="E24" s="311"/>
      <c r="F24" s="41"/>
    </row>
    <row r="25" spans="1:13" s="40" customFormat="1" x14ac:dyDescent="0.2">
      <c r="A25" s="38"/>
      <c r="B25" s="191" t="s">
        <v>145</v>
      </c>
      <c r="C25" s="42"/>
      <c r="D25" s="42"/>
      <c r="E25" s="45"/>
      <c r="F25" s="48"/>
    </row>
    <row r="26" spans="1:13" s="40" customFormat="1" x14ac:dyDescent="0.2">
      <c r="A26" s="38"/>
      <c r="B26" s="38" t="str">
        <f>'LabourProject Rates_Master'!$B$14</f>
        <v>TRADESMAN_LEADING HAND</v>
      </c>
      <c r="C26" s="40" t="s">
        <v>146</v>
      </c>
      <c r="D26" s="40">
        <v>0</v>
      </c>
      <c r="E26" s="48">
        <f>'LabourProject Rates_Master'!$E$14</f>
        <v>123.11428571428571</v>
      </c>
      <c r="F26" s="48">
        <f t="shared" ref="F26:F30" si="2">E26*D26</f>
        <v>0</v>
      </c>
    </row>
    <row r="27" spans="1:13" s="40" customFormat="1" ht="11.4" customHeight="1" x14ac:dyDescent="0.2">
      <c r="A27" s="38"/>
      <c r="B27" s="38" t="str">
        <f>'LabourProject Rates_Master'!$B$23</f>
        <v>TRADESMAN_PLUMBER_OPERATOR</v>
      </c>
      <c r="C27" s="40" t="s">
        <v>146</v>
      </c>
      <c r="D27" s="40">
        <v>0</v>
      </c>
      <c r="E27" s="48">
        <f>'LabourProject Rates_Master'!$E$21</f>
        <v>94.116472848788632</v>
      </c>
      <c r="F27" s="48">
        <f t="shared" si="2"/>
        <v>0</v>
      </c>
    </row>
    <row r="28" spans="1:13" s="40" customFormat="1" ht="11.4" customHeight="1" x14ac:dyDescent="0.2">
      <c r="A28" s="42"/>
      <c r="B28" s="38" t="str">
        <f>'LabourProject Rates_Master'!$B$30</f>
        <v>T/A &amp; Apprentice</v>
      </c>
      <c r="C28" s="40" t="s">
        <v>146</v>
      </c>
      <c r="D28" s="40">
        <v>0</v>
      </c>
      <c r="E28" s="48">
        <f>'LabourProject Rates_Master'!$E$28</f>
        <v>76.806507936507941</v>
      </c>
      <c r="F28" s="48">
        <f t="shared" si="2"/>
        <v>0</v>
      </c>
    </row>
    <row r="29" spans="1:13" s="40" customFormat="1" ht="11.4" customHeight="1" x14ac:dyDescent="0.2">
      <c r="A29" s="42"/>
      <c r="B29" s="38" t="str">
        <f>'LabourProject Rates_Master'!$B$36</f>
        <v>Crew #1 - InGround Drainage</v>
      </c>
      <c r="C29" s="40" t="s">
        <v>146</v>
      </c>
      <c r="D29" s="40">
        <v>0</v>
      </c>
      <c r="E29" s="48">
        <f>'LabourProject Rates_Master'!$E$36</f>
        <v>265.03945363408519</v>
      </c>
      <c r="F29" s="48">
        <f t="shared" si="2"/>
        <v>0</v>
      </c>
    </row>
    <row r="30" spans="1:13" s="40" customFormat="1" x14ac:dyDescent="0.2">
      <c r="A30" s="42"/>
      <c r="B30" s="38" t="str">
        <f>'LabourProject Rates_Master'!$B$43</f>
        <v>Crew #2 - InGround Water/Fire</v>
      </c>
      <c r="C30" s="40" t="s">
        <v>146</v>
      </c>
      <c r="D30" s="40">
        <v>0</v>
      </c>
      <c r="E30" s="48">
        <f>'LabourProject Rates_Master'!$E$43</f>
        <v>265.03945363408519</v>
      </c>
      <c r="F30" s="48">
        <f t="shared" si="2"/>
        <v>0</v>
      </c>
    </row>
    <row r="31" spans="1:13" ht="7.5" customHeight="1" x14ac:dyDescent="0.2">
      <c r="E31" s="48"/>
    </row>
    <row r="32" spans="1:13" ht="10.8" thickBot="1" x14ac:dyDescent="0.25">
      <c r="A32" s="40"/>
      <c r="E32" s="48"/>
      <c r="F32" s="48"/>
    </row>
    <row r="33" spans="1:6" ht="10.8" thickBot="1" x14ac:dyDescent="0.25">
      <c r="A33" s="42"/>
      <c r="B33" s="386" t="s">
        <v>147</v>
      </c>
      <c r="C33" s="387"/>
      <c r="D33" s="387"/>
      <c r="E33" s="388"/>
      <c r="F33" s="388"/>
    </row>
    <row r="34" spans="1:6" x14ac:dyDescent="0.2">
      <c r="A34" s="40"/>
      <c r="B34" s="389" t="s">
        <v>148</v>
      </c>
      <c r="C34" s="387"/>
      <c r="D34" s="387"/>
      <c r="E34" s="388"/>
      <c r="F34" s="388"/>
    </row>
    <row r="35" spans="1:6" x14ac:dyDescent="0.2">
      <c r="A35" s="40"/>
      <c r="B35" s="390" t="str">
        <f>'Misc Subbie Rates_Master'!A49</f>
        <v>Asphalt Cutting</v>
      </c>
      <c r="C35" s="387" t="s">
        <v>149</v>
      </c>
      <c r="D35" s="391"/>
      <c r="E35" s="388">
        <f>'Misc Subbie Rates_Master'!D49+('Misc Subbie Rates_Master'!D49*$L$18)</f>
        <v>15.525</v>
      </c>
      <c r="F35" s="388">
        <f>E35*D35</f>
        <v>0</v>
      </c>
    </row>
    <row r="36" spans="1:6" x14ac:dyDescent="0.2">
      <c r="A36" s="40"/>
      <c r="B36" s="390" t="str">
        <f>'Misc Subbie Rates_Master'!A50</f>
        <v>Concrete Cutting</v>
      </c>
      <c r="C36" s="387" t="s">
        <v>149</v>
      </c>
      <c r="D36" s="387"/>
      <c r="E36" s="388">
        <f>'Misc Subbie Rates_Master'!D50+('Misc Subbie Rates_Master'!D50*$L$18)</f>
        <v>18.399999999999999</v>
      </c>
      <c r="F36" s="388">
        <f t="shared" ref="F36:F46" si="3">E36*D36</f>
        <v>0</v>
      </c>
    </row>
    <row r="37" spans="1:6" x14ac:dyDescent="0.2">
      <c r="A37" s="40"/>
      <c r="B37" s="390" t="s">
        <v>150</v>
      </c>
      <c r="C37" s="387" t="s">
        <v>115</v>
      </c>
      <c r="D37" s="387"/>
      <c r="E37" s="388">
        <f>'Misc Subbie Rates_Master'!D51+('Misc Subbie Rates_Master'!D51*$L$18)</f>
        <v>92</v>
      </c>
      <c r="F37" s="388">
        <f t="shared" si="3"/>
        <v>0</v>
      </c>
    </row>
    <row r="38" spans="1:6" x14ac:dyDescent="0.2">
      <c r="A38" s="40"/>
      <c r="B38" s="389" t="s">
        <v>151</v>
      </c>
      <c r="C38" s="387"/>
      <c r="D38" s="387"/>
      <c r="E38" s="388"/>
      <c r="F38" s="388"/>
    </row>
    <row r="39" spans="1:6" x14ac:dyDescent="0.2">
      <c r="A39" s="40"/>
      <c r="B39" s="390" t="str">
        <f>'Misc Subbie Rates_Master'!A56</f>
        <v>Road/Drveway Reinstate; 1mW x 150 Thck, N25/20/80, Incl Reinforcement</v>
      </c>
      <c r="C39" s="387" t="s">
        <v>149</v>
      </c>
      <c r="D39" s="387"/>
      <c r="E39" s="388">
        <f>'Misc Subbie Rates_Master'!D56</f>
        <v>145</v>
      </c>
      <c r="F39" s="388">
        <f t="shared" si="3"/>
        <v>0</v>
      </c>
    </row>
    <row r="40" spans="1:6" x14ac:dyDescent="0.2">
      <c r="A40" s="40"/>
      <c r="B40" s="390" t="str">
        <f>'Misc Subbie Rates_Master'!A57</f>
        <v>Kerb &amp; Channel - 1m Wide</v>
      </c>
      <c r="C40" s="387" t="s">
        <v>115</v>
      </c>
      <c r="D40" s="387"/>
      <c r="E40" s="388">
        <f>'Misc Subbie Rates_Master'!D57</f>
        <v>155</v>
      </c>
      <c r="F40" s="388">
        <f t="shared" si="3"/>
        <v>0</v>
      </c>
    </row>
    <row r="41" spans="1:6" x14ac:dyDescent="0.2">
      <c r="A41" s="40"/>
      <c r="B41" s="390" t="str">
        <f>'Misc Subbie Rates_Master'!A58</f>
        <v>Footpath - 1.5mW, N25/20/80, Incl Reinforcement</v>
      </c>
      <c r="C41" s="387" t="s">
        <v>152</v>
      </c>
      <c r="D41" s="387"/>
      <c r="E41" s="388">
        <f>'Misc Subbie Rates_Master'!D58</f>
        <v>180</v>
      </c>
      <c r="F41" s="388">
        <f t="shared" si="3"/>
        <v>0</v>
      </c>
    </row>
    <row r="42" spans="1:6" x14ac:dyDescent="0.2">
      <c r="A42" s="40"/>
      <c r="B42" s="390" t="str">
        <f>'Misc Subbie Rates_Master'!A59</f>
        <v>Footpath - 1.5mW, EXPOSED AGG, N25/20/80, Incl Reinforcement</v>
      </c>
      <c r="C42" s="387" t="s">
        <v>152</v>
      </c>
      <c r="D42" s="387"/>
      <c r="E42" s="388">
        <f>'Misc Subbie Rates_Master'!D59</f>
        <v>185</v>
      </c>
      <c r="F42" s="388">
        <f t="shared" si="3"/>
        <v>0</v>
      </c>
    </row>
    <row r="43" spans="1:6" x14ac:dyDescent="0.2">
      <c r="A43" s="40"/>
      <c r="B43" s="389" t="s">
        <v>153</v>
      </c>
      <c r="C43" s="387"/>
      <c r="D43" s="387"/>
      <c r="E43" s="388"/>
      <c r="F43" s="388"/>
    </row>
    <row r="44" spans="1:6" x14ac:dyDescent="0.2">
      <c r="A44" s="40"/>
      <c r="B44" s="390" t="str">
        <f>'Misc Subbie Rates_Master'!A64</f>
        <v xml:space="preserve">50mm Thck - Trench Reinstatement Through Road/Driveway </v>
      </c>
      <c r="C44" s="387" t="s">
        <v>154</v>
      </c>
      <c r="D44" s="387"/>
      <c r="E44" s="388">
        <f>'Misc Subbie Rates_Master'!D64</f>
        <v>97</v>
      </c>
      <c r="F44" s="388">
        <f t="shared" si="3"/>
        <v>0</v>
      </c>
    </row>
    <row r="45" spans="1:6" x14ac:dyDescent="0.2">
      <c r="A45" s="40"/>
      <c r="B45" s="390" t="str">
        <f>'Misc Subbie Rates_Master'!A65</f>
        <v xml:space="preserve">50mm Thck - 1.5-2m Wide Footpath reinstatements </v>
      </c>
      <c r="C45" s="387" t="s">
        <v>154</v>
      </c>
      <c r="D45" s="387"/>
      <c r="E45" s="388">
        <f>'Misc Subbie Rates_Master'!D65</f>
        <v>97</v>
      </c>
      <c r="F45" s="388">
        <f t="shared" si="3"/>
        <v>0</v>
      </c>
    </row>
    <row r="46" spans="1:6" x14ac:dyDescent="0.2">
      <c r="A46" s="40"/>
      <c r="B46" s="390" t="str">
        <f>'Misc Subbie Rates_Master'!A66</f>
        <v>Establishment Fee (1 per stage)</v>
      </c>
      <c r="C46" s="387" t="s">
        <v>155</v>
      </c>
      <c r="D46" s="387"/>
      <c r="E46" s="388">
        <f>'Misc Subbie Rates_Master'!D66</f>
        <v>5500</v>
      </c>
      <c r="F46" s="388">
        <f t="shared" si="3"/>
        <v>0</v>
      </c>
    </row>
    <row r="47" spans="1:6" ht="10.8" thickBot="1" x14ac:dyDescent="0.25">
      <c r="A47" s="40"/>
      <c r="E47" s="48"/>
      <c r="F47" s="48"/>
    </row>
    <row r="48" spans="1:6" ht="10.8" thickBot="1" x14ac:dyDescent="0.25">
      <c r="A48" s="42"/>
      <c r="B48" s="49" t="s">
        <v>156</v>
      </c>
      <c r="E48" s="48"/>
      <c r="F48" s="48"/>
    </row>
    <row r="49" spans="1:6" x14ac:dyDescent="0.2">
      <c r="A49" s="40"/>
      <c r="E49" s="48"/>
      <c r="F49" s="48"/>
    </row>
    <row r="50" spans="1:6" x14ac:dyDescent="0.2">
      <c r="B50" s="284" t="s">
        <v>157</v>
      </c>
      <c r="E50" s="48"/>
      <c r="F50" s="48"/>
    </row>
    <row r="51" spans="1:6" x14ac:dyDescent="0.2">
      <c r="B51" s="38" t="s">
        <v>158</v>
      </c>
      <c r="C51" s="40" t="s">
        <v>159</v>
      </c>
      <c r="E51" s="48">
        <f>'Misc Subbie Rates_Master'!D10</f>
        <v>100</v>
      </c>
      <c r="F51" s="48">
        <f>E51*D51</f>
        <v>0</v>
      </c>
    </row>
    <row r="52" spans="1:6" x14ac:dyDescent="0.2">
      <c r="B52" s="38" t="s">
        <v>160</v>
      </c>
      <c r="C52" s="40" t="s">
        <v>159</v>
      </c>
      <c r="E52" s="48">
        <f>'Misc Subbie Rates_Master'!D11</f>
        <v>115</v>
      </c>
      <c r="F52" s="48">
        <f t="shared" ref="F52:F69" si="4">E52*D52</f>
        <v>0</v>
      </c>
    </row>
    <row r="53" spans="1:6" x14ac:dyDescent="0.2">
      <c r="B53" s="38" t="s">
        <v>161</v>
      </c>
      <c r="C53" s="40" t="s">
        <v>159</v>
      </c>
      <c r="E53" s="48">
        <f>'Misc Subbie Rates_Master'!D12</f>
        <v>154</v>
      </c>
      <c r="F53" s="48">
        <f t="shared" si="4"/>
        <v>0</v>
      </c>
    </row>
    <row r="54" spans="1:6" x14ac:dyDescent="0.2">
      <c r="B54" s="38" t="s">
        <v>162</v>
      </c>
      <c r="C54" s="40" t="s">
        <v>159</v>
      </c>
      <c r="E54" s="48">
        <f>'Misc Subbie Rates_Master'!D13</f>
        <v>21</v>
      </c>
      <c r="F54" s="48">
        <f t="shared" si="4"/>
        <v>0</v>
      </c>
    </row>
    <row r="55" spans="1:6" x14ac:dyDescent="0.2">
      <c r="B55" s="38" t="s">
        <v>163</v>
      </c>
      <c r="C55" s="40" t="s">
        <v>159</v>
      </c>
      <c r="E55" s="48">
        <f>'Misc Subbie Rates_Master'!D14</f>
        <v>10</v>
      </c>
      <c r="F55" s="48">
        <f t="shared" si="4"/>
        <v>0</v>
      </c>
    </row>
    <row r="56" spans="1:6" x14ac:dyDescent="0.2">
      <c r="B56" s="38" t="s">
        <v>164</v>
      </c>
      <c r="C56" s="40" t="s">
        <v>159</v>
      </c>
      <c r="E56" s="48">
        <f>'Misc Subbie Rates_Master'!D15</f>
        <v>150</v>
      </c>
      <c r="F56" s="48">
        <f t="shared" si="4"/>
        <v>0</v>
      </c>
    </row>
    <row r="57" spans="1:6" x14ac:dyDescent="0.2">
      <c r="B57" s="38" t="s">
        <v>165</v>
      </c>
      <c r="C57" s="40" t="s">
        <v>159</v>
      </c>
      <c r="E57" s="48">
        <f>'Misc Subbie Rates_Master'!D16</f>
        <v>50</v>
      </c>
      <c r="F57" s="48">
        <f t="shared" si="4"/>
        <v>0</v>
      </c>
    </row>
    <row r="58" spans="1:6" x14ac:dyDescent="0.2">
      <c r="B58" s="38" t="s">
        <v>166</v>
      </c>
      <c r="C58" s="40" t="s">
        <v>159</v>
      </c>
      <c r="E58" s="48">
        <f>'Misc Subbie Rates_Master'!D17</f>
        <v>140</v>
      </c>
      <c r="F58" s="48">
        <f t="shared" si="4"/>
        <v>0</v>
      </c>
    </row>
    <row r="59" spans="1:6" x14ac:dyDescent="0.2">
      <c r="B59" s="38" t="s">
        <v>167</v>
      </c>
      <c r="C59" s="40" t="s">
        <v>159</v>
      </c>
      <c r="E59" s="48">
        <f>'Misc Subbie Rates_Master'!D18</f>
        <v>128</v>
      </c>
      <c r="F59" s="48">
        <f t="shared" si="4"/>
        <v>0</v>
      </c>
    </row>
    <row r="60" spans="1:6" x14ac:dyDescent="0.2">
      <c r="B60" s="38" t="s">
        <v>168</v>
      </c>
      <c r="C60" s="40" t="s">
        <v>159</v>
      </c>
      <c r="E60" s="48">
        <f>'Misc Subbie Rates_Master'!D19</f>
        <v>26</v>
      </c>
      <c r="F60" s="48">
        <f t="shared" si="4"/>
        <v>0</v>
      </c>
    </row>
    <row r="61" spans="1:6" x14ac:dyDescent="0.2">
      <c r="B61" s="38" t="s">
        <v>169</v>
      </c>
      <c r="C61" s="40" t="s">
        <v>159</v>
      </c>
      <c r="E61" s="48">
        <f>'Misc Subbie Rates_Master'!D20</f>
        <v>10</v>
      </c>
      <c r="F61" s="48">
        <f t="shared" si="4"/>
        <v>0</v>
      </c>
    </row>
    <row r="62" spans="1:6" x14ac:dyDescent="0.2">
      <c r="B62" s="38" t="s">
        <v>170</v>
      </c>
      <c r="C62" s="40" t="s">
        <v>159</v>
      </c>
      <c r="E62" s="48">
        <f>'Misc Subbie Rates_Master'!D21</f>
        <v>153</v>
      </c>
      <c r="F62" s="48">
        <f t="shared" si="4"/>
        <v>0</v>
      </c>
    </row>
    <row r="63" spans="1:6" x14ac:dyDescent="0.2">
      <c r="B63" s="38" t="s">
        <v>171</v>
      </c>
      <c r="C63" s="40" t="s">
        <v>159</v>
      </c>
      <c r="E63" s="48">
        <f>'Misc Subbie Rates_Master'!D22</f>
        <v>36</v>
      </c>
      <c r="F63" s="48">
        <f t="shared" si="4"/>
        <v>0</v>
      </c>
    </row>
    <row r="64" spans="1:6" x14ac:dyDescent="0.2">
      <c r="B64" s="38" t="s">
        <v>172</v>
      </c>
      <c r="C64" s="40" t="s">
        <v>159</v>
      </c>
      <c r="E64" s="48">
        <f>'Misc Subbie Rates_Master'!D23</f>
        <v>10</v>
      </c>
      <c r="F64" s="48">
        <f t="shared" si="4"/>
        <v>0</v>
      </c>
    </row>
    <row r="65" spans="1:6" x14ac:dyDescent="0.2">
      <c r="B65" s="38" t="s">
        <v>173</v>
      </c>
      <c r="C65" s="40" t="s">
        <v>159</v>
      </c>
      <c r="E65" s="48">
        <f>'Misc Subbie Rates_Master'!D24</f>
        <v>190</v>
      </c>
      <c r="F65" s="48">
        <f t="shared" si="4"/>
        <v>0</v>
      </c>
    </row>
    <row r="66" spans="1:6" x14ac:dyDescent="0.2">
      <c r="B66" s="38" t="s">
        <v>174</v>
      </c>
      <c r="C66" s="40" t="s">
        <v>159</v>
      </c>
      <c r="E66" s="48">
        <f>'Misc Subbie Rates_Master'!D25</f>
        <v>220</v>
      </c>
      <c r="F66" s="48">
        <f t="shared" si="4"/>
        <v>0</v>
      </c>
    </row>
    <row r="67" spans="1:6" x14ac:dyDescent="0.2">
      <c r="B67" s="38" t="s">
        <v>175</v>
      </c>
      <c r="C67" s="40" t="s">
        <v>159</v>
      </c>
      <c r="E67" s="48">
        <f>'Misc Subbie Rates_Master'!D26</f>
        <v>250</v>
      </c>
      <c r="F67" s="48">
        <f t="shared" si="4"/>
        <v>0</v>
      </c>
    </row>
    <row r="68" spans="1:6" x14ac:dyDescent="0.2">
      <c r="B68" s="38" t="s">
        <v>176</v>
      </c>
      <c r="C68" s="40" t="s">
        <v>159</v>
      </c>
      <c r="E68" s="48">
        <f>'Misc Subbie Rates_Master'!D27</f>
        <v>110</v>
      </c>
      <c r="F68" s="48">
        <f t="shared" si="4"/>
        <v>0</v>
      </c>
    </row>
    <row r="69" spans="1:6" x14ac:dyDescent="0.2">
      <c r="B69" s="38" t="s">
        <v>177</v>
      </c>
      <c r="C69" s="40" t="s">
        <v>159</v>
      </c>
      <c r="E69" s="48">
        <f>'Misc Subbie Rates_Master'!D28</f>
        <v>110</v>
      </c>
      <c r="F69" s="48">
        <f t="shared" si="4"/>
        <v>0</v>
      </c>
    </row>
    <row r="70" spans="1:6" x14ac:dyDescent="0.2">
      <c r="E70" s="48"/>
      <c r="F70" s="48"/>
    </row>
    <row r="71" spans="1:6" x14ac:dyDescent="0.2">
      <c r="B71" s="284" t="s">
        <v>178</v>
      </c>
      <c r="E71" s="48"/>
      <c r="F71" s="48"/>
    </row>
    <row r="72" spans="1:6" x14ac:dyDescent="0.2">
      <c r="A72" s="40"/>
      <c r="B72" s="201" t="s">
        <v>179</v>
      </c>
      <c r="C72" s="40" t="s">
        <v>93</v>
      </c>
      <c r="D72" s="40">
        <v>5</v>
      </c>
      <c r="E72" s="48">
        <f>'Equip&amp;HIRE_Master'!D4</f>
        <v>225.43333333333334</v>
      </c>
      <c r="F72" s="48">
        <f>E72*D72</f>
        <v>1127.1666666666667</v>
      </c>
    </row>
    <row r="73" spans="1:6" x14ac:dyDescent="0.2">
      <c r="A73" s="40"/>
      <c r="B73" s="201" t="s">
        <v>180</v>
      </c>
      <c r="C73" s="40" t="s">
        <v>93</v>
      </c>
      <c r="E73" s="48">
        <f>'Equip&amp;HIRE_Master'!D5</f>
        <v>163.96666666666667</v>
      </c>
      <c r="F73" s="48">
        <f t="shared" ref="F73:F136" si="5">E73*D73</f>
        <v>0</v>
      </c>
    </row>
    <row r="74" spans="1:6" x14ac:dyDescent="0.2">
      <c r="A74" s="40"/>
      <c r="B74" s="201" t="s">
        <v>181</v>
      </c>
      <c r="C74" s="40" t="s">
        <v>93</v>
      </c>
      <c r="E74" s="48">
        <f>'Equip&amp;HIRE_Master'!D6</f>
        <v>180</v>
      </c>
      <c r="F74" s="48">
        <f t="shared" si="5"/>
        <v>0</v>
      </c>
    </row>
    <row r="75" spans="1:6" ht="6" customHeight="1" x14ac:dyDescent="0.2">
      <c r="A75" s="40"/>
      <c r="B75" s="201"/>
      <c r="E75" s="48">
        <f>'Equip&amp;HIRE_Master'!D7</f>
        <v>0</v>
      </c>
      <c r="F75" s="48">
        <f t="shared" si="5"/>
        <v>0</v>
      </c>
    </row>
    <row r="76" spans="1:6" x14ac:dyDescent="0.2">
      <c r="A76" s="40"/>
      <c r="B76" s="201" t="s">
        <v>182</v>
      </c>
      <c r="C76" s="40" t="s">
        <v>93</v>
      </c>
      <c r="E76" s="48">
        <f>'Equip&amp;HIRE_Master'!D8</f>
        <v>137.14285714285714</v>
      </c>
      <c r="F76" s="48">
        <f t="shared" si="5"/>
        <v>0</v>
      </c>
    </row>
    <row r="77" spans="1:6" x14ac:dyDescent="0.2">
      <c r="A77" s="40"/>
      <c r="B77" s="201" t="s">
        <v>183</v>
      </c>
      <c r="C77" s="40" t="s">
        <v>93</v>
      </c>
      <c r="E77" s="48">
        <f>'Equip&amp;HIRE_Master'!D9</f>
        <v>0</v>
      </c>
      <c r="F77" s="48">
        <f t="shared" si="5"/>
        <v>0</v>
      </c>
    </row>
    <row r="78" spans="1:6" x14ac:dyDescent="0.2">
      <c r="A78" s="40"/>
      <c r="B78" s="201" t="s">
        <v>184</v>
      </c>
      <c r="C78" s="40" t="s">
        <v>93</v>
      </c>
      <c r="D78" s="40">
        <v>5</v>
      </c>
      <c r="E78" s="48">
        <f>'Equip&amp;HIRE_Master'!D10</f>
        <v>238.66666666666666</v>
      </c>
      <c r="F78" s="48">
        <f t="shared" si="5"/>
        <v>1193.3333333333333</v>
      </c>
    </row>
    <row r="79" spans="1:6" x14ac:dyDescent="0.2">
      <c r="A79" s="40"/>
      <c r="B79" s="201" t="s">
        <v>185</v>
      </c>
      <c r="C79" s="40" t="s">
        <v>93</v>
      </c>
      <c r="E79" s="48">
        <f>'Equip&amp;HIRE_Master'!D11</f>
        <v>261.16666666666669</v>
      </c>
      <c r="F79" s="48">
        <f t="shared" si="5"/>
        <v>0</v>
      </c>
    </row>
    <row r="80" spans="1:6" x14ac:dyDescent="0.2">
      <c r="A80" s="40"/>
      <c r="B80" s="201" t="s">
        <v>186</v>
      </c>
      <c r="C80" s="40" t="s">
        <v>93</v>
      </c>
      <c r="D80" s="40">
        <v>0</v>
      </c>
      <c r="E80" s="48">
        <f>'Equip&amp;HIRE_Master'!D12</f>
        <v>0</v>
      </c>
      <c r="F80" s="48">
        <f t="shared" si="5"/>
        <v>0</v>
      </c>
    </row>
    <row r="81" spans="1:6" x14ac:dyDescent="0.2">
      <c r="A81" s="40"/>
      <c r="B81" s="201" t="s">
        <v>187</v>
      </c>
      <c r="C81" s="40" t="s">
        <v>93</v>
      </c>
      <c r="E81" s="48">
        <f>'Equip&amp;HIRE_Master'!D13</f>
        <v>317.2</v>
      </c>
      <c r="F81" s="48">
        <f t="shared" si="5"/>
        <v>0</v>
      </c>
    </row>
    <row r="82" spans="1:6" x14ac:dyDescent="0.2">
      <c r="A82" s="40"/>
      <c r="B82" s="201" t="s">
        <v>188</v>
      </c>
      <c r="C82" s="40" t="s">
        <v>93</v>
      </c>
      <c r="E82" s="48">
        <f>'Equip&amp;HIRE_Master'!D14</f>
        <v>314.28571428571428</v>
      </c>
      <c r="F82" s="48">
        <f t="shared" si="5"/>
        <v>0</v>
      </c>
    </row>
    <row r="83" spans="1:6" ht="6.6" customHeight="1" x14ac:dyDescent="0.2">
      <c r="A83" s="40"/>
      <c r="B83" s="201"/>
      <c r="E83" s="48">
        <f>'Equip&amp;HIRE_Master'!D15</f>
        <v>0</v>
      </c>
      <c r="F83" s="48">
        <f t="shared" si="5"/>
        <v>0</v>
      </c>
    </row>
    <row r="84" spans="1:6" x14ac:dyDescent="0.2">
      <c r="A84" s="40"/>
      <c r="B84" s="201" t="s">
        <v>189</v>
      </c>
      <c r="C84" s="40" t="s">
        <v>93</v>
      </c>
      <c r="E84" s="48">
        <f>'Equip&amp;HIRE_Master'!D16</f>
        <v>0</v>
      </c>
      <c r="F84" s="48">
        <f t="shared" si="5"/>
        <v>0</v>
      </c>
    </row>
    <row r="85" spans="1:6" x14ac:dyDescent="0.2">
      <c r="A85" s="40"/>
      <c r="B85" s="201" t="s">
        <v>190</v>
      </c>
      <c r="C85" s="40" t="s">
        <v>93</v>
      </c>
      <c r="E85" s="48">
        <f>'Equip&amp;HIRE_Master'!D17</f>
        <v>32.74</v>
      </c>
      <c r="F85" s="48">
        <f t="shared" si="5"/>
        <v>0</v>
      </c>
    </row>
    <row r="86" spans="1:6" x14ac:dyDescent="0.2">
      <c r="A86" s="40"/>
      <c r="B86" s="201" t="s">
        <v>191</v>
      </c>
      <c r="C86" s="40" t="s">
        <v>93</v>
      </c>
      <c r="E86" s="48">
        <f>'Equip&amp;HIRE_Master'!D18</f>
        <v>0</v>
      </c>
      <c r="F86" s="48">
        <f t="shared" si="5"/>
        <v>0</v>
      </c>
    </row>
    <row r="87" spans="1:6" x14ac:dyDescent="0.2">
      <c r="A87" s="40"/>
      <c r="B87" s="201" t="s">
        <v>192</v>
      </c>
      <c r="C87" s="40" t="s">
        <v>93</v>
      </c>
      <c r="E87" s="48">
        <f>'Equip&amp;HIRE_Master'!D19</f>
        <v>40.380000000000003</v>
      </c>
      <c r="F87" s="48">
        <f t="shared" si="5"/>
        <v>0</v>
      </c>
    </row>
    <row r="88" spans="1:6" x14ac:dyDescent="0.2">
      <c r="A88" s="40"/>
      <c r="B88" s="201" t="s">
        <v>193</v>
      </c>
      <c r="C88" s="40" t="s">
        <v>93</v>
      </c>
      <c r="E88" s="48">
        <f>'Equip&amp;HIRE_Master'!D20</f>
        <v>123.33</v>
      </c>
      <c r="F88" s="48">
        <f t="shared" si="5"/>
        <v>0</v>
      </c>
    </row>
    <row r="89" spans="1:6" x14ac:dyDescent="0.2">
      <c r="A89" s="40"/>
      <c r="B89" s="201" t="s">
        <v>194</v>
      </c>
      <c r="C89" s="40" t="s">
        <v>93</v>
      </c>
      <c r="E89" s="48">
        <f>'Equip&amp;HIRE_Master'!D21</f>
        <v>165.89</v>
      </c>
      <c r="F89" s="48">
        <f t="shared" si="5"/>
        <v>0</v>
      </c>
    </row>
    <row r="90" spans="1:6" x14ac:dyDescent="0.2">
      <c r="A90" s="40"/>
      <c r="B90" s="201" t="s">
        <v>195</v>
      </c>
      <c r="C90" s="40" t="s">
        <v>93</v>
      </c>
      <c r="E90" s="48">
        <f>'Equip&amp;HIRE_Master'!D22</f>
        <v>165.89</v>
      </c>
      <c r="F90" s="48">
        <f t="shared" si="5"/>
        <v>0</v>
      </c>
    </row>
    <row r="91" spans="1:6" x14ac:dyDescent="0.2">
      <c r="A91" s="40"/>
      <c r="B91" s="201" t="s">
        <v>196</v>
      </c>
      <c r="C91" s="40" t="s">
        <v>93</v>
      </c>
      <c r="E91" s="48">
        <f>'Equip&amp;HIRE_Master'!D23</f>
        <v>0</v>
      </c>
      <c r="F91" s="48">
        <f t="shared" si="5"/>
        <v>0</v>
      </c>
    </row>
    <row r="92" spans="1:6" x14ac:dyDescent="0.2">
      <c r="A92" s="40"/>
      <c r="B92" s="201" t="s">
        <v>197</v>
      </c>
      <c r="C92" s="40" t="s">
        <v>93</v>
      </c>
      <c r="E92" s="48">
        <f>'Equip&amp;HIRE_Master'!D24</f>
        <v>203</v>
      </c>
      <c r="F92" s="48">
        <f t="shared" si="5"/>
        <v>0</v>
      </c>
    </row>
    <row r="93" spans="1:6" x14ac:dyDescent="0.2">
      <c r="A93" s="40"/>
      <c r="B93" s="201" t="s">
        <v>198</v>
      </c>
      <c r="E93" s="48">
        <f>'Equip&amp;HIRE_Master'!D25</f>
        <v>0</v>
      </c>
      <c r="F93" s="48">
        <f t="shared" si="5"/>
        <v>0</v>
      </c>
    </row>
    <row r="94" spans="1:6" x14ac:dyDescent="0.2">
      <c r="A94" s="40"/>
      <c r="B94" s="201" t="s">
        <v>199</v>
      </c>
      <c r="E94" s="48">
        <f>'Equip&amp;HIRE_Master'!D26</f>
        <v>0</v>
      </c>
      <c r="F94" s="48">
        <f t="shared" si="5"/>
        <v>0</v>
      </c>
    </row>
    <row r="95" spans="1:6" ht="4.95" customHeight="1" x14ac:dyDescent="0.2">
      <c r="A95" s="40"/>
      <c r="B95" s="201"/>
      <c r="E95" s="48">
        <f>'Equip&amp;HIRE_Master'!D27</f>
        <v>0</v>
      </c>
      <c r="F95" s="48">
        <f t="shared" si="5"/>
        <v>0</v>
      </c>
    </row>
    <row r="96" spans="1:6" x14ac:dyDescent="0.2">
      <c r="A96" s="40"/>
      <c r="B96" s="201" t="s">
        <v>200</v>
      </c>
      <c r="C96" s="40" t="s">
        <v>93</v>
      </c>
      <c r="E96" s="48">
        <f>'Equip&amp;HIRE_Master'!D28</f>
        <v>205</v>
      </c>
      <c r="F96" s="48">
        <f t="shared" si="5"/>
        <v>0</v>
      </c>
    </row>
    <row r="97" spans="1:6" x14ac:dyDescent="0.2">
      <c r="A97" s="40"/>
      <c r="B97" s="201" t="s">
        <v>201</v>
      </c>
      <c r="C97" s="40" t="s">
        <v>93</v>
      </c>
      <c r="E97" s="48">
        <f>'Equip&amp;HIRE_Master'!D29</f>
        <v>166.98</v>
      </c>
      <c r="F97" s="48">
        <f t="shared" si="5"/>
        <v>0</v>
      </c>
    </row>
    <row r="98" spans="1:6" x14ac:dyDescent="0.2">
      <c r="A98" s="40"/>
      <c r="B98" s="201" t="s">
        <v>202</v>
      </c>
      <c r="C98" s="40" t="s">
        <v>93</v>
      </c>
      <c r="E98" s="48">
        <f>'Equip&amp;HIRE_Master'!D30</f>
        <v>171.42857142857142</v>
      </c>
      <c r="F98" s="48">
        <f t="shared" si="5"/>
        <v>0</v>
      </c>
    </row>
    <row r="99" spans="1:6" ht="4.2" customHeight="1" x14ac:dyDescent="0.2">
      <c r="A99" s="40"/>
      <c r="B99" s="201"/>
      <c r="E99" s="48">
        <f>'Equip&amp;HIRE_Master'!D31</f>
        <v>0</v>
      </c>
      <c r="F99" s="48">
        <f t="shared" si="5"/>
        <v>0</v>
      </c>
    </row>
    <row r="100" spans="1:6" x14ac:dyDescent="0.2">
      <c r="A100" s="40"/>
      <c r="B100" s="201" t="s">
        <v>203</v>
      </c>
      <c r="C100" s="40" t="s">
        <v>93</v>
      </c>
      <c r="E100" s="48">
        <f>'Equip&amp;HIRE_Master'!D32</f>
        <v>0</v>
      </c>
      <c r="F100" s="48">
        <f t="shared" si="5"/>
        <v>0</v>
      </c>
    </row>
    <row r="101" spans="1:6" x14ac:dyDescent="0.2">
      <c r="A101" s="40"/>
      <c r="B101" s="201" t="s">
        <v>204</v>
      </c>
      <c r="C101" s="40" t="s">
        <v>93</v>
      </c>
      <c r="D101" s="40">
        <v>5</v>
      </c>
      <c r="E101" s="48">
        <f>'Equip&amp;HIRE_Master'!D33</f>
        <v>34.285714285714285</v>
      </c>
      <c r="F101" s="48">
        <f t="shared" si="5"/>
        <v>171.42857142857142</v>
      </c>
    </row>
    <row r="102" spans="1:6" x14ac:dyDescent="0.2">
      <c r="A102" s="40"/>
      <c r="B102" s="201" t="s">
        <v>205</v>
      </c>
      <c r="C102" s="40" t="s">
        <v>93</v>
      </c>
      <c r="E102" s="48">
        <f>'Equip&amp;HIRE_Master'!D34</f>
        <v>165</v>
      </c>
      <c r="F102" s="48">
        <f t="shared" si="5"/>
        <v>0</v>
      </c>
    </row>
    <row r="103" spans="1:6" x14ac:dyDescent="0.2">
      <c r="A103" s="40"/>
      <c r="B103" s="201" t="s">
        <v>206</v>
      </c>
      <c r="C103" s="40" t="s">
        <v>93</v>
      </c>
      <c r="E103" s="48">
        <f>'Equip&amp;HIRE_Master'!D35</f>
        <v>0</v>
      </c>
      <c r="F103" s="48">
        <f t="shared" si="5"/>
        <v>0</v>
      </c>
    </row>
    <row r="104" spans="1:6" x14ac:dyDescent="0.2">
      <c r="A104" s="40"/>
      <c r="B104" s="201" t="s">
        <v>207</v>
      </c>
      <c r="C104" s="40" t="s">
        <v>93</v>
      </c>
      <c r="D104" s="40">
        <v>30</v>
      </c>
      <c r="E104" s="48">
        <v>250</v>
      </c>
      <c r="F104" s="48">
        <f t="shared" si="5"/>
        <v>7500</v>
      </c>
    </row>
    <row r="105" spans="1:6" x14ac:dyDescent="0.2">
      <c r="A105" s="40"/>
      <c r="B105" s="201" t="s">
        <v>208</v>
      </c>
      <c r="C105" s="40" t="s">
        <v>93</v>
      </c>
      <c r="E105" s="48">
        <f>'Equip&amp;HIRE_Master'!D37</f>
        <v>0</v>
      </c>
      <c r="F105" s="48">
        <f t="shared" si="5"/>
        <v>0</v>
      </c>
    </row>
    <row r="106" spans="1:6" x14ac:dyDescent="0.2">
      <c r="A106" s="40"/>
      <c r="B106" s="201" t="s">
        <v>209</v>
      </c>
      <c r="C106" s="40" t="s">
        <v>93</v>
      </c>
      <c r="E106" s="48">
        <f>'Equip&amp;HIRE_Master'!D38</f>
        <v>0</v>
      </c>
      <c r="F106" s="48">
        <f t="shared" si="5"/>
        <v>0</v>
      </c>
    </row>
    <row r="107" spans="1:6" ht="6" customHeight="1" x14ac:dyDescent="0.2">
      <c r="A107" s="40"/>
      <c r="B107" s="201"/>
      <c r="E107" s="48">
        <f>'Equip&amp;HIRE_Master'!D39</f>
        <v>0</v>
      </c>
      <c r="F107" s="48">
        <f t="shared" si="5"/>
        <v>0</v>
      </c>
    </row>
    <row r="108" spans="1:6" x14ac:dyDescent="0.2">
      <c r="A108" s="40"/>
      <c r="B108" s="201" t="s">
        <v>210</v>
      </c>
      <c r="C108" s="40" t="s">
        <v>93</v>
      </c>
      <c r="E108" s="48">
        <f>'Equip&amp;HIRE_Master'!D40</f>
        <v>5.46</v>
      </c>
      <c r="F108" s="48">
        <f t="shared" si="5"/>
        <v>0</v>
      </c>
    </row>
    <row r="109" spans="1:6" x14ac:dyDescent="0.2">
      <c r="A109" s="40"/>
      <c r="B109" s="201" t="s">
        <v>211</v>
      </c>
      <c r="C109" s="40" t="s">
        <v>93</v>
      </c>
      <c r="E109" s="48">
        <f>'Equip&amp;HIRE_Master'!D41</f>
        <v>23</v>
      </c>
      <c r="F109" s="48">
        <f t="shared" si="5"/>
        <v>0</v>
      </c>
    </row>
    <row r="110" spans="1:6" x14ac:dyDescent="0.2">
      <c r="A110" s="40"/>
      <c r="B110" s="201" t="s">
        <v>212</v>
      </c>
      <c r="C110" s="40" t="s">
        <v>93</v>
      </c>
      <c r="E110" s="48">
        <f>'Equip&amp;HIRE_Master'!D42</f>
        <v>23</v>
      </c>
      <c r="F110" s="48">
        <f t="shared" si="5"/>
        <v>0</v>
      </c>
    </row>
    <row r="111" spans="1:6" hidden="1" x14ac:dyDescent="0.2">
      <c r="A111" s="40"/>
      <c r="B111" s="201" t="s">
        <v>213</v>
      </c>
      <c r="C111" s="40" t="s">
        <v>93</v>
      </c>
      <c r="E111" s="48">
        <f>'Equip&amp;HIRE_Master'!D43</f>
        <v>0</v>
      </c>
      <c r="F111" s="48">
        <f t="shared" si="5"/>
        <v>0</v>
      </c>
    </row>
    <row r="112" spans="1:6" hidden="1" x14ac:dyDescent="0.2">
      <c r="A112" s="40"/>
      <c r="B112" s="201" t="s">
        <v>214</v>
      </c>
      <c r="C112" s="40" t="s">
        <v>93</v>
      </c>
      <c r="E112" s="48">
        <f>'Equip&amp;HIRE_Master'!D44</f>
        <v>0</v>
      </c>
      <c r="F112" s="48">
        <f t="shared" si="5"/>
        <v>0</v>
      </c>
    </row>
    <row r="113" spans="1:6" hidden="1" x14ac:dyDescent="0.2">
      <c r="A113" s="40"/>
      <c r="B113" s="201" t="s">
        <v>215</v>
      </c>
      <c r="C113" s="40" t="s">
        <v>93</v>
      </c>
      <c r="E113" s="48">
        <f>'Equip&amp;HIRE_Master'!D45</f>
        <v>0</v>
      </c>
      <c r="F113" s="48">
        <f t="shared" si="5"/>
        <v>0</v>
      </c>
    </row>
    <row r="114" spans="1:6" hidden="1" x14ac:dyDescent="0.2">
      <c r="A114" s="40"/>
      <c r="B114" s="201" t="s">
        <v>216</v>
      </c>
      <c r="C114" s="40" t="s">
        <v>93</v>
      </c>
      <c r="E114" s="48">
        <f>'Equip&amp;HIRE_Master'!D46</f>
        <v>0</v>
      </c>
      <c r="F114" s="48">
        <f t="shared" si="5"/>
        <v>0</v>
      </c>
    </row>
    <row r="115" spans="1:6" hidden="1" x14ac:dyDescent="0.2">
      <c r="A115" s="40"/>
      <c r="B115" s="201" t="s">
        <v>217</v>
      </c>
      <c r="C115" s="40" t="s">
        <v>93</v>
      </c>
      <c r="E115" s="48">
        <f>'Equip&amp;HIRE_Master'!D47</f>
        <v>0</v>
      </c>
      <c r="F115" s="48">
        <f t="shared" si="5"/>
        <v>0</v>
      </c>
    </row>
    <row r="116" spans="1:6" hidden="1" x14ac:dyDescent="0.2">
      <c r="A116" s="40"/>
      <c r="B116" s="201" t="s">
        <v>218</v>
      </c>
      <c r="C116" s="40" t="s">
        <v>93</v>
      </c>
      <c r="E116" s="48">
        <f>'Equip&amp;HIRE_Master'!D48</f>
        <v>0</v>
      </c>
      <c r="F116" s="48">
        <f t="shared" si="5"/>
        <v>0</v>
      </c>
    </row>
    <row r="117" spans="1:6" hidden="1" x14ac:dyDescent="0.2">
      <c r="A117" s="40"/>
      <c r="B117" s="201" t="s">
        <v>219</v>
      </c>
      <c r="C117" s="40" t="s">
        <v>93</v>
      </c>
      <c r="E117" s="48">
        <f>'Equip&amp;HIRE_Master'!D49</f>
        <v>0</v>
      </c>
      <c r="F117" s="48">
        <f t="shared" si="5"/>
        <v>0</v>
      </c>
    </row>
    <row r="118" spans="1:6" hidden="1" x14ac:dyDescent="0.2">
      <c r="A118" s="40"/>
      <c r="B118" s="201" t="s">
        <v>220</v>
      </c>
      <c r="C118" s="40" t="s">
        <v>93</v>
      </c>
      <c r="E118" s="48">
        <f>'Equip&amp;HIRE_Master'!D50</f>
        <v>0</v>
      </c>
      <c r="F118" s="48">
        <f t="shared" si="5"/>
        <v>0</v>
      </c>
    </row>
    <row r="119" spans="1:6" hidden="1" x14ac:dyDescent="0.2">
      <c r="A119" s="40"/>
      <c r="B119" s="201" t="s">
        <v>221</v>
      </c>
      <c r="C119" s="40" t="s">
        <v>93</v>
      </c>
      <c r="E119" s="48">
        <f>'Equip&amp;HIRE_Master'!D51</f>
        <v>0</v>
      </c>
      <c r="F119" s="48">
        <f t="shared" si="5"/>
        <v>0</v>
      </c>
    </row>
    <row r="120" spans="1:6" hidden="1" x14ac:dyDescent="0.2">
      <c r="A120" s="40"/>
      <c r="B120" s="201" t="s">
        <v>222</v>
      </c>
      <c r="C120" s="40" t="s">
        <v>93</v>
      </c>
      <c r="E120" s="48">
        <f>'Equip&amp;HIRE_Master'!D52</f>
        <v>0</v>
      </c>
      <c r="F120" s="48">
        <f t="shared" si="5"/>
        <v>0</v>
      </c>
    </row>
    <row r="121" spans="1:6" ht="6" customHeight="1" x14ac:dyDescent="0.2">
      <c r="A121" s="40"/>
      <c r="B121" s="201"/>
      <c r="E121" s="48">
        <f>'Equip&amp;HIRE_Master'!D53</f>
        <v>0</v>
      </c>
      <c r="F121" s="48">
        <f t="shared" si="5"/>
        <v>0</v>
      </c>
    </row>
    <row r="122" spans="1:6" x14ac:dyDescent="0.2">
      <c r="A122" s="40"/>
      <c r="B122" s="201" t="s">
        <v>223</v>
      </c>
      <c r="C122" s="40" t="s">
        <v>93</v>
      </c>
      <c r="E122" s="48">
        <f>'Equip&amp;HIRE_Master'!D54</f>
        <v>0</v>
      </c>
      <c r="F122" s="48">
        <f t="shared" si="5"/>
        <v>0</v>
      </c>
    </row>
    <row r="123" spans="1:6" x14ac:dyDescent="0.2">
      <c r="A123" s="40"/>
      <c r="B123" s="201" t="s">
        <v>224</v>
      </c>
      <c r="C123" s="40" t="s">
        <v>225</v>
      </c>
      <c r="E123" s="48">
        <f>'Equip&amp;HIRE_Master'!D55</f>
        <v>230</v>
      </c>
      <c r="F123" s="48">
        <f t="shared" si="5"/>
        <v>0</v>
      </c>
    </row>
    <row r="124" spans="1:6" x14ac:dyDescent="0.2">
      <c r="A124" s="40"/>
      <c r="B124" s="201" t="s">
        <v>226</v>
      </c>
      <c r="C124" s="40" t="s">
        <v>227</v>
      </c>
      <c r="E124" s="48">
        <f>'Equip&amp;HIRE_Master'!D56</f>
        <v>309</v>
      </c>
      <c r="F124" s="48">
        <f t="shared" si="5"/>
        <v>0</v>
      </c>
    </row>
    <row r="125" spans="1:6" x14ac:dyDescent="0.2">
      <c r="A125" s="40"/>
      <c r="B125" s="201" t="s">
        <v>228</v>
      </c>
      <c r="C125" s="40" t="s">
        <v>229</v>
      </c>
      <c r="E125" s="48">
        <f>'Equip&amp;HIRE_Master'!D57</f>
        <v>35</v>
      </c>
      <c r="F125" s="48">
        <f t="shared" si="5"/>
        <v>0</v>
      </c>
    </row>
    <row r="126" spans="1:6" x14ac:dyDescent="0.2">
      <c r="A126" s="40"/>
      <c r="B126" s="201" t="s">
        <v>230</v>
      </c>
      <c r="C126" s="40" t="s">
        <v>231</v>
      </c>
      <c r="E126" s="48">
        <f>'Equip&amp;HIRE_Master'!D58</f>
        <v>229.9</v>
      </c>
      <c r="F126" s="48">
        <f t="shared" si="5"/>
        <v>0</v>
      </c>
    </row>
    <row r="127" spans="1:6" x14ac:dyDescent="0.2">
      <c r="A127" s="40"/>
      <c r="B127" s="201" t="s">
        <v>232</v>
      </c>
      <c r="C127" s="40" t="s">
        <v>231</v>
      </c>
      <c r="E127" s="48">
        <f>'Equip&amp;HIRE_Master'!D59</f>
        <v>239.8</v>
      </c>
      <c r="F127" s="48">
        <f t="shared" si="5"/>
        <v>0</v>
      </c>
    </row>
    <row r="128" spans="1:6" x14ac:dyDescent="0.2">
      <c r="A128" s="40"/>
      <c r="B128" s="201" t="s">
        <v>233</v>
      </c>
      <c r="C128" s="40" t="s">
        <v>227</v>
      </c>
      <c r="E128" s="48">
        <f>'Equip&amp;HIRE_Master'!D60</f>
        <v>309</v>
      </c>
      <c r="F128" s="48">
        <f t="shared" si="5"/>
        <v>0</v>
      </c>
    </row>
    <row r="129" spans="1:6" x14ac:dyDescent="0.2">
      <c r="A129" s="40"/>
      <c r="B129" s="201" t="s">
        <v>234</v>
      </c>
      <c r="C129" s="40" t="s">
        <v>229</v>
      </c>
      <c r="E129" s="48">
        <f>'Equip&amp;HIRE_Master'!D61</f>
        <v>35</v>
      </c>
      <c r="F129" s="48">
        <f t="shared" si="5"/>
        <v>0</v>
      </c>
    </row>
    <row r="130" spans="1:6" x14ac:dyDescent="0.2">
      <c r="A130" s="40"/>
      <c r="B130" s="201" t="s">
        <v>235</v>
      </c>
      <c r="C130" s="40" t="s">
        <v>93</v>
      </c>
      <c r="E130" s="48">
        <f>'Equip&amp;HIRE_Master'!D62</f>
        <v>295.77</v>
      </c>
      <c r="F130" s="48">
        <f t="shared" si="5"/>
        <v>0</v>
      </c>
    </row>
    <row r="131" spans="1:6" x14ac:dyDescent="0.2">
      <c r="A131" s="40"/>
      <c r="B131" s="201" t="s">
        <v>236</v>
      </c>
      <c r="C131" s="40" t="s">
        <v>93</v>
      </c>
      <c r="E131" s="48">
        <f>'Equip&amp;HIRE_Master'!D63</f>
        <v>355</v>
      </c>
      <c r="F131" s="48">
        <f t="shared" si="5"/>
        <v>0</v>
      </c>
    </row>
    <row r="132" spans="1:6" ht="6" customHeight="1" x14ac:dyDescent="0.2">
      <c r="A132" s="40"/>
      <c r="B132" s="201"/>
      <c r="E132" s="48">
        <f>'Equip&amp;HIRE_Master'!D64</f>
        <v>0</v>
      </c>
      <c r="F132" s="48">
        <f t="shared" si="5"/>
        <v>0</v>
      </c>
    </row>
    <row r="133" spans="1:6" x14ac:dyDescent="0.2">
      <c r="A133" s="40"/>
      <c r="B133" s="201" t="s">
        <v>237</v>
      </c>
      <c r="C133" s="40" t="s">
        <v>93</v>
      </c>
      <c r="E133" s="48">
        <f>'Equip&amp;HIRE_Master'!D65</f>
        <v>0</v>
      </c>
      <c r="F133" s="48">
        <f t="shared" si="5"/>
        <v>0</v>
      </c>
    </row>
    <row r="134" spans="1:6" x14ac:dyDescent="0.2">
      <c r="A134" s="40"/>
      <c r="B134" s="201" t="s">
        <v>238</v>
      </c>
      <c r="C134" s="40" t="s">
        <v>239</v>
      </c>
      <c r="E134" s="48">
        <f>'Equip&amp;HIRE_Master'!D66</f>
        <v>180</v>
      </c>
      <c r="F134" s="48">
        <f t="shared" si="5"/>
        <v>0</v>
      </c>
    </row>
    <row r="135" spans="1:6" x14ac:dyDescent="0.2">
      <c r="A135" s="40"/>
      <c r="B135" s="201" t="s">
        <v>240</v>
      </c>
      <c r="C135" s="40" t="s">
        <v>239</v>
      </c>
      <c r="E135" s="48">
        <f>'Equip&amp;HIRE_Master'!D67</f>
        <v>125</v>
      </c>
      <c r="F135" s="48">
        <f t="shared" si="5"/>
        <v>0</v>
      </c>
    </row>
    <row r="136" spans="1:6" x14ac:dyDescent="0.2">
      <c r="A136" s="40"/>
      <c r="B136" s="201" t="s">
        <v>241</v>
      </c>
      <c r="C136" s="40" t="s">
        <v>239</v>
      </c>
      <c r="E136" s="48">
        <f>'Equip&amp;HIRE_Master'!D68</f>
        <v>160</v>
      </c>
      <c r="F136" s="48">
        <f t="shared" si="5"/>
        <v>0</v>
      </c>
    </row>
    <row r="137" spans="1:6" x14ac:dyDescent="0.2">
      <c r="A137" s="40"/>
      <c r="B137" s="201" t="s">
        <v>242</v>
      </c>
      <c r="C137" s="40" t="s">
        <v>239</v>
      </c>
      <c r="E137" s="48">
        <f>'Equip&amp;HIRE_Master'!D69</f>
        <v>200</v>
      </c>
      <c r="F137" s="48">
        <f t="shared" ref="F137" si="6">E137*D137</f>
        <v>0</v>
      </c>
    </row>
    <row r="138" spans="1:6" x14ac:dyDescent="0.2">
      <c r="A138" s="40"/>
      <c r="E138" s="48"/>
      <c r="F138" s="48"/>
    </row>
    <row r="139" spans="1:6" x14ac:dyDescent="0.2">
      <c r="A139" s="40"/>
      <c r="B139" s="201" t="s">
        <v>244</v>
      </c>
      <c r="C139" s="40" t="s">
        <v>229</v>
      </c>
      <c r="D139" s="40">
        <v>0.6</v>
      </c>
      <c r="E139" s="48">
        <v>1850</v>
      </c>
      <c r="F139" s="48">
        <f t="shared" ref="F139" si="7">E139*D139</f>
        <v>1110</v>
      </c>
    </row>
    <row r="140" spans="1:6" ht="10.8" thickBot="1" x14ac:dyDescent="0.25">
      <c r="A140" s="40"/>
      <c r="E140" s="48"/>
      <c r="F140" s="48"/>
    </row>
    <row r="141" spans="1:6" ht="10.8" thickBot="1" x14ac:dyDescent="0.25">
      <c r="A141" s="42"/>
      <c r="B141" s="49" t="s">
        <v>245</v>
      </c>
      <c r="E141" s="48"/>
      <c r="F141" s="48"/>
    </row>
    <row r="142" spans="1:6" x14ac:dyDescent="0.2">
      <c r="E142" s="48"/>
      <c r="F142" s="48"/>
    </row>
    <row r="143" spans="1:6" x14ac:dyDescent="0.2">
      <c r="B143" s="38" t="s">
        <v>246</v>
      </c>
      <c r="C143" s="40" t="s">
        <v>115</v>
      </c>
      <c r="E143" s="48">
        <f>'Misc Subbie Rates_Master'!D35</f>
        <v>180</v>
      </c>
      <c r="F143" s="48">
        <f>E143*D143</f>
        <v>0</v>
      </c>
    </row>
    <row r="144" spans="1:6" x14ac:dyDescent="0.2">
      <c r="B144" s="38" t="s">
        <v>247</v>
      </c>
      <c r="C144" s="40" t="s">
        <v>115</v>
      </c>
      <c r="E144" s="48">
        <f>'Misc Subbie Rates_Master'!D42</f>
        <v>130</v>
      </c>
      <c r="F144" s="48">
        <f t="shared" ref="F144:F151" si="8">E144*D144</f>
        <v>0</v>
      </c>
    </row>
    <row r="145" spans="1:6" x14ac:dyDescent="0.2">
      <c r="B145" s="38" t="s">
        <v>248</v>
      </c>
      <c r="C145" s="40" t="s">
        <v>115</v>
      </c>
      <c r="D145" s="40">
        <v>4</v>
      </c>
      <c r="E145" s="48">
        <f>'Misc Subbie Rates_Master'!D72</f>
        <v>115</v>
      </c>
      <c r="F145" s="48">
        <f t="shared" si="8"/>
        <v>460</v>
      </c>
    </row>
    <row r="146" spans="1:6" x14ac:dyDescent="0.2">
      <c r="B146" s="38" t="s">
        <v>249</v>
      </c>
      <c r="C146" s="40" t="s">
        <v>115</v>
      </c>
      <c r="D146" s="40">
        <v>1</v>
      </c>
      <c r="E146" s="48">
        <f>'Misc Subbie Rates_Master'!D73</f>
        <v>90</v>
      </c>
      <c r="F146" s="48">
        <f t="shared" si="8"/>
        <v>90</v>
      </c>
    </row>
    <row r="147" spans="1:6" x14ac:dyDescent="0.2">
      <c r="C147" s="40" t="s">
        <v>115</v>
      </c>
      <c r="D147" s="40">
        <v>0</v>
      </c>
      <c r="E147" s="48"/>
      <c r="F147" s="48">
        <f t="shared" si="8"/>
        <v>0</v>
      </c>
    </row>
    <row r="148" spans="1:6" x14ac:dyDescent="0.2">
      <c r="C148" s="40" t="s">
        <v>115</v>
      </c>
      <c r="E148" s="48"/>
      <c r="F148" s="48">
        <f t="shared" si="8"/>
        <v>0</v>
      </c>
    </row>
    <row r="149" spans="1:6" x14ac:dyDescent="0.2">
      <c r="B149" s="284" t="s">
        <v>250</v>
      </c>
      <c r="C149" s="40" t="s">
        <v>115</v>
      </c>
      <c r="E149" s="48"/>
      <c r="F149" s="48">
        <f t="shared" si="8"/>
        <v>0</v>
      </c>
    </row>
    <row r="150" spans="1:6" x14ac:dyDescent="0.2">
      <c r="B150" s="1" t="s">
        <v>251</v>
      </c>
      <c r="C150" s="40" t="s">
        <v>115</v>
      </c>
      <c r="D150" s="40">
        <v>1</v>
      </c>
      <c r="E150" s="48">
        <f>'Misc Subbie Rates_Master'!D84</f>
        <v>1945</v>
      </c>
      <c r="F150" s="48">
        <f t="shared" si="8"/>
        <v>1945</v>
      </c>
    </row>
    <row r="151" spans="1:6" x14ac:dyDescent="0.2">
      <c r="B151" s="38" t="s">
        <v>252</v>
      </c>
      <c r="C151" s="40" t="s">
        <v>115</v>
      </c>
      <c r="D151" s="40">
        <v>1</v>
      </c>
      <c r="E151" s="48">
        <f>'Misc Subbie Rates_Master'!D86</f>
        <v>350</v>
      </c>
      <c r="F151" s="48">
        <f t="shared" si="8"/>
        <v>350</v>
      </c>
    </row>
    <row r="152" spans="1:6" x14ac:dyDescent="0.2">
      <c r="E152" s="48"/>
      <c r="F152" s="48"/>
    </row>
    <row r="153" spans="1:6" ht="10.8" thickBot="1" x14ac:dyDescent="0.25">
      <c r="E153" s="48"/>
      <c r="F153" s="48"/>
    </row>
    <row r="154" spans="1:6" ht="10.8" thickBot="1" x14ac:dyDescent="0.25">
      <c r="A154" s="42"/>
      <c r="B154" s="49" t="s">
        <v>253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9">E157*D157</f>
        <v>0</v>
      </c>
    </row>
    <row r="158" spans="1:6" x14ac:dyDescent="0.2">
      <c r="B158" s="38" t="str">
        <f>'Material Rates_Master'!A187</f>
        <v>Turf Underlay/Topsoil</v>
      </c>
      <c r="C158" s="40" t="str">
        <f>'Material Rates_Master'!B187</f>
        <v>m3</v>
      </c>
      <c r="E158" s="48">
        <f>'Material Rates_Master'!D187</f>
        <v>45.25</v>
      </c>
      <c r="F158" s="48">
        <f t="shared" si="9"/>
        <v>0</v>
      </c>
    </row>
    <row r="159" spans="1:6" x14ac:dyDescent="0.2">
      <c r="B159" s="38" t="str">
        <f>'Material Rates_Master'!A188</f>
        <v>Standard Garden Woodchip</v>
      </c>
      <c r="C159" s="40" t="str">
        <f>'Material Rates_Master'!B188</f>
        <v>m3</v>
      </c>
      <c r="E159" s="48">
        <f>'Material Rates_Master'!D188</f>
        <v>87</v>
      </c>
      <c r="F159" s="48">
        <f t="shared" si="9"/>
        <v>0</v>
      </c>
    </row>
    <row r="160" spans="1:6" x14ac:dyDescent="0.2">
      <c r="B160" s="38" t="str">
        <f>'Material Rates_Master'!A189</f>
        <v>Turf - Standard Couch or Similar</v>
      </c>
      <c r="C160" s="40" t="str">
        <f>'Material Rates_Master'!B189</f>
        <v>Slab (.5m2)</v>
      </c>
      <c r="E160" s="48">
        <f>'Material Rates_Master'!D189</f>
        <v>6.48</v>
      </c>
      <c r="F160" s="48">
        <f t="shared" si="9"/>
        <v>0</v>
      </c>
    </row>
    <row r="161" spans="1:10" ht="4.2"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9"/>
        <v>0</v>
      </c>
    </row>
    <row r="163" spans="1:10" x14ac:dyDescent="0.2">
      <c r="B163" s="38" t="str">
        <f>'Material Rates_Master'!A194</f>
        <v>Exposed Agg Concrete - Standard/Cheapest Exposed Agg Stone</v>
      </c>
      <c r="C163" s="40" t="str">
        <f>'Material Rates_Master'!B194</f>
        <v>m3</v>
      </c>
      <c r="E163" s="48">
        <f>'Material Rates_Master'!D194</f>
        <v>252</v>
      </c>
      <c r="F163" s="48">
        <f t="shared" si="9"/>
        <v>0</v>
      </c>
    </row>
    <row r="164" spans="1:10" x14ac:dyDescent="0.2">
      <c r="B164" s="38" t="str">
        <f>'Material Rates_Master'!A195</f>
        <v>N25 20mm 80 Slump Concrete</v>
      </c>
      <c r="C164" s="40" t="str">
        <f>'Material Rates_Master'!B195</f>
        <v>m3</v>
      </c>
      <c r="E164" s="48">
        <f>'Material Rates_Master'!D195</f>
        <v>263</v>
      </c>
      <c r="F164" s="48">
        <f t="shared" si="9"/>
        <v>0</v>
      </c>
    </row>
    <row r="165" spans="1:10" x14ac:dyDescent="0.2">
      <c r="E165" s="48"/>
      <c r="F165" s="48"/>
    </row>
    <row r="166" spans="1:10" x14ac:dyDescent="0.2">
      <c r="B166" s="38" t="s">
        <v>254</v>
      </c>
      <c r="C166" s="40" t="s">
        <v>115</v>
      </c>
      <c r="E166" s="48">
        <v>380</v>
      </c>
      <c r="F166" s="48">
        <f t="shared" ref="F166" si="10">E166*D166</f>
        <v>0</v>
      </c>
    </row>
    <row r="167" spans="1:10" x14ac:dyDescent="0.2">
      <c r="E167" s="48"/>
      <c r="F167" s="48"/>
    </row>
    <row r="168" spans="1:10" x14ac:dyDescent="0.2">
      <c r="B168" s="201"/>
      <c r="C168" s="38"/>
      <c r="D168" s="38"/>
      <c r="E168" s="38"/>
      <c r="F168" s="38"/>
    </row>
    <row r="169" spans="1:10" x14ac:dyDescent="0.2">
      <c r="A169" s="42"/>
      <c r="B169" s="332" t="s">
        <v>255</v>
      </c>
      <c r="E169" s="48"/>
      <c r="F169" s="48"/>
    </row>
    <row r="170" spans="1:10" x14ac:dyDescent="0.2">
      <c r="E170" s="48"/>
      <c r="F170" s="48"/>
    </row>
    <row r="171" spans="1:10" ht="13.2" x14ac:dyDescent="0.2">
      <c r="A171" s="40"/>
      <c r="B171" s="300" t="s">
        <v>256</v>
      </c>
      <c r="C171" s="40" t="str">
        <f>'Material Rates_Master'!B5</f>
        <v>m</v>
      </c>
      <c r="D171" s="292"/>
      <c r="E171" s="48">
        <f>'Material Rates_Master'!D5*$M$16</f>
        <v>46.810749999999999</v>
      </c>
      <c r="F171" s="48">
        <f t="shared" ref="F171:F234" si="11">E171*D171</f>
        <v>0</v>
      </c>
      <c r="H171" s="20"/>
      <c r="I171" s="47"/>
      <c r="J171" s="47"/>
    </row>
    <row r="172" spans="1:10" x14ac:dyDescent="0.2">
      <c r="A172" s="40"/>
      <c r="B172" s="300" t="s">
        <v>257</v>
      </c>
      <c r="C172" s="40" t="str">
        <f>'Material Rates_Master'!B6</f>
        <v>m</v>
      </c>
      <c r="D172" s="240"/>
      <c r="E172" s="48">
        <f>'Material Rates_Master'!D6*$M$16</f>
        <v>35.143999999999998</v>
      </c>
      <c r="F172" s="48">
        <f t="shared" si="11"/>
        <v>0</v>
      </c>
      <c r="H172" s="20"/>
    </row>
    <row r="173" spans="1:10" x14ac:dyDescent="0.2">
      <c r="A173" s="40"/>
      <c r="B173" s="300" t="s">
        <v>258</v>
      </c>
      <c r="C173" s="40" t="str">
        <f>'Material Rates_Master'!B7</f>
        <v>m</v>
      </c>
      <c r="D173" s="37"/>
      <c r="E173" s="48">
        <f>'Material Rates_Master'!D7*$M$16</f>
        <v>16.993549999999999</v>
      </c>
      <c r="F173" s="48">
        <f t="shared" si="11"/>
        <v>0</v>
      </c>
      <c r="H173" s="20"/>
    </row>
    <row r="174" spans="1:10" x14ac:dyDescent="0.2">
      <c r="A174" s="40"/>
      <c r="B174" s="300" t="s">
        <v>260</v>
      </c>
      <c r="C174" s="40" t="str">
        <f>'Material Rates_Master'!B8</f>
        <v>m</v>
      </c>
      <c r="D174" s="37"/>
      <c r="E174" s="48">
        <f>'Material Rates_Master'!D8*$M$16</f>
        <v>1.6779419999999998</v>
      </c>
      <c r="F174" s="48">
        <f t="shared" si="11"/>
        <v>0</v>
      </c>
      <c r="H174" s="20"/>
    </row>
    <row r="175" spans="1:10" ht="4.2" customHeight="1" x14ac:dyDescent="0.2">
      <c r="A175" s="40"/>
      <c r="B175" s="300"/>
      <c r="E175" s="48">
        <f>'Material Rates_Master'!D9*$M$16</f>
        <v>0</v>
      </c>
      <c r="F175" s="48"/>
      <c r="H175" s="20"/>
    </row>
    <row r="176" spans="1:10" x14ac:dyDescent="0.2">
      <c r="A176" s="40"/>
      <c r="B176" s="300" t="s">
        <v>261</v>
      </c>
      <c r="C176" s="40" t="str">
        <f>'Material Rates_Master'!B10</f>
        <v>ea</v>
      </c>
      <c r="D176" s="240"/>
      <c r="E176" s="48">
        <f>'Material Rates_Master'!D10*$M$16</f>
        <v>60.802799999999998</v>
      </c>
      <c r="F176" s="48">
        <f t="shared" si="11"/>
        <v>0</v>
      </c>
      <c r="H176" s="20"/>
    </row>
    <row r="177" spans="1:8" x14ac:dyDescent="0.2">
      <c r="A177" s="40"/>
      <c r="B177" s="300" t="s">
        <v>262</v>
      </c>
      <c r="C177" s="40" t="str">
        <f>'Material Rates_Master'!B11</f>
        <v>ea</v>
      </c>
      <c r="D177" s="37"/>
      <c r="E177" s="48">
        <f>'Material Rates_Master'!D11*$M$16</f>
        <v>35.493599999999994</v>
      </c>
      <c r="F177" s="48">
        <f t="shared" si="11"/>
        <v>0</v>
      </c>
      <c r="H177" s="20"/>
    </row>
    <row r="178" spans="1:8" x14ac:dyDescent="0.2">
      <c r="A178" s="40"/>
      <c r="B178" s="300" t="s">
        <v>263</v>
      </c>
      <c r="C178" s="40" t="str">
        <f>'Material Rates_Master'!B12</f>
        <v>ea</v>
      </c>
      <c r="D178" s="240"/>
      <c r="E178" s="48">
        <f>'Material Rates_Master'!D12*$M$16</f>
        <v>19.471799999999998</v>
      </c>
      <c r="F178" s="48">
        <f t="shared" si="11"/>
        <v>0</v>
      </c>
      <c r="H178" s="20"/>
    </row>
    <row r="179" spans="1:8" x14ac:dyDescent="0.2">
      <c r="A179" s="40"/>
      <c r="B179" s="300" t="s">
        <v>264</v>
      </c>
      <c r="C179" s="40" t="str">
        <f>'Material Rates_Master'!B13</f>
        <v>ea</v>
      </c>
      <c r="D179" s="240"/>
      <c r="E179" s="48">
        <f>'Material Rates_Master'!D13*$M$16</f>
        <v>150.64079999999998</v>
      </c>
      <c r="F179" s="48">
        <f t="shared" si="11"/>
        <v>0</v>
      </c>
      <c r="H179" s="20"/>
    </row>
    <row r="180" spans="1:8" x14ac:dyDescent="0.2">
      <c r="A180" s="40"/>
      <c r="B180" s="300" t="s">
        <v>265</v>
      </c>
      <c r="C180" s="40" t="str">
        <f>'Material Rates_Master'!B14</f>
        <v>ea</v>
      </c>
      <c r="D180" s="240"/>
      <c r="E180" s="48">
        <f>'Material Rates_Master'!D14*$M$16</f>
        <v>135.1986</v>
      </c>
      <c r="F180" s="48">
        <f t="shared" si="11"/>
        <v>0</v>
      </c>
      <c r="H180" s="20"/>
    </row>
    <row r="181" spans="1:8" x14ac:dyDescent="0.2">
      <c r="A181" s="40"/>
      <c r="B181" s="300" t="s">
        <v>266</v>
      </c>
      <c r="C181" s="40" t="str">
        <f>'Material Rates_Master'!B15</f>
        <v>ea</v>
      </c>
      <c r="D181" s="240"/>
      <c r="E181" s="48">
        <f>'Material Rates_Master'!D15*$M$16</f>
        <v>61.672199999999989</v>
      </c>
      <c r="F181" s="48">
        <f t="shared" si="11"/>
        <v>0</v>
      </c>
      <c r="H181" s="20"/>
    </row>
    <row r="182" spans="1:8" x14ac:dyDescent="0.2">
      <c r="A182" s="40"/>
      <c r="B182" s="300" t="s">
        <v>267</v>
      </c>
      <c r="C182" s="40" t="str">
        <f>'Material Rates_Master'!B16</f>
        <v>ea</v>
      </c>
      <c r="D182" s="240"/>
      <c r="E182" s="48">
        <f>'Material Rates_Master'!D16*$M$16</f>
        <v>150.64079999999998</v>
      </c>
      <c r="F182" s="48">
        <f t="shared" si="11"/>
        <v>0</v>
      </c>
      <c r="H182" s="20"/>
    </row>
    <row r="183" spans="1:8" x14ac:dyDescent="0.2">
      <c r="A183" s="40"/>
      <c r="B183" s="300" t="s">
        <v>268</v>
      </c>
      <c r="C183" s="40" t="str">
        <f>'Material Rates_Master'!B17</f>
        <v>ea</v>
      </c>
      <c r="D183" s="240"/>
      <c r="E183" s="48">
        <f>'Material Rates_Master'!D17*$M$16</f>
        <v>134.9778</v>
      </c>
      <c r="F183" s="48">
        <f t="shared" si="11"/>
        <v>0</v>
      </c>
      <c r="H183" s="20"/>
    </row>
    <row r="184" spans="1:8" x14ac:dyDescent="0.2">
      <c r="A184" s="40"/>
      <c r="B184" s="300" t="s">
        <v>269</v>
      </c>
      <c r="C184" s="40" t="str">
        <f>'Material Rates_Master'!B18</f>
        <v>ea</v>
      </c>
      <c r="D184" s="240"/>
      <c r="E184" s="48">
        <f>'Material Rates_Master'!D18*$M$16</f>
        <v>61.61699999999999</v>
      </c>
      <c r="F184" s="48">
        <f t="shared" si="11"/>
        <v>0</v>
      </c>
      <c r="H184" s="20"/>
    </row>
    <row r="185" spans="1:8" x14ac:dyDescent="0.2">
      <c r="A185" s="40"/>
      <c r="B185" s="300" t="s">
        <v>270</v>
      </c>
      <c r="C185" s="40" t="str">
        <f>'Material Rates_Master'!B19</f>
        <v>ea</v>
      </c>
      <c r="D185" s="240"/>
      <c r="E185" s="48">
        <f>'Material Rates_Master'!D19*$M$16</f>
        <v>151.45499999999998</v>
      </c>
      <c r="F185" s="48">
        <f t="shared" si="11"/>
        <v>0</v>
      </c>
      <c r="H185" s="20"/>
    </row>
    <row r="186" spans="1:8" x14ac:dyDescent="0.2">
      <c r="A186" s="40"/>
      <c r="B186" s="300" t="s">
        <v>271</v>
      </c>
      <c r="C186" s="40" t="str">
        <f>'Material Rates_Master'!B20</f>
        <v>ea</v>
      </c>
      <c r="D186" s="240"/>
      <c r="E186" s="48">
        <f>'Material Rates_Master'!D20*$M$16</f>
        <v>157.7064</v>
      </c>
      <c r="F186" s="48">
        <f t="shared" si="11"/>
        <v>0</v>
      </c>
      <c r="H186" s="20"/>
    </row>
    <row r="187" spans="1:8" x14ac:dyDescent="0.2">
      <c r="A187" s="40"/>
      <c r="B187" s="300" t="s">
        <v>272</v>
      </c>
      <c r="C187" s="40" t="str">
        <f>'Material Rates_Master'!B21</f>
        <v>ea</v>
      </c>
      <c r="D187" s="240"/>
      <c r="E187" s="48">
        <f>'Material Rates_Master'!D21*$M$16</f>
        <v>67.964999999999989</v>
      </c>
      <c r="F187" s="48">
        <f t="shared" si="11"/>
        <v>0</v>
      </c>
      <c r="H187" s="20"/>
    </row>
    <row r="188" spans="1:8" x14ac:dyDescent="0.2">
      <c r="A188" s="40"/>
      <c r="B188" s="300" t="s">
        <v>273</v>
      </c>
      <c r="C188" s="40" t="str">
        <f>'Material Rates_Master'!B22</f>
        <v>ea</v>
      </c>
      <c r="D188" s="240"/>
      <c r="E188" s="48">
        <f>'Material Rates_Master'!D22*$M$16</f>
        <v>289.0686</v>
      </c>
      <c r="F188" s="48">
        <f t="shared" si="11"/>
        <v>0</v>
      </c>
      <c r="H188" s="20"/>
    </row>
    <row r="189" spans="1:8" x14ac:dyDescent="0.2">
      <c r="A189" s="40"/>
      <c r="B189" s="300" t="s">
        <v>274</v>
      </c>
      <c r="C189" s="40" t="str">
        <f>'Material Rates_Master'!B23</f>
        <v>ea</v>
      </c>
      <c r="D189" s="240"/>
      <c r="E189" s="48">
        <f>'Material Rates_Master'!D23*$M$16</f>
        <v>301.4196</v>
      </c>
      <c r="F189" s="48">
        <f t="shared" si="11"/>
        <v>0</v>
      </c>
      <c r="H189" s="20"/>
    </row>
    <row r="190" spans="1:8" x14ac:dyDescent="0.2">
      <c r="A190" s="40"/>
      <c r="B190" s="300" t="s">
        <v>275</v>
      </c>
      <c r="C190" s="40" t="str">
        <f>'Material Rates_Master'!B24</f>
        <v>ea</v>
      </c>
      <c r="D190" s="240"/>
      <c r="E190" s="48">
        <f>'Material Rates_Master'!D24*$M$16</f>
        <v>168.53939999999997</v>
      </c>
      <c r="F190" s="48">
        <f t="shared" si="11"/>
        <v>0</v>
      </c>
      <c r="H190" s="20"/>
    </row>
    <row r="191" spans="1:8" x14ac:dyDescent="0.2">
      <c r="A191" s="40"/>
      <c r="B191" s="300" t="s">
        <v>276</v>
      </c>
      <c r="C191" s="40" t="str">
        <f>'Material Rates_Master'!B25</f>
        <v>ea</v>
      </c>
      <c r="D191" s="240"/>
      <c r="E191" s="48">
        <f>'Material Rates_Master'!D25*$M$16</f>
        <v>173.35559999999998</v>
      </c>
      <c r="F191" s="48">
        <f t="shared" si="11"/>
        <v>0</v>
      </c>
      <c r="H191" s="20"/>
    </row>
    <row r="192" spans="1:8" x14ac:dyDescent="0.2">
      <c r="A192" s="40"/>
      <c r="B192" s="300" t="s">
        <v>277</v>
      </c>
      <c r="C192" s="40" t="str">
        <f>'Material Rates_Master'!B26</f>
        <v>ea</v>
      </c>
      <c r="D192" s="240"/>
      <c r="E192" s="48">
        <f>'Material Rates_Master'!D26*$M$16</f>
        <v>82.938000000000002</v>
      </c>
      <c r="F192" s="48">
        <f t="shared" si="11"/>
        <v>0</v>
      </c>
      <c r="H192" s="20"/>
    </row>
    <row r="193" spans="1:8" x14ac:dyDescent="0.2">
      <c r="A193" s="40"/>
      <c r="B193" s="300" t="s">
        <v>279</v>
      </c>
      <c r="C193" s="40" t="str">
        <f>'Material Rates_Master'!B27</f>
        <v>ea</v>
      </c>
      <c r="D193" s="240"/>
      <c r="E193" s="48">
        <f>'Material Rates_Master'!D27*$M$16</f>
        <v>472.44299999999998</v>
      </c>
      <c r="F193" s="48">
        <f t="shared" si="11"/>
        <v>0</v>
      </c>
      <c r="H193" s="20"/>
    </row>
    <row r="194" spans="1:8" x14ac:dyDescent="0.2">
      <c r="A194" s="40"/>
      <c r="B194" s="300" t="s">
        <v>280</v>
      </c>
      <c r="C194" s="40" t="str">
        <f>'Material Rates_Master'!B28</f>
        <v>ea</v>
      </c>
      <c r="D194" s="240"/>
      <c r="E194" s="48">
        <f>'Material Rates_Master'!D28*$M$16</f>
        <v>179.08260000000001</v>
      </c>
      <c r="F194" s="48">
        <f t="shared" si="11"/>
        <v>0</v>
      </c>
      <c r="H194" s="20"/>
    </row>
    <row r="195" spans="1:8" x14ac:dyDescent="0.2">
      <c r="A195" s="40"/>
      <c r="B195" s="300" t="s">
        <v>281</v>
      </c>
      <c r="C195" s="40" t="str">
        <f>'Material Rates_Master'!B29</f>
        <v>ea</v>
      </c>
      <c r="D195" s="240"/>
      <c r="E195" s="48">
        <f>'Material Rates_Master'!D29*$M$16</f>
        <v>127.88459999999999</v>
      </c>
      <c r="F195" s="48">
        <f t="shared" si="11"/>
        <v>0</v>
      </c>
      <c r="H195" s="20"/>
    </row>
    <row r="196" spans="1:8" x14ac:dyDescent="0.2">
      <c r="A196" s="40"/>
      <c r="B196" s="300" t="s">
        <v>282</v>
      </c>
      <c r="C196" s="40" t="str">
        <f>'Material Rates_Master'!B30</f>
        <v>ea</v>
      </c>
      <c r="D196" s="240"/>
      <c r="E196" s="48">
        <f>'Material Rates_Master'!D30*$M$16</f>
        <v>432.20219999999995</v>
      </c>
      <c r="F196" s="48">
        <f t="shared" si="11"/>
        <v>0</v>
      </c>
      <c r="H196" s="20"/>
    </row>
    <row r="197" spans="1:8" x14ac:dyDescent="0.2">
      <c r="A197" s="40"/>
      <c r="B197" s="300" t="s">
        <v>283</v>
      </c>
      <c r="C197" s="40" t="str">
        <f>'Material Rates_Master'!B31</f>
        <v>ea</v>
      </c>
      <c r="D197" s="240"/>
      <c r="E197" s="48">
        <f>'Material Rates_Master'!D31*$M$16</f>
        <v>281.67180000000002</v>
      </c>
      <c r="F197" s="48">
        <f t="shared" si="11"/>
        <v>0</v>
      </c>
      <c r="H197" s="20"/>
    </row>
    <row r="198" spans="1:8" ht="6" customHeight="1" x14ac:dyDescent="0.2">
      <c r="A198" s="40"/>
      <c r="B198" s="300"/>
      <c r="C198" s="40">
        <f>'Material Rates_Master'!B32</f>
        <v>0</v>
      </c>
      <c r="E198" s="48">
        <f>'Material Rates_Master'!D32*$M$16</f>
        <v>0</v>
      </c>
      <c r="F198" s="48">
        <f t="shared" si="11"/>
        <v>0</v>
      </c>
      <c r="H198" s="20"/>
    </row>
    <row r="199" spans="1:8" x14ac:dyDescent="0.2">
      <c r="A199" s="40"/>
      <c r="B199" s="1" t="s">
        <v>284</v>
      </c>
      <c r="C199" s="40" t="str">
        <f>'Material Rates_Master'!B33</f>
        <v>ea</v>
      </c>
      <c r="E199" s="48">
        <f>'Material Rates_Master'!D33*$M$16</f>
        <v>435.67979999999994</v>
      </c>
      <c r="F199" s="48">
        <f t="shared" si="11"/>
        <v>0</v>
      </c>
      <c r="H199" s="20"/>
    </row>
    <row r="200" spans="1:8" x14ac:dyDescent="0.2">
      <c r="A200" s="40"/>
      <c r="B200" s="1" t="s">
        <v>285</v>
      </c>
      <c r="C200" s="40" t="str">
        <f>'Material Rates_Master'!B34</f>
        <v>ea</v>
      </c>
      <c r="E200" s="48">
        <f>'Material Rates_Master'!D34*$M$16</f>
        <v>277.97339999999997</v>
      </c>
      <c r="F200" s="48">
        <f t="shared" si="11"/>
        <v>0</v>
      </c>
      <c r="H200" s="20"/>
    </row>
    <row r="201" spans="1:8" x14ac:dyDescent="0.2">
      <c r="A201" s="40"/>
      <c r="B201" s="300" t="s">
        <v>286</v>
      </c>
      <c r="C201" s="40" t="str">
        <f>'Material Rates_Master'!B35</f>
        <v>ea</v>
      </c>
      <c r="D201" s="240"/>
      <c r="E201" s="48">
        <f>'Material Rates_Master'!D35*$M$16</f>
        <v>94.5852</v>
      </c>
      <c r="F201" s="48">
        <f t="shared" si="11"/>
        <v>0</v>
      </c>
      <c r="H201" s="20"/>
    </row>
    <row r="202" spans="1:8" x14ac:dyDescent="0.2">
      <c r="A202" s="40"/>
      <c r="B202" s="300" t="s">
        <v>287</v>
      </c>
      <c r="C202" s="40" t="str">
        <f>'Material Rates_Master'!B36</f>
        <v>ea</v>
      </c>
      <c r="D202" s="240"/>
      <c r="E202" s="48">
        <f>'Material Rates_Master'!D36*$M$16</f>
        <v>88.954799999999977</v>
      </c>
      <c r="F202" s="48">
        <f t="shared" si="11"/>
        <v>0</v>
      </c>
      <c r="H202" s="20"/>
    </row>
    <row r="203" spans="1:8" x14ac:dyDescent="0.2">
      <c r="A203" s="40"/>
      <c r="B203" s="300" t="s">
        <v>288</v>
      </c>
      <c r="C203" s="40" t="str">
        <f>'Material Rates_Master'!B37</f>
        <v>ea</v>
      </c>
      <c r="D203" s="240"/>
      <c r="E203" s="48">
        <f>'Material Rates_Master'!D37*$M$16</f>
        <v>53.488799999999991</v>
      </c>
      <c r="F203" s="48">
        <f t="shared" si="11"/>
        <v>0</v>
      </c>
      <c r="H203" s="20"/>
    </row>
    <row r="204" spans="1:8" x14ac:dyDescent="0.2">
      <c r="A204" s="40"/>
      <c r="B204" s="300" t="s">
        <v>289</v>
      </c>
      <c r="C204" s="40" t="str">
        <f>'Material Rates_Master'!B38</f>
        <v>ea</v>
      </c>
      <c r="D204" s="240"/>
      <c r="E204" s="48">
        <f>'Material Rates_Master'!D38*$M$16</f>
        <v>118.91459999999999</v>
      </c>
      <c r="F204" s="48">
        <f t="shared" si="11"/>
        <v>0</v>
      </c>
      <c r="H204" s="20"/>
    </row>
    <row r="205" spans="1:8" x14ac:dyDescent="0.2">
      <c r="A205" s="40"/>
      <c r="B205" s="300" t="s">
        <v>290</v>
      </c>
      <c r="C205" s="40" t="str">
        <f>'Material Rates_Master'!B39</f>
        <v>ea</v>
      </c>
      <c r="D205" s="240"/>
      <c r="E205" s="48">
        <f>'Material Rates_Master'!D39*$M$16</f>
        <v>93.991799999999998</v>
      </c>
      <c r="F205" s="48">
        <f t="shared" si="11"/>
        <v>0</v>
      </c>
      <c r="H205" s="20"/>
    </row>
    <row r="206" spans="1:8" x14ac:dyDescent="0.2">
      <c r="A206" s="40"/>
      <c r="B206" s="300" t="s">
        <v>291</v>
      </c>
      <c r="C206" s="40" t="str">
        <f>'Material Rates_Master'!B40</f>
        <v>ea</v>
      </c>
      <c r="D206" s="240"/>
      <c r="E206" s="48">
        <f>'Material Rates_Master'!D40*$M$16</f>
        <v>43.676999999999992</v>
      </c>
      <c r="F206" s="48">
        <f t="shared" si="11"/>
        <v>0</v>
      </c>
      <c r="H206" s="20"/>
    </row>
    <row r="207" spans="1:8" x14ac:dyDescent="0.2">
      <c r="A207" s="40"/>
      <c r="B207" s="300" t="s">
        <v>292</v>
      </c>
      <c r="C207" s="40" t="str">
        <f>'Material Rates_Master'!B41</f>
        <v>ea</v>
      </c>
      <c r="D207" s="240"/>
      <c r="E207" s="48">
        <f>'Material Rates_Master'!D41*$M$16</f>
        <v>176.14319999999998</v>
      </c>
      <c r="F207" s="48">
        <f t="shared" si="11"/>
        <v>0</v>
      </c>
      <c r="H207" s="20"/>
    </row>
    <row r="208" spans="1:8" x14ac:dyDescent="0.2">
      <c r="A208" s="40"/>
      <c r="B208" s="300" t="s">
        <v>293</v>
      </c>
      <c r="C208" s="40" t="str">
        <f>'Material Rates_Master'!B42</f>
        <v>ea</v>
      </c>
      <c r="D208" s="240"/>
      <c r="E208" s="48">
        <f>'Material Rates_Master'!D42*$M$16</f>
        <v>157.62359999999998</v>
      </c>
      <c r="F208" s="48">
        <f t="shared" si="11"/>
        <v>0</v>
      </c>
      <c r="H208" s="20"/>
    </row>
    <row r="209" spans="1:8" x14ac:dyDescent="0.2">
      <c r="A209" s="40"/>
      <c r="B209" s="300" t="s">
        <v>294</v>
      </c>
      <c r="C209" s="40" t="str">
        <f>'Material Rates_Master'!B43</f>
        <v>ea</v>
      </c>
      <c r="D209" s="240"/>
      <c r="E209" s="48">
        <f>'Material Rates_Master'!D43*$M$16</f>
        <v>52.798799999999993</v>
      </c>
      <c r="F209" s="48">
        <f t="shared" si="11"/>
        <v>0</v>
      </c>
      <c r="H209" s="20"/>
    </row>
    <row r="210" spans="1:8" x14ac:dyDescent="0.2">
      <c r="A210" s="40"/>
      <c r="B210" s="300" t="s">
        <v>295</v>
      </c>
      <c r="C210" s="40" t="str">
        <f>'Material Rates_Master'!B44</f>
        <v>ea</v>
      </c>
      <c r="D210" s="240"/>
      <c r="E210" s="48">
        <f>'Material Rates_Master'!D44*$M$16</f>
        <v>253.20239999999995</v>
      </c>
      <c r="F210" s="48">
        <f t="shared" si="11"/>
        <v>0</v>
      </c>
      <c r="H210" s="20"/>
    </row>
    <row r="211" spans="1:8" x14ac:dyDescent="0.2">
      <c r="A211" s="40"/>
      <c r="B211" s="300" t="s">
        <v>296</v>
      </c>
      <c r="C211" s="40" t="str">
        <f>'Material Rates_Master'!B45</f>
        <v>ea</v>
      </c>
      <c r="D211" s="240"/>
      <c r="E211" s="48">
        <f>'Material Rates_Master'!D45*$M$16</f>
        <v>265.55340000000001</v>
      </c>
      <c r="F211" s="48">
        <f t="shared" si="11"/>
        <v>0</v>
      </c>
      <c r="H211" s="20"/>
    </row>
    <row r="212" spans="1:8" x14ac:dyDescent="0.2">
      <c r="A212" s="40"/>
      <c r="B212" s="300" t="s">
        <v>297</v>
      </c>
      <c r="C212" s="40" t="str">
        <f>'Material Rates_Master'!B46</f>
        <v>ea</v>
      </c>
      <c r="D212" s="240"/>
      <c r="E212" s="48">
        <f>'Material Rates_Master'!D46*$M$16</f>
        <v>256.27979999999997</v>
      </c>
      <c r="F212" s="48">
        <f t="shared" si="11"/>
        <v>0</v>
      </c>
      <c r="H212" s="20"/>
    </row>
    <row r="213" spans="1:8" x14ac:dyDescent="0.2">
      <c r="A213" s="40"/>
      <c r="B213" s="300" t="s">
        <v>298</v>
      </c>
      <c r="C213" s="40" t="str">
        <f>'Material Rates_Master'!B47</f>
        <v>ea</v>
      </c>
      <c r="D213" s="240"/>
      <c r="E213" s="48">
        <f>'Material Rates_Master'!D47*$M$16</f>
        <v>77.059200000000004</v>
      </c>
      <c r="F213" s="48">
        <f t="shared" si="11"/>
        <v>0</v>
      </c>
      <c r="H213" s="20"/>
    </row>
    <row r="214" spans="1:8" x14ac:dyDescent="0.2">
      <c r="A214" s="40"/>
      <c r="B214" s="300" t="s">
        <v>299</v>
      </c>
      <c r="C214" s="40" t="str">
        <f>'Material Rates_Master'!B48</f>
        <v>ea</v>
      </c>
      <c r="D214" s="240"/>
      <c r="E214" s="48">
        <f>'Material Rates_Master'!D48*$M$16</f>
        <v>54.965399999999995</v>
      </c>
      <c r="F214" s="48">
        <f t="shared" si="11"/>
        <v>0</v>
      </c>
      <c r="H214" s="20"/>
    </row>
    <row r="215" spans="1:8" ht="6.6" customHeight="1" x14ac:dyDescent="0.2">
      <c r="A215" s="40"/>
      <c r="B215" s="300"/>
      <c r="C215" s="40">
        <f>'Material Rates_Master'!B49</f>
        <v>0</v>
      </c>
      <c r="E215" s="48">
        <f>'Material Rates_Master'!D49</f>
        <v>0</v>
      </c>
      <c r="F215" s="48">
        <f t="shared" si="11"/>
        <v>0</v>
      </c>
    </row>
    <row r="216" spans="1:8" x14ac:dyDescent="0.2">
      <c r="A216" s="40"/>
      <c r="B216" s="300" t="s">
        <v>302</v>
      </c>
      <c r="C216" s="40" t="str">
        <f>'Material Rates_Master'!B50</f>
        <v>ea</v>
      </c>
      <c r="D216" s="240"/>
      <c r="E216" s="48">
        <f>'Material Rates_Master'!D50</f>
        <v>679.41</v>
      </c>
      <c r="F216" s="48">
        <f t="shared" si="11"/>
        <v>0</v>
      </c>
    </row>
    <row r="217" spans="1:8" x14ac:dyDescent="0.2">
      <c r="A217" s="40"/>
      <c r="B217" s="300" t="s">
        <v>303</v>
      </c>
      <c r="C217" s="40" t="str">
        <f>'Material Rates_Master'!B51</f>
        <v>ea</v>
      </c>
      <c r="D217" s="240"/>
      <c r="E217" s="48">
        <f>'Material Rates_Master'!D51</f>
        <v>323.52999999999997</v>
      </c>
      <c r="F217" s="48">
        <f t="shared" si="11"/>
        <v>0</v>
      </c>
    </row>
    <row r="218" spans="1:8" x14ac:dyDescent="0.2">
      <c r="A218" s="40"/>
      <c r="B218" s="300" t="s">
        <v>304</v>
      </c>
      <c r="C218" s="40" t="str">
        <f>'Material Rates_Master'!B52</f>
        <v>ea</v>
      </c>
      <c r="D218" s="240"/>
      <c r="E218" s="48">
        <f>'Material Rates_Master'!D52</f>
        <v>202.94</v>
      </c>
      <c r="F218" s="48">
        <f t="shared" si="11"/>
        <v>0</v>
      </c>
    </row>
    <row r="219" spans="1:8" x14ac:dyDescent="0.2">
      <c r="A219" s="40"/>
      <c r="B219" s="300" t="s">
        <v>305</v>
      </c>
      <c r="C219" s="40" t="str">
        <f>'Material Rates_Master'!B53</f>
        <v>ea</v>
      </c>
      <c r="D219" s="240"/>
      <c r="E219" s="48">
        <f>'Material Rates_Master'!D53</f>
        <v>136.94</v>
      </c>
      <c r="F219" s="48">
        <f t="shared" si="11"/>
        <v>0</v>
      </c>
    </row>
    <row r="220" spans="1:8" x14ac:dyDescent="0.2">
      <c r="A220" s="40"/>
      <c r="B220" s="300" t="s">
        <v>306</v>
      </c>
      <c r="C220" s="40" t="str">
        <f>'Material Rates_Master'!B54</f>
        <v>ea</v>
      </c>
      <c r="D220" s="240"/>
      <c r="E220" s="48">
        <f>'Material Rates_Master'!D54</f>
        <v>123.53</v>
      </c>
      <c r="F220" s="48">
        <f t="shared" si="11"/>
        <v>0</v>
      </c>
    </row>
    <row r="221" spans="1:8" x14ac:dyDescent="0.2">
      <c r="A221" s="40"/>
      <c r="B221" s="300" t="s">
        <v>307</v>
      </c>
      <c r="C221" s="40" t="str">
        <f>'Material Rates_Master'!B55</f>
        <v>ea</v>
      </c>
      <c r="D221" s="240"/>
      <c r="E221" s="48">
        <f>'Material Rates_Master'!D55</f>
        <v>98.82</v>
      </c>
      <c r="F221" s="48">
        <f t="shared" si="11"/>
        <v>0</v>
      </c>
    </row>
    <row r="222" spans="1:8" ht="4.95" customHeight="1" x14ac:dyDescent="0.2">
      <c r="A222" s="40"/>
      <c r="B222" s="300"/>
      <c r="C222" s="40">
        <f>'Material Rates_Master'!B56</f>
        <v>0</v>
      </c>
      <c r="E222" s="48">
        <f>'Material Rates_Master'!D56</f>
        <v>0</v>
      </c>
      <c r="F222" s="48">
        <f t="shared" si="11"/>
        <v>0</v>
      </c>
    </row>
    <row r="223" spans="1:8" x14ac:dyDescent="0.2">
      <c r="A223" s="40"/>
      <c r="B223" s="300" t="s">
        <v>308</v>
      </c>
      <c r="C223" s="40" t="str">
        <f>'Material Rates_Master'!B57</f>
        <v>ea</v>
      </c>
      <c r="D223" s="240"/>
      <c r="E223" s="48">
        <f>'Material Rates_Master'!D57</f>
        <v>291.18</v>
      </c>
      <c r="F223" s="48">
        <f t="shared" si="11"/>
        <v>0</v>
      </c>
    </row>
    <row r="224" spans="1:8" x14ac:dyDescent="0.2">
      <c r="A224" s="40"/>
      <c r="B224" s="300" t="s">
        <v>309</v>
      </c>
      <c r="C224" s="40" t="str">
        <f>'Material Rates_Master'!B58</f>
        <v>ea</v>
      </c>
      <c r="D224" s="240"/>
      <c r="E224" s="48">
        <f>'Material Rates_Master'!D58</f>
        <v>330</v>
      </c>
      <c r="F224" s="48">
        <f t="shared" si="11"/>
        <v>0</v>
      </c>
    </row>
    <row r="225" spans="1:6" x14ac:dyDescent="0.2">
      <c r="A225" s="40"/>
      <c r="B225" s="300" t="s">
        <v>310</v>
      </c>
      <c r="C225" s="40" t="str">
        <f>'Material Rates_Master'!B59</f>
        <v>ea</v>
      </c>
      <c r="D225" s="240"/>
      <c r="E225" s="48">
        <f>'Material Rates_Master'!D59</f>
        <v>156</v>
      </c>
      <c r="F225" s="48">
        <f t="shared" si="11"/>
        <v>0</v>
      </c>
    </row>
    <row r="226" spans="1:6" x14ac:dyDescent="0.2">
      <c r="A226" s="40"/>
      <c r="B226" s="300" t="s">
        <v>311</v>
      </c>
      <c r="C226" s="40" t="str">
        <f>'Material Rates_Master'!B60</f>
        <v>ea</v>
      </c>
      <c r="D226" s="240"/>
      <c r="E226" s="48">
        <f>'Material Rates_Master'!D60</f>
        <v>106.24</v>
      </c>
      <c r="F226" s="48">
        <f t="shared" si="11"/>
        <v>0</v>
      </c>
    </row>
    <row r="227" spans="1:6" x14ac:dyDescent="0.2">
      <c r="A227" s="40"/>
      <c r="B227" s="300" t="s">
        <v>312</v>
      </c>
      <c r="C227" s="40" t="str">
        <f>'Material Rates_Master'!B61</f>
        <v>ea</v>
      </c>
      <c r="D227" s="240"/>
      <c r="E227" s="48">
        <f>'Material Rates_Master'!D61</f>
        <v>70.59</v>
      </c>
      <c r="F227" s="48">
        <f t="shared" si="11"/>
        <v>0</v>
      </c>
    </row>
    <row r="228" spans="1:6" x14ac:dyDescent="0.2">
      <c r="A228" s="40"/>
      <c r="B228" s="300" t="s">
        <v>313</v>
      </c>
      <c r="C228" s="40" t="str">
        <f>'Material Rates_Master'!B62</f>
        <v>ea</v>
      </c>
      <c r="D228" s="240"/>
      <c r="E228" s="48">
        <f>'Material Rates_Master'!D62</f>
        <v>516.35</v>
      </c>
      <c r="F228" s="48">
        <f t="shared" si="11"/>
        <v>0</v>
      </c>
    </row>
    <row r="229" spans="1:6" x14ac:dyDescent="0.2">
      <c r="A229" s="40"/>
      <c r="B229" s="300" t="s">
        <v>314</v>
      </c>
      <c r="C229" s="40" t="str">
        <f>'Material Rates_Master'!B63</f>
        <v>ea</v>
      </c>
      <c r="D229" s="240"/>
      <c r="E229" s="48">
        <f>'Material Rates_Master'!D63</f>
        <v>198.88</v>
      </c>
      <c r="F229" s="48">
        <f t="shared" si="11"/>
        <v>0</v>
      </c>
    </row>
    <row r="230" spans="1:6" x14ac:dyDescent="0.2">
      <c r="A230" s="40"/>
      <c r="B230" s="300" t="s">
        <v>315</v>
      </c>
      <c r="C230" s="40" t="str">
        <f>'Material Rates_Master'!B64</f>
        <v>ea</v>
      </c>
      <c r="D230" s="240"/>
      <c r="E230" s="48">
        <f>'Material Rates_Master'!D64</f>
        <v>108.71</v>
      </c>
      <c r="F230" s="48">
        <f t="shared" si="11"/>
        <v>0</v>
      </c>
    </row>
    <row r="231" spans="1:6" x14ac:dyDescent="0.2">
      <c r="A231" s="40"/>
      <c r="B231" s="300" t="s">
        <v>316</v>
      </c>
      <c r="C231" s="40" t="str">
        <f>'Material Rates_Master'!B65</f>
        <v>ea</v>
      </c>
      <c r="D231" s="240"/>
      <c r="E231" s="48">
        <f>'Material Rates_Master'!D65</f>
        <v>672.65</v>
      </c>
      <c r="F231" s="48">
        <f t="shared" si="11"/>
        <v>0</v>
      </c>
    </row>
    <row r="232" spans="1:6" x14ac:dyDescent="0.2">
      <c r="A232" s="40"/>
      <c r="B232" s="300" t="s">
        <v>317</v>
      </c>
      <c r="C232" s="40" t="str">
        <f>'Material Rates_Master'!B66</f>
        <v>ea</v>
      </c>
      <c r="D232" s="240"/>
      <c r="E232" s="48">
        <f>'Material Rates_Master'!D66</f>
        <v>228.24</v>
      </c>
      <c r="F232" s="48">
        <f t="shared" si="11"/>
        <v>0</v>
      </c>
    </row>
    <row r="233" spans="1:6" x14ac:dyDescent="0.2">
      <c r="A233" s="40"/>
      <c r="B233" s="300" t="s">
        <v>318</v>
      </c>
      <c r="C233" s="40" t="str">
        <f>'Material Rates_Master'!B67</f>
        <v>ea</v>
      </c>
      <c r="D233" s="240"/>
      <c r="E233" s="48">
        <f>'Material Rates_Master'!D67</f>
        <v>128.24</v>
      </c>
      <c r="F233" s="48">
        <f t="shared" si="11"/>
        <v>0</v>
      </c>
    </row>
    <row r="234" spans="1:6" x14ac:dyDescent="0.2">
      <c r="A234" s="40"/>
      <c r="B234" s="300" t="s">
        <v>319</v>
      </c>
      <c r="C234" s="40" t="str">
        <f>'Material Rates_Master'!B68</f>
        <v>ea</v>
      </c>
      <c r="D234" s="240"/>
      <c r="E234" s="48">
        <f>'Material Rates_Master'!D68</f>
        <v>536.76</v>
      </c>
      <c r="F234" s="48">
        <f t="shared" si="11"/>
        <v>0</v>
      </c>
    </row>
    <row r="235" spans="1:6" x14ac:dyDescent="0.2">
      <c r="A235" s="40"/>
      <c r="B235" s="300" t="s">
        <v>320</v>
      </c>
      <c r="C235" s="40" t="str">
        <f>'Material Rates_Master'!B69</f>
        <v>ea</v>
      </c>
      <c r="D235" s="240"/>
      <c r="E235" s="48">
        <f>'Material Rates_Master'!D69</f>
        <v>576.47</v>
      </c>
      <c r="F235" s="48">
        <f t="shared" ref="F235:F298" si="12">E235*D235</f>
        <v>0</v>
      </c>
    </row>
    <row r="236" spans="1:6" x14ac:dyDescent="0.2">
      <c r="A236" s="40"/>
      <c r="B236" s="300" t="s">
        <v>321</v>
      </c>
      <c r="C236" s="40" t="str">
        <f>'Material Rates_Master'!B70</f>
        <v>ea</v>
      </c>
      <c r="D236" s="240"/>
      <c r="E236" s="48">
        <f>'Material Rates_Master'!D70</f>
        <v>198.82</v>
      </c>
      <c r="F236" s="48">
        <f t="shared" si="12"/>
        <v>0</v>
      </c>
    </row>
    <row r="237" spans="1:6" x14ac:dyDescent="0.2">
      <c r="A237" s="40"/>
      <c r="B237" s="300" t="s">
        <v>322</v>
      </c>
      <c r="C237" s="40" t="str">
        <f>'Material Rates_Master'!B71</f>
        <v>ea</v>
      </c>
      <c r="D237" s="240"/>
      <c r="E237" s="48">
        <f>'Material Rates_Master'!D71</f>
        <v>898.82</v>
      </c>
      <c r="F237" s="48">
        <f t="shared" si="12"/>
        <v>0</v>
      </c>
    </row>
    <row r="238" spans="1:6" x14ac:dyDescent="0.2">
      <c r="A238" s="40"/>
      <c r="B238" s="300" t="s">
        <v>323</v>
      </c>
      <c r="C238" s="40" t="str">
        <f>'Material Rates_Master'!B72</f>
        <v>ea</v>
      </c>
      <c r="D238" s="240"/>
      <c r="E238" s="48">
        <f>'Material Rates_Master'!D72</f>
        <v>640</v>
      </c>
      <c r="F238" s="48">
        <f t="shared" si="12"/>
        <v>0</v>
      </c>
    </row>
    <row r="239" spans="1:6" x14ac:dyDescent="0.2">
      <c r="A239" s="40"/>
      <c r="B239" s="300" t="s">
        <v>324</v>
      </c>
      <c r="C239" s="40" t="str">
        <f>'Material Rates_Master'!B73</f>
        <v>ea</v>
      </c>
      <c r="D239" s="240"/>
      <c r="E239" s="48">
        <f>'Material Rates_Master'!D73</f>
        <v>355.29</v>
      </c>
      <c r="F239" s="48">
        <f t="shared" si="12"/>
        <v>0</v>
      </c>
    </row>
    <row r="240" spans="1:6" x14ac:dyDescent="0.2">
      <c r="A240" s="40"/>
      <c r="B240" s="300" t="s">
        <v>325</v>
      </c>
      <c r="C240" s="40" t="str">
        <f>'Material Rates_Master'!B74</f>
        <v>ea</v>
      </c>
      <c r="D240" s="240"/>
      <c r="E240" s="48">
        <f>'Material Rates_Master'!D74</f>
        <v>534.41</v>
      </c>
      <c r="F240" s="48">
        <f t="shared" si="12"/>
        <v>0</v>
      </c>
    </row>
    <row r="241" spans="1:6" x14ac:dyDescent="0.2">
      <c r="A241" s="40"/>
      <c r="B241" s="300" t="s">
        <v>326</v>
      </c>
      <c r="C241" s="40" t="str">
        <f>'Material Rates_Master'!B75</f>
        <v>ea</v>
      </c>
      <c r="D241" s="240"/>
      <c r="E241" s="48">
        <f>'Material Rates_Master'!D75</f>
        <v>280</v>
      </c>
      <c r="F241" s="48">
        <f t="shared" si="12"/>
        <v>0</v>
      </c>
    </row>
    <row r="242" spans="1:6" x14ac:dyDescent="0.2">
      <c r="A242" s="40"/>
      <c r="B242" s="300" t="s">
        <v>327</v>
      </c>
      <c r="C242" s="40" t="str">
        <f>'Material Rates_Master'!B76</f>
        <v>ea</v>
      </c>
      <c r="D242" s="240"/>
      <c r="E242" s="48">
        <f>'Material Rates_Master'!D76</f>
        <v>236.47</v>
      </c>
      <c r="F242" s="48">
        <f t="shared" si="12"/>
        <v>0</v>
      </c>
    </row>
    <row r="243" spans="1:6" x14ac:dyDescent="0.2">
      <c r="A243" s="40"/>
      <c r="B243" s="300" t="s">
        <v>328</v>
      </c>
      <c r="C243" s="40" t="str">
        <f>'Material Rates_Master'!B77</f>
        <v>ea</v>
      </c>
      <c r="D243" s="240"/>
      <c r="E243" s="48">
        <f>'Material Rates_Master'!D77</f>
        <v>178.8</v>
      </c>
      <c r="F243" s="48">
        <f t="shared" si="12"/>
        <v>0</v>
      </c>
    </row>
    <row r="244" spans="1:6" x14ac:dyDescent="0.2">
      <c r="A244" s="40"/>
      <c r="B244" s="300" t="s">
        <v>329</v>
      </c>
      <c r="C244" s="40" t="str">
        <f>'Material Rates_Master'!B78</f>
        <v>ea</v>
      </c>
      <c r="D244" s="240"/>
      <c r="E244" s="48">
        <f>'Material Rates_Master'!D78</f>
        <v>362.35</v>
      </c>
      <c r="F244" s="48">
        <f t="shared" si="12"/>
        <v>0</v>
      </c>
    </row>
    <row r="245" spans="1:6" x14ac:dyDescent="0.2">
      <c r="A245" s="40"/>
      <c r="B245" s="300" t="s">
        <v>330</v>
      </c>
      <c r="C245" s="40" t="str">
        <f>'Material Rates_Master'!B79</f>
        <v>ea</v>
      </c>
      <c r="D245" s="240"/>
      <c r="E245" s="48">
        <f>'Material Rates_Master'!D79</f>
        <v>144.71</v>
      </c>
      <c r="F245" s="48">
        <f t="shared" si="12"/>
        <v>0</v>
      </c>
    </row>
    <row r="246" spans="1:6" x14ac:dyDescent="0.2">
      <c r="A246" s="40"/>
      <c r="B246" s="300" t="s">
        <v>331</v>
      </c>
      <c r="C246" s="40" t="str">
        <f>'Material Rates_Master'!B80</f>
        <v>ea</v>
      </c>
      <c r="D246" s="240"/>
      <c r="E246" s="48">
        <f>'Material Rates_Master'!D80</f>
        <v>135.88</v>
      </c>
      <c r="F246" s="48">
        <f t="shared" si="12"/>
        <v>0</v>
      </c>
    </row>
    <row r="247" spans="1:6" x14ac:dyDescent="0.2">
      <c r="A247" s="40"/>
      <c r="B247" s="300" t="s">
        <v>332</v>
      </c>
      <c r="C247" s="40" t="str">
        <f>'Material Rates_Master'!B81</f>
        <v>ea</v>
      </c>
      <c r="D247" s="240"/>
      <c r="E247" s="48">
        <f>'Material Rates_Master'!D81</f>
        <v>76.47</v>
      </c>
      <c r="F247" s="48">
        <f t="shared" si="12"/>
        <v>0</v>
      </c>
    </row>
    <row r="248" spans="1:6" x14ac:dyDescent="0.2">
      <c r="A248" s="40"/>
      <c r="B248" s="300" t="s">
        <v>333</v>
      </c>
      <c r="C248" s="40" t="str">
        <f>'Material Rates_Master'!B82</f>
        <v>ea</v>
      </c>
      <c r="D248" s="240"/>
      <c r="E248" s="48">
        <f>'Material Rates_Master'!D82</f>
        <v>67.650000000000006</v>
      </c>
      <c r="F248" s="48">
        <f t="shared" si="12"/>
        <v>0</v>
      </c>
    </row>
    <row r="249" spans="1:6" x14ac:dyDescent="0.2">
      <c r="A249" s="40"/>
      <c r="B249" s="300" t="s">
        <v>334</v>
      </c>
      <c r="C249" s="40" t="str">
        <f>'Material Rates_Master'!B83</f>
        <v>ea</v>
      </c>
      <c r="D249" s="240"/>
      <c r="E249" s="48">
        <f>'Material Rates_Master'!D83</f>
        <v>43.53</v>
      </c>
      <c r="F249" s="48">
        <f t="shared" si="12"/>
        <v>0</v>
      </c>
    </row>
    <row r="250" spans="1:6" ht="6.6" customHeight="1" x14ac:dyDescent="0.2">
      <c r="A250" s="40"/>
      <c r="B250" s="300"/>
      <c r="C250" s="40">
        <f>'Material Rates_Master'!B84</f>
        <v>0</v>
      </c>
      <c r="E250" s="48">
        <f>'Material Rates_Master'!D84</f>
        <v>0</v>
      </c>
      <c r="F250" s="48">
        <f t="shared" si="12"/>
        <v>0</v>
      </c>
    </row>
    <row r="251" spans="1:6" x14ac:dyDescent="0.2">
      <c r="A251" s="40"/>
      <c r="B251" s="300" t="s">
        <v>335</v>
      </c>
      <c r="C251" s="40" t="str">
        <f>'Material Rates_Master'!B85</f>
        <v>ea</v>
      </c>
      <c r="D251" s="240"/>
      <c r="E251" s="48">
        <f>'Material Rates_Master'!D85</f>
        <v>67.06</v>
      </c>
      <c r="F251" s="48">
        <f t="shared" si="12"/>
        <v>0</v>
      </c>
    </row>
    <row r="252" spans="1:6" x14ac:dyDescent="0.2">
      <c r="A252" s="40"/>
      <c r="B252" s="300" t="s">
        <v>336</v>
      </c>
      <c r="C252" s="40" t="str">
        <f>'Material Rates_Master'!B86</f>
        <v>ea</v>
      </c>
      <c r="D252" s="240"/>
      <c r="E252" s="48">
        <f>'Material Rates_Master'!D86</f>
        <v>46.71</v>
      </c>
      <c r="F252" s="48">
        <f t="shared" si="12"/>
        <v>0</v>
      </c>
    </row>
    <row r="253" spans="1:6" x14ac:dyDescent="0.2">
      <c r="A253" s="40"/>
      <c r="B253" s="300" t="s">
        <v>337</v>
      </c>
      <c r="C253" s="40" t="str">
        <f>'Material Rates_Master'!B87</f>
        <v>ea</v>
      </c>
      <c r="D253" s="240"/>
      <c r="E253" s="48">
        <f>'Material Rates_Master'!D87</f>
        <v>60</v>
      </c>
      <c r="F253" s="48">
        <f t="shared" si="12"/>
        <v>0</v>
      </c>
    </row>
    <row r="254" spans="1:6" x14ac:dyDescent="0.2">
      <c r="A254" s="40"/>
      <c r="B254" s="300" t="s">
        <v>338</v>
      </c>
      <c r="C254" s="40" t="str">
        <f>'Material Rates_Master'!B88</f>
        <v>ea</v>
      </c>
      <c r="D254" s="240"/>
      <c r="E254" s="48">
        <f>'Material Rates_Master'!D88</f>
        <v>42.35</v>
      </c>
      <c r="F254" s="48">
        <f t="shared" si="12"/>
        <v>0</v>
      </c>
    </row>
    <row r="255" spans="1:6" x14ac:dyDescent="0.2">
      <c r="A255" s="40"/>
      <c r="B255" s="300" t="s">
        <v>339</v>
      </c>
      <c r="C255" s="40" t="str">
        <f>'Material Rates_Master'!B89</f>
        <v>ea</v>
      </c>
      <c r="D255" s="240"/>
      <c r="E255" s="48">
        <f>'Material Rates_Master'!D89</f>
        <v>24.71</v>
      </c>
      <c r="F255" s="48">
        <f t="shared" si="12"/>
        <v>0</v>
      </c>
    </row>
    <row r="256" spans="1:6" x14ac:dyDescent="0.2">
      <c r="A256" s="40"/>
      <c r="B256" s="300" t="s">
        <v>340</v>
      </c>
      <c r="C256" s="40" t="str">
        <f>'Material Rates_Master'!B90</f>
        <v>ea</v>
      </c>
      <c r="D256" s="240"/>
      <c r="E256" s="48">
        <f>'Material Rates_Master'!D90</f>
        <v>20</v>
      </c>
      <c r="F256" s="48">
        <f t="shared" si="12"/>
        <v>0</v>
      </c>
    </row>
    <row r="257" spans="1:6" ht="6.6" customHeight="1" x14ac:dyDescent="0.2">
      <c r="A257" s="40"/>
      <c r="B257" s="300"/>
      <c r="C257" s="40">
        <f>'Material Rates_Master'!B91</f>
        <v>0</v>
      </c>
      <c r="E257" s="48">
        <f>'Material Rates_Master'!D91</f>
        <v>0</v>
      </c>
      <c r="F257" s="48">
        <f t="shared" si="12"/>
        <v>0</v>
      </c>
    </row>
    <row r="258" spans="1:6" x14ac:dyDescent="0.2">
      <c r="A258" s="40"/>
      <c r="B258" s="300" t="s">
        <v>341</v>
      </c>
      <c r="C258" s="40" t="str">
        <f>'Material Rates_Master'!B92</f>
        <v>ea</v>
      </c>
      <c r="D258" s="240"/>
      <c r="E258" s="48">
        <f>'Material Rates_Master'!D92</f>
        <v>108.71</v>
      </c>
      <c r="F258" s="48">
        <f t="shared" si="12"/>
        <v>0</v>
      </c>
    </row>
    <row r="259" spans="1:6" x14ac:dyDescent="0.2">
      <c r="A259" s="40"/>
      <c r="B259" s="300" t="s">
        <v>342</v>
      </c>
      <c r="C259" s="40" t="str">
        <f>'Material Rates_Master'!B93</f>
        <v>ea</v>
      </c>
      <c r="D259" s="240"/>
      <c r="E259" s="48">
        <f>'Material Rates_Master'!D93</f>
        <v>87.06</v>
      </c>
      <c r="F259" s="48">
        <f t="shared" si="12"/>
        <v>0</v>
      </c>
    </row>
    <row r="260" spans="1:6" x14ac:dyDescent="0.2">
      <c r="A260" s="40"/>
      <c r="B260" s="300" t="s">
        <v>343</v>
      </c>
      <c r="C260" s="40" t="str">
        <f>'Material Rates_Master'!B94</f>
        <v>ea</v>
      </c>
      <c r="D260" s="240"/>
      <c r="E260" s="48">
        <f>'Material Rates_Master'!D94</f>
        <v>305.88</v>
      </c>
      <c r="F260" s="48">
        <f t="shared" si="12"/>
        <v>0</v>
      </c>
    </row>
    <row r="261" spans="1:6" x14ac:dyDescent="0.2">
      <c r="A261" s="40"/>
      <c r="B261" s="300" t="s">
        <v>344</v>
      </c>
      <c r="C261" s="40" t="str">
        <f>'Material Rates_Master'!B95</f>
        <v>ea</v>
      </c>
      <c r="D261" s="240"/>
      <c r="E261" s="48">
        <f>'Material Rates_Master'!D95</f>
        <v>182.35</v>
      </c>
      <c r="F261" s="48">
        <f t="shared" si="12"/>
        <v>0</v>
      </c>
    </row>
    <row r="262" spans="1:6" x14ac:dyDescent="0.2">
      <c r="A262" s="40"/>
      <c r="B262" s="300" t="s">
        <v>345</v>
      </c>
      <c r="C262" s="40" t="str">
        <f>'Material Rates_Master'!B96</f>
        <v>ea</v>
      </c>
      <c r="D262" s="240"/>
      <c r="E262" s="48">
        <f>'Material Rates_Master'!D96</f>
        <v>229.41</v>
      </c>
      <c r="F262" s="48">
        <f t="shared" si="12"/>
        <v>0</v>
      </c>
    </row>
    <row r="263" spans="1:6" x14ac:dyDescent="0.2">
      <c r="A263" s="40"/>
      <c r="B263" s="300" t="s">
        <v>346</v>
      </c>
      <c r="C263" s="40" t="str">
        <f>'Material Rates_Master'!B97</f>
        <v>ea</v>
      </c>
      <c r="D263" s="240"/>
      <c r="E263" s="48">
        <f>'Material Rates_Master'!D97</f>
        <v>152.94</v>
      </c>
      <c r="F263" s="48">
        <f t="shared" si="12"/>
        <v>0</v>
      </c>
    </row>
    <row r="264" spans="1:6" x14ac:dyDescent="0.2">
      <c r="A264" s="40"/>
      <c r="B264" s="300" t="s">
        <v>347</v>
      </c>
      <c r="C264" s="40" t="str">
        <f>'Material Rates_Master'!B98</f>
        <v>ea</v>
      </c>
      <c r="D264" s="240"/>
      <c r="E264" s="48">
        <f>'Material Rates_Master'!D98</f>
        <v>690</v>
      </c>
      <c r="F264" s="48">
        <f t="shared" si="12"/>
        <v>0</v>
      </c>
    </row>
    <row r="265" spans="1:6" x14ac:dyDescent="0.2">
      <c r="A265" s="40"/>
      <c r="B265" s="300" t="s">
        <v>348</v>
      </c>
      <c r="C265" s="40" t="str">
        <f>'Material Rates_Master'!B99</f>
        <v>ea</v>
      </c>
      <c r="D265" s="240"/>
      <c r="E265" s="48">
        <f>'Material Rates_Master'!D99</f>
        <v>408.47</v>
      </c>
      <c r="F265" s="48">
        <f t="shared" si="12"/>
        <v>0</v>
      </c>
    </row>
    <row r="266" spans="1:6" ht="6.6" customHeight="1" x14ac:dyDescent="0.2">
      <c r="A266" s="40"/>
      <c r="B266" s="300"/>
      <c r="C266" s="40">
        <f>'Material Rates_Master'!B100</f>
        <v>0</v>
      </c>
      <c r="E266" s="48">
        <f>'Material Rates_Master'!D100</f>
        <v>0</v>
      </c>
      <c r="F266" s="48">
        <f t="shared" si="12"/>
        <v>0</v>
      </c>
    </row>
    <row r="267" spans="1:6" x14ac:dyDescent="0.2">
      <c r="A267" s="40"/>
      <c r="B267" s="300" t="s">
        <v>349</v>
      </c>
      <c r="C267" s="40" t="str">
        <f>'Material Rates_Master'!B101</f>
        <v>ea</v>
      </c>
      <c r="D267" s="240"/>
      <c r="E267" s="48">
        <f>'Material Rates_Master'!D101</f>
        <v>90</v>
      </c>
      <c r="F267" s="48">
        <f t="shared" si="12"/>
        <v>0</v>
      </c>
    </row>
    <row r="268" spans="1:6" x14ac:dyDescent="0.2">
      <c r="A268" s="40"/>
      <c r="B268" s="300" t="s">
        <v>350</v>
      </c>
      <c r="C268" s="40" t="str">
        <f>'Material Rates_Master'!B102</f>
        <v>ea</v>
      </c>
      <c r="D268" s="240"/>
      <c r="E268" s="48">
        <f>'Material Rates_Master'!D102</f>
        <v>13.5</v>
      </c>
      <c r="F268" s="48">
        <f t="shared" si="12"/>
        <v>0</v>
      </c>
    </row>
    <row r="269" spans="1:6" x14ac:dyDescent="0.2">
      <c r="A269" s="40"/>
      <c r="B269" s="300" t="s">
        <v>351</v>
      </c>
      <c r="C269" s="40" t="str">
        <f>'Material Rates_Master'!B103</f>
        <v>ea</v>
      </c>
      <c r="D269" s="240"/>
      <c r="E269" s="48">
        <f>'Material Rates_Master'!D103</f>
        <v>27.14</v>
      </c>
      <c r="F269" s="48">
        <f t="shared" si="12"/>
        <v>0</v>
      </c>
    </row>
    <row r="270" spans="1:6" x14ac:dyDescent="0.2">
      <c r="A270" s="40"/>
      <c r="B270" s="300" t="s">
        <v>352</v>
      </c>
      <c r="C270" s="40" t="str">
        <f>'Material Rates_Master'!B104</f>
        <v>ea</v>
      </c>
      <c r="D270" s="240"/>
      <c r="E270" s="48">
        <f>'Material Rates_Master'!D104</f>
        <v>27.14</v>
      </c>
      <c r="F270" s="48">
        <f t="shared" si="12"/>
        <v>0</v>
      </c>
    </row>
    <row r="271" spans="1:6" x14ac:dyDescent="0.2">
      <c r="A271" s="40"/>
      <c r="B271" s="300"/>
      <c r="E271" s="48"/>
      <c r="F271" s="48">
        <f t="shared" si="12"/>
        <v>0</v>
      </c>
    </row>
    <row r="272" spans="1:6" x14ac:dyDescent="0.2">
      <c r="A272" s="40"/>
      <c r="B272" s="332" t="s">
        <v>353</v>
      </c>
      <c r="E272" s="48"/>
      <c r="F272" s="48">
        <f t="shared" si="12"/>
        <v>0</v>
      </c>
    </row>
    <row r="273" spans="1:6" x14ac:dyDescent="0.2">
      <c r="A273" s="40"/>
      <c r="B273" s="301" t="s">
        <v>354</v>
      </c>
      <c r="C273" s="40" t="str">
        <f>'Material Rates_Master'!B107</f>
        <v>Unit</v>
      </c>
      <c r="E273" s="48"/>
      <c r="F273" s="48"/>
    </row>
    <row r="274" spans="1:6" x14ac:dyDescent="0.2">
      <c r="A274" s="40"/>
      <c r="B274" s="300" t="s">
        <v>355</v>
      </c>
      <c r="C274" s="40" t="str">
        <f>'Material Rates_Master'!B108</f>
        <v>m</v>
      </c>
      <c r="D274" s="37"/>
      <c r="E274" s="48">
        <f>'Material Rates_Master'!D108</f>
        <v>43.846153846153847</v>
      </c>
      <c r="F274" s="48">
        <f t="shared" si="12"/>
        <v>0</v>
      </c>
    </row>
    <row r="275" spans="1:6" x14ac:dyDescent="0.2">
      <c r="A275" s="40"/>
      <c r="B275" s="300" t="s">
        <v>356</v>
      </c>
      <c r="C275" s="40" t="str">
        <f>'Material Rates_Master'!B109</f>
        <v>m</v>
      </c>
      <c r="D275" s="37">
        <v>24</v>
      </c>
      <c r="E275" s="48">
        <f>'Material Rates_Master'!D109</f>
        <v>28.46153846153846</v>
      </c>
      <c r="F275" s="48">
        <f t="shared" si="12"/>
        <v>683.07692307692309</v>
      </c>
    </row>
    <row r="276" spans="1:6" x14ac:dyDescent="0.2">
      <c r="A276" s="40"/>
      <c r="B276" s="300" t="s">
        <v>357</v>
      </c>
      <c r="C276" s="40" t="str">
        <f>'Material Rates_Master'!B110</f>
        <v>m</v>
      </c>
      <c r="D276" s="37"/>
      <c r="E276" s="48">
        <f>'Material Rates_Master'!D110</f>
        <v>106.24166666666667</v>
      </c>
      <c r="F276" s="48">
        <f t="shared" si="12"/>
        <v>0</v>
      </c>
    </row>
    <row r="277" spans="1:6" x14ac:dyDescent="0.2">
      <c r="A277" s="40"/>
      <c r="B277" s="300" t="s">
        <v>358</v>
      </c>
      <c r="C277" s="40" t="str">
        <f>'Material Rates_Master'!B111</f>
        <v>m</v>
      </c>
      <c r="D277" s="37"/>
      <c r="E277" s="48">
        <f>'Material Rates_Master'!D111</f>
        <v>59.82</v>
      </c>
      <c r="F277" s="48">
        <f t="shared" si="12"/>
        <v>0</v>
      </c>
    </row>
    <row r="278" spans="1:6" ht="8.25" customHeight="1" x14ac:dyDescent="0.2">
      <c r="A278" s="40"/>
      <c r="B278" s="300"/>
      <c r="C278" s="40">
        <f>'Material Rates_Master'!B112</f>
        <v>0</v>
      </c>
      <c r="D278" s="37"/>
      <c r="E278" s="48">
        <f>'Material Rates_Master'!D112</f>
        <v>0</v>
      </c>
      <c r="F278" s="48">
        <f t="shared" si="12"/>
        <v>0</v>
      </c>
    </row>
    <row r="279" spans="1:6" x14ac:dyDescent="0.2">
      <c r="A279" s="40"/>
      <c r="B279" s="300" t="s">
        <v>359</v>
      </c>
      <c r="C279" s="40" t="str">
        <f>'Material Rates_Master'!B113</f>
        <v>ea</v>
      </c>
      <c r="D279" s="37"/>
      <c r="E279" s="48">
        <f>'Material Rates_Master'!D113</f>
        <v>12.83</v>
      </c>
      <c r="F279" s="48">
        <f t="shared" si="12"/>
        <v>0</v>
      </c>
    </row>
    <row r="280" spans="1:6" x14ac:dyDescent="0.2">
      <c r="A280" s="40"/>
      <c r="B280" s="300" t="s">
        <v>360</v>
      </c>
      <c r="C280" s="40" t="str">
        <f>'Material Rates_Master'!B114</f>
        <v>ea</v>
      </c>
      <c r="D280" s="37"/>
      <c r="E280" s="48">
        <f>'Material Rates_Master'!D114</f>
        <v>7.55</v>
      </c>
      <c r="F280" s="48">
        <f t="shared" si="12"/>
        <v>0</v>
      </c>
    </row>
    <row r="281" spans="1:6" x14ac:dyDescent="0.2">
      <c r="A281" s="40"/>
      <c r="B281" s="300" t="s">
        <v>361</v>
      </c>
      <c r="C281" s="40" t="str">
        <f>'Material Rates_Master'!B115</f>
        <v>ea</v>
      </c>
      <c r="D281" s="37"/>
      <c r="E281" s="48">
        <f>'Material Rates_Master'!D115</f>
        <v>35.5</v>
      </c>
      <c r="F281" s="48">
        <f t="shared" si="12"/>
        <v>0</v>
      </c>
    </row>
    <row r="282" spans="1:6" x14ac:dyDescent="0.2">
      <c r="A282" s="40"/>
      <c r="B282" s="300" t="s">
        <v>362</v>
      </c>
      <c r="C282" s="40" t="str">
        <f>'Material Rates_Master'!B116</f>
        <v>ea</v>
      </c>
      <c r="D282" s="37"/>
      <c r="E282" s="48">
        <f>'Material Rates_Master'!D116</f>
        <v>16.93</v>
      </c>
      <c r="F282" s="48">
        <f t="shared" si="12"/>
        <v>0</v>
      </c>
    </row>
    <row r="283" spans="1:6" x14ac:dyDescent="0.2">
      <c r="A283" s="40"/>
      <c r="B283" s="300" t="s">
        <v>363</v>
      </c>
      <c r="C283" s="40" t="str">
        <f>'Material Rates_Master'!B117</f>
        <v>ea</v>
      </c>
      <c r="D283" s="37"/>
      <c r="E283" s="48">
        <f>'Material Rates_Master'!D117</f>
        <v>22.85</v>
      </c>
      <c r="F283" s="48">
        <f t="shared" si="12"/>
        <v>0</v>
      </c>
    </row>
    <row r="284" spans="1:6" x14ac:dyDescent="0.2">
      <c r="A284" s="40"/>
      <c r="B284" s="300" t="s">
        <v>364</v>
      </c>
      <c r="C284" s="40" t="str">
        <f>'Material Rates_Master'!B118</f>
        <v>ea</v>
      </c>
      <c r="D284" s="37">
        <v>9</v>
      </c>
      <c r="E284" s="48">
        <f>'Material Rates_Master'!D118</f>
        <v>10.62</v>
      </c>
      <c r="F284" s="48">
        <f t="shared" si="12"/>
        <v>95.58</v>
      </c>
    </row>
    <row r="285" spans="1:6" x14ac:dyDescent="0.2">
      <c r="A285" s="40"/>
      <c r="B285" s="300" t="s">
        <v>365</v>
      </c>
      <c r="C285" s="40" t="str">
        <f>'Material Rates_Master'!B119</f>
        <v>ea</v>
      </c>
      <c r="D285" s="37"/>
      <c r="E285" s="48">
        <f>'Material Rates_Master'!D119</f>
        <v>23.5</v>
      </c>
      <c r="F285" s="48">
        <f t="shared" si="12"/>
        <v>0</v>
      </c>
    </row>
    <row r="286" spans="1:6" x14ac:dyDescent="0.2">
      <c r="A286" s="40"/>
      <c r="B286" s="300" t="s">
        <v>366</v>
      </c>
      <c r="C286" s="40" t="str">
        <f>'Material Rates_Master'!B120</f>
        <v>ea</v>
      </c>
      <c r="D286" s="37"/>
      <c r="E286" s="48">
        <f>'Material Rates_Master'!D120</f>
        <v>11.4</v>
      </c>
      <c r="F286" s="48">
        <f t="shared" si="12"/>
        <v>0</v>
      </c>
    </row>
    <row r="287" spans="1:6" x14ac:dyDescent="0.2">
      <c r="A287" s="40"/>
      <c r="B287" s="300" t="s">
        <v>367</v>
      </c>
      <c r="C287" s="40" t="str">
        <f>'Material Rates_Master'!B121</f>
        <v>ea</v>
      </c>
      <c r="D287" s="37"/>
      <c r="E287" s="48">
        <f>'Material Rates_Master'!D121</f>
        <v>30.75</v>
      </c>
      <c r="F287" s="48">
        <f t="shared" si="12"/>
        <v>0</v>
      </c>
    </row>
    <row r="288" spans="1:6" x14ac:dyDescent="0.2">
      <c r="A288" s="40"/>
      <c r="B288" s="300" t="s">
        <v>368</v>
      </c>
      <c r="C288" s="40" t="str">
        <f>'Material Rates_Master'!B122</f>
        <v>ea</v>
      </c>
      <c r="D288" s="37"/>
      <c r="E288" s="48">
        <f>'Material Rates_Master'!D122</f>
        <v>23.21</v>
      </c>
      <c r="F288" s="48">
        <f t="shared" si="12"/>
        <v>0</v>
      </c>
    </row>
    <row r="289" spans="1:6" x14ac:dyDescent="0.2">
      <c r="A289" s="40"/>
      <c r="B289" s="300" t="s">
        <v>369</v>
      </c>
      <c r="C289" s="40" t="str">
        <f>'Material Rates_Master'!B123</f>
        <v>ea</v>
      </c>
      <c r="D289" s="37"/>
      <c r="E289" s="48">
        <f>'Material Rates_Master'!D123</f>
        <v>217.8</v>
      </c>
      <c r="F289" s="48">
        <f t="shared" si="12"/>
        <v>0</v>
      </c>
    </row>
    <row r="290" spans="1:6" x14ac:dyDescent="0.2">
      <c r="A290" s="40"/>
      <c r="B290" s="300" t="s">
        <v>370</v>
      </c>
      <c r="C290" s="40" t="str">
        <f>'Material Rates_Master'!B124</f>
        <v>ea</v>
      </c>
      <c r="D290" s="37"/>
      <c r="E290" s="48">
        <f>'Material Rates_Master'!D124</f>
        <v>169.4</v>
      </c>
      <c r="F290" s="48">
        <f t="shared" si="12"/>
        <v>0</v>
      </c>
    </row>
    <row r="291" spans="1:6" ht="5.4" customHeight="1" x14ac:dyDescent="0.2">
      <c r="A291" s="40"/>
      <c r="B291" s="300"/>
      <c r="C291" s="40">
        <f>'Material Rates_Master'!B125</f>
        <v>0</v>
      </c>
      <c r="D291" s="37"/>
      <c r="E291" s="48">
        <f>'Material Rates_Master'!D125</f>
        <v>0</v>
      </c>
      <c r="F291" s="48">
        <f t="shared" si="12"/>
        <v>0</v>
      </c>
    </row>
    <row r="292" spans="1:6" x14ac:dyDescent="0.2">
      <c r="A292" s="40"/>
      <c r="B292" s="300" t="s">
        <v>371</v>
      </c>
      <c r="C292" s="40" t="str">
        <f>'Material Rates_Master'!B126</f>
        <v>ea</v>
      </c>
      <c r="D292" s="37"/>
      <c r="E292" s="48">
        <f>'Material Rates_Master'!D126</f>
        <v>2350</v>
      </c>
      <c r="F292" s="48">
        <f t="shared" si="12"/>
        <v>0</v>
      </c>
    </row>
    <row r="293" spans="1:6" x14ac:dyDescent="0.2">
      <c r="A293" s="40"/>
      <c r="B293" s="300" t="s">
        <v>372</v>
      </c>
      <c r="C293" s="40" t="str">
        <f>'Material Rates_Master'!B127</f>
        <v>ea</v>
      </c>
      <c r="D293" s="37"/>
      <c r="E293" s="48">
        <f>'Material Rates_Master'!D127</f>
        <v>1155</v>
      </c>
      <c r="F293" s="48">
        <f t="shared" si="12"/>
        <v>0</v>
      </c>
    </row>
    <row r="294" spans="1:6" ht="6.6" customHeight="1" x14ac:dyDescent="0.2">
      <c r="A294" s="40"/>
      <c r="B294" s="300"/>
      <c r="C294" s="40">
        <f>'Material Rates_Master'!B128</f>
        <v>0</v>
      </c>
      <c r="D294" s="37"/>
      <c r="E294" s="48">
        <f>'Material Rates_Master'!D128</f>
        <v>0</v>
      </c>
      <c r="F294" s="48">
        <f t="shared" si="12"/>
        <v>0</v>
      </c>
    </row>
    <row r="295" spans="1:6" x14ac:dyDescent="0.2">
      <c r="A295" s="40"/>
      <c r="B295" s="300" t="s">
        <v>373</v>
      </c>
      <c r="C295" s="40" t="str">
        <f>'Material Rates_Master'!B129</f>
        <v>ea</v>
      </c>
      <c r="D295" s="240"/>
      <c r="E295" s="48">
        <f>'Material Rates_Master'!D129</f>
        <v>365</v>
      </c>
      <c r="F295" s="48">
        <f t="shared" si="12"/>
        <v>0</v>
      </c>
    </row>
    <row r="296" spans="1:6" x14ac:dyDescent="0.2">
      <c r="A296" s="40"/>
      <c r="B296" s="300" t="s">
        <v>374</v>
      </c>
      <c r="C296" s="40" t="str">
        <f>'Material Rates_Master'!B130</f>
        <v>ea</v>
      </c>
      <c r="D296" s="240"/>
      <c r="E296" s="48">
        <f>'Material Rates_Master'!D130</f>
        <v>365</v>
      </c>
      <c r="F296" s="48">
        <f t="shared" si="12"/>
        <v>0</v>
      </c>
    </row>
    <row r="297" spans="1:6" x14ac:dyDescent="0.2">
      <c r="A297" s="40"/>
      <c r="B297" s="300" t="s">
        <v>375</v>
      </c>
      <c r="C297" s="40" t="str">
        <f>'Material Rates_Master'!B131</f>
        <v>ea</v>
      </c>
      <c r="D297" s="240"/>
      <c r="E297" s="48">
        <f>'Material Rates_Master'!D131</f>
        <v>90</v>
      </c>
      <c r="F297" s="48">
        <f t="shared" si="12"/>
        <v>0</v>
      </c>
    </row>
    <row r="298" spans="1:6" x14ac:dyDescent="0.2">
      <c r="A298" s="40"/>
      <c r="B298" s="300" t="s">
        <v>376</v>
      </c>
      <c r="C298" s="40" t="str">
        <f>'Material Rates_Master'!B132</f>
        <v>ea</v>
      </c>
      <c r="D298" s="240"/>
      <c r="E298" s="48">
        <f>'Material Rates_Master'!D132</f>
        <v>5</v>
      </c>
      <c r="F298" s="48">
        <f t="shared" si="12"/>
        <v>0</v>
      </c>
    </row>
    <row r="299" spans="1:6" x14ac:dyDescent="0.2">
      <c r="A299" s="40"/>
      <c r="B299" s="300" t="s">
        <v>377</v>
      </c>
      <c r="C299" s="40" t="str">
        <f>'Material Rates_Master'!B133</f>
        <v>ea</v>
      </c>
      <c r="D299" s="240"/>
      <c r="E299" s="48">
        <f>'Material Rates_Master'!D133</f>
        <v>125</v>
      </c>
      <c r="F299" s="48">
        <f t="shared" ref="F299:F341" si="13">E299*D299</f>
        <v>0</v>
      </c>
    </row>
    <row r="300" spans="1:6" x14ac:dyDescent="0.2">
      <c r="A300" s="40"/>
      <c r="B300" s="300" t="s">
        <v>378</v>
      </c>
      <c r="C300" s="40" t="str">
        <f>'Material Rates_Master'!B134</f>
        <v>ea</v>
      </c>
      <c r="D300" s="240"/>
      <c r="E300" s="48">
        <f>'Material Rates_Master'!D134</f>
        <v>39</v>
      </c>
      <c r="F300" s="48">
        <f t="shared" si="13"/>
        <v>0</v>
      </c>
    </row>
    <row r="301" spans="1:6" ht="6.6" customHeight="1" x14ac:dyDescent="0.2">
      <c r="A301" s="40"/>
      <c r="B301" s="300"/>
      <c r="C301" s="40">
        <f>'Material Rates_Master'!B135</f>
        <v>0</v>
      </c>
      <c r="D301" s="37"/>
      <c r="E301" s="48">
        <f>'Material Rates_Master'!D135</f>
        <v>0</v>
      </c>
      <c r="F301" s="48">
        <f t="shared" si="13"/>
        <v>0</v>
      </c>
    </row>
    <row r="302" spans="1:6" x14ac:dyDescent="0.2">
      <c r="A302" s="40"/>
      <c r="B302" s="300" t="s">
        <v>379</v>
      </c>
      <c r="C302" s="40" t="str">
        <f>'Material Rates_Master'!B136</f>
        <v>ea</v>
      </c>
      <c r="D302" s="37"/>
      <c r="E302" s="48">
        <f>'Material Rates_Master'!D136</f>
        <v>3100.7</v>
      </c>
      <c r="F302" s="48">
        <f t="shared" si="13"/>
        <v>0</v>
      </c>
    </row>
    <row r="303" spans="1:6" x14ac:dyDescent="0.2">
      <c r="A303" s="40"/>
      <c r="B303" s="300" t="s">
        <v>380</v>
      </c>
      <c r="C303" s="40" t="str">
        <f>'Material Rates_Master'!B137</f>
        <v>ea</v>
      </c>
      <c r="D303" s="37"/>
      <c r="E303" s="48">
        <f>'Material Rates_Master'!D137</f>
        <v>4237.09</v>
      </c>
      <c r="F303" s="48">
        <f t="shared" si="13"/>
        <v>0</v>
      </c>
    </row>
    <row r="304" spans="1:6" ht="7.2" customHeight="1" x14ac:dyDescent="0.2">
      <c r="A304" s="40"/>
      <c r="B304" s="300"/>
      <c r="C304" s="40">
        <f>'Material Rates_Master'!B138</f>
        <v>0</v>
      </c>
      <c r="D304" s="37"/>
      <c r="E304" s="48">
        <f>'Material Rates_Master'!D138</f>
        <v>0</v>
      </c>
      <c r="F304" s="48">
        <f t="shared" si="13"/>
        <v>0</v>
      </c>
    </row>
    <row r="305" spans="1:6" x14ac:dyDescent="0.2">
      <c r="A305" s="40"/>
      <c r="B305" s="300" t="s">
        <v>381</v>
      </c>
      <c r="C305" s="40" t="str">
        <f>'Material Rates_Master'!B139</f>
        <v>ea</v>
      </c>
      <c r="D305" s="37"/>
      <c r="E305" s="48">
        <f>'Material Rates_Master'!D139</f>
        <v>114.44</v>
      </c>
      <c r="F305" s="48">
        <f t="shared" si="13"/>
        <v>0</v>
      </c>
    </row>
    <row r="306" spans="1:6" x14ac:dyDescent="0.2">
      <c r="A306" s="40"/>
      <c r="B306" s="300" t="s">
        <v>382</v>
      </c>
      <c r="C306" s="40" t="str">
        <f>'Material Rates_Master'!B140</f>
        <v>ea</v>
      </c>
      <c r="D306" s="37"/>
      <c r="E306" s="48">
        <f>'Material Rates_Master'!D140</f>
        <v>219.36</v>
      </c>
      <c r="F306" s="48">
        <f t="shared" si="13"/>
        <v>0</v>
      </c>
    </row>
    <row r="307" spans="1:6" x14ac:dyDescent="0.2">
      <c r="A307" s="40"/>
      <c r="B307" s="300" t="s">
        <v>383</v>
      </c>
      <c r="C307" s="40" t="str">
        <f>'Material Rates_Master'!B141</f>
        <v>ea</v>
      </c>
      <c r="D307" s="37"/>
      <c r="E307" s="48">
        <f>'Material Rates_Master'!D141</f>
        <v>135.09</v>
      </c>
      <c r="F307" s="48">
        <f t="shared" si="13"/>
        <v>0</v>
      </c>
    </row>
    <row r="308" spans="1:6" x14ac:dyDescent="0.2">
      <c r="A308" s="40"/>
      <c r="B308" s="300" t="s">
        <v>384</v>
      </c>
      <c r="C308" s="40" t="str">
        <f>'Material Rates_Master'!B142</f>
        <v>ea</v>
      </c>
      <c r="D308" s="37"/>
      <c r="E308" s="48">
        <f>'Material Rates_Master'!D142</f>
        <v>125.77</v>
      </c>
      <c r="F308" s="48">
        <f t="shared" si="13"/>
        <v>0</v>
      </c>
    </row>
    <row r="309" spans="1:6" x14ac:dyDescent="0.2">
      <c r="A309" s="40"/>
      <c r="B309" s="300" t="s">
        <v>385</v>
      </c>
      <c r="C309" s="40" t="str">
        <f>'Material Rates_Master'!B143</f>
        <v>ea</v>
      </c>
      <c r="D309" s="37"/>
      <c r="E309" s="48">
        <f>'Material Rates_Master'!D143</f>
        <v>83.25</v>
      </c>
      <c r="F309" s="48">
        <f t="shared" si="13"/>
        <v>0</v>
      </c>
    </row>
    <row r="310" spans="1:6" x14ac:dyDescent="0.2">
      <c r="A310" s="40"/>
      <c r="B310" s="300" t="s">
        <v>386</v>
      </c>
      <c r="C310" s="40" t="str">
        <f>'Material Rates_Master'!B144</f>
        <v>ea</v>
      </c>
      <c r="D310" s="37"/>
      <c r="E310" s="48">
        <f>'Material Rates_Master'!D144</f>
        <v>52.25</v>
      </c>
      <c r="F310" s="48">
        <f t="shared" si="13"/>
        <v>0</v>
      </c>
    </row>
    <row r="311" spans="1:6" x14ac:dyDescent="0.2">
      <c r="A311" s="40"/>
      <c r="B311" s="300" t="s">
        <v>387</v>
      </c>
      <c r="C311" s="40" t="str">
        <f>'Material Rates_Master'!B145</f>
        <v>ea</v>
      </c>
      <c r="D311" s="37"/>
      <c r="E311" s="48">
        <f>'Material Rates_Master'!D145</f>
        <v>175.66</v>
      </c>
      <c r="F311" s="48">
        <f t="shared" si="13"/>
        <v>0</v>
      </c>
    </row>
    <row r="312" spans="1:6" x14ac:dyDescent="0.2">
      <c r="A312" s="40"/>
      <c r="B312" s="300" t="s">
        <v>388</v>
      </c>
      <c r="C312" s="40" t="str">
        <f>'Material Rates_Master'!B146</f>
        <v>ea</v>
      </c>
      <c r="D312" s="37"/>
      <c r="E312" s="48">
        <f>'Material Rates_Master'!D146</f>
        <v>164.08</v>
      </c>
      <c r="F312" s="48">
        <f t="shared" si="13"/>
        <v>0</v>
      </c>
    </row>
    <row r="313" spans="1:6" ht="7.2" customHeight="1" x14ac:dyDescent="0.2">
      <c r="A313" s="40"/>
      <c r="B313" s="300"/>
      <c r="C313" s="40">
        <f>'Material Rates_Master'!B147</f>
        <v>0</v>
      </c>
      <c r="D313" s="240"/>
      <c r="E313" s="48">
        <f>'Material Rates_Master'!D147</f>
        <v>0</v>
      </c>
      <c r="F313" s="48">
        <f t="shared" si="13"/>
        <v>0</v>
      </c>
    </row>
    <row r="314" spans="1:6" x14ac:dyDescent="0.2">
      <c r="A314" s="40"/>
      <c r="B314" s="300" t="s">
        <v>393</v>
      </c>
      <c r="C314" s="40" t="str">
        <f>'Material Rates_Master'!B148</f>
        <v>ea</v>
      </c>
      <c r="D314" s="240"/>
      <c r="E314" s="48">
        <f>'Material Rates_Master'!D148</f>
        <v>77.95</v>
      </c>
      <c r="F314" s="48">
        <f t="shared" si="13"/>
        <v>0</v>
      </c>
    </row>
    <row r="315" spans="1:6" x14ac:dyDescent="0.2">
      <c r="A315" s="40"/>
      <c r="B315" s="300" t="s">
        <v>394</v>
      </c>
      <c r="C315" s="40" t="str">
        <f>'Material Rates_Master'!B149</f>
        <v>ea</v>
      </c>
      <c r="D315" s="240"/>
      <c r="E315" s="48">
        <f>'Material Rates_Master'!D149</f>
        <v>17.16</v>
      </c>
      <c r="F315" s="48">
        <f t="shared" si="13"/>
        <v>0</v>
      </c>
    </row>
    <row r="316" spans="1:6" x14ac:dyDescent="0.2">
      <c r="A316" s="40"/>
      <c r="B316" s="300" t="s">
        <v>395</v>
      </c>
      <c r="C316" s="40" t="str">
        <f>'Material Rates_Master'!B150</f>
        <v>ea</v>
      </c>
      <c r="D316" s="240"/>
      <c r="E316" s="48">
        <f>'Material Rates_Master'!D150</f>
        <v>7.23</v>
      </c>
      <c r="F316" s="48">
        <f t="shared" si="13"/>
        <v>0</v>
      </c>
    </row>
    <row r="317" spans="1:6" x14ac:dyDescent="0.2">
      <c r="A317" s="40"/>
      <c r="B317" s="300" t="s">
        <v>396</v>
      </c>
      <c r="C317" s="40" t="str">
        <f>'Material Rates_Master'!B151</f>
        <v>ea</v>
      </c>
      <c r="D317" s="240"/>
      <c r="E317" s="48">
        <f>'Material Rates_Master'!D151</f>
        <v>14.31</v>
      </c>
      <c r="F317" s="48">
        <f t="shared" si="13"/>
        <v>0</v>
      </c>
    </row>
    <row r="318" spans="1:6" x14ac:dyDescent="0.2">
      <c r="A318" s="40"/>
      <c r="B318" s="300" t="s">
        <v>397</v>
      </c>
      <c r="C318" s="40" t="str">
        <f>'Material Rates_Master'!B152</f>
        <v>ea</v>
      </c>
      <c r="D318" s="240"/>
      <c r="E318" s="48">
        <f>'Material Rates_Master'!D152</f>
        <v>16.239999999999998</v>
      </c>
      <c r="F318" s="48">
        <f t="shared" si="13"/>
        <v>0</v>
      </c>
    </row>
    <row r="319" spans="1:6" x14ac:dyDescent="0.2">
      <c r="A319" s="40"/>
      <c r="B319" s="300" t="s">
        <v>399</v>
      </c>
      <c r="C319" s="40" t="str">
        <f>'Material Rates_Master'!B153</f>
        <v>ea</v>
      </c>
      <c r="D319" s="240"/>
      <c r="E319" s="48">
        <f>'Material Rates_Master'!D153</f>
        <v>14.36</v>
      </c>
      <c r="F319" s="48">
        <f t="shared" si="13"/>
        <v>0</v>
      </c>
    </row>
    <row r="320" spans="1:6" x14ac:dyDescent="0.2">
      <c r="A320" s="40"/>
      <c r="B320" s="300" t="s">
        <v>400</v>
      </c>
      <c r="C320" s="40" t="str">
        <f>'Material Rates_Master'!B154</f>
        <v>ea</v>
      </c>
      <c r="D320" s="240"/>
      <c r="E320" s="48">
        <f>'Material Rates_Master'!D154</f>
        <v>46.94</v>
      </c>
      <c r="F320" s="48">
        <f t="shared" si="13"/>
        <v>0</v>
      </c>
    </row>
    <row r="321" spans="1:6" x14ac:dyDescent="0.2">
      <c r="A321" s="40"/>
      <c r="B321" s="300" t="s">
        <v>401</v>
      </c>
      <c r="C321" s="40" t="str">
        <f>'Material Rates_Master'!B155</f>
        <v>ea</v>
      </c>
      <c r="D321" s="240"/>
      <c r="E321" s="48">
        <f>'Material Rates_Master'!D155</f>
        <v>8.4600000000000009</v>
      </c>
      <c r="F321" s="48">
        <f t="shared" si="13"/>
        <v>0</v>
      </c>
    </row>
    <row r="322" spans="1:6" x14ac:dyDescent="0.2">
      <c r="A322" s="40"/>
      <c r="B322" s="300" t="s">
        <v>402</v>
      </c>
      <c r="C322" s="40" t="str">
        <f>'Material Rates_Master'!B156</f>
        <v>ea</v>
      </c>
      <c r="D322" s="240"/>
      <c r="E322" s="48">
        <f>'Material Rates_Master'!D156</f>
        <v>5.74</v>
      </c>
      <c r="F322" s="48">
        <f t="shared" si="13"/>
        <v>0</v>
      </c>
    </row>
    <row r="323" spans="1:6" x14ac:dyDescent="0.2">
      <c r="A323" s="40"/>
      <c r="B323" s="300" t="s">
        <v>403</v>
      </c>
      <c r="C323" s="40" t="str">
        <f>'Material Rates_Master'!B157</f>
        <v>ea</v>
      </c>
      <c r="D323" s="240"/>
      <c r="E323" s="48">
        <f>'Material Rates_Master'!D157</f>
        <v>7.7</v>
      </c>
      <c r="F323" s="48">
        <f t="shared" si="13"/>
        <v>0</v>
      </c>
    </row>
    <row r="324" spans="1:6" x14ac:dyDescent="0.2">
      <c r="A324" s="40"/>
      <c r="B324" s="300" t="s">
        <v>404</v>
      </c>
      <c r="C324" s="40" t="str">
        <f>'Material Rates_Master'!B158</f>
        <v>ea</v>
      </c>
      <c r="D324" s="240"/>
      <c r="E324" s="48">
        <f>'Material Rates_Master'!D158</f>
        <v>10.19</v>
      </c>
      <c r="F324" s="48">
        <f t="shared" si="13"/>
        <v>0</v>
      </c>
    </row>
    <row r="325" spans="1:6" ht="9" customHeight="1" x14ac:dyDescent="0.2">
      <c r="A325" s="40"/>
      <c r="B325" s="300"/>
      <c r="C325" s="40">
        <f>'Material Rates_Master'!B159</f>
        <v>0</v>
      </c>
      <c r="D325" s="240"/>
      <c r="E325" s="48">
        <f>'Material Rates_Master'!D159</f>
        <v>0</v>
      </c>
      <c r="F325" s="48">
        <f t="shared" si="13"/>
        <v>0</v>
      </c>
    </row>
    <row r="326" spans="1:6" x14ac:dyDescent="0.2">
      <c r="A326" s="40"/>
      <c r="B326" s="300" t="s">
        <v>405</v>
      </c>
      <c r="C326" s="40" t="str">
        <f>'Material Rates_Master'!B160</f>
        <v>ea</v>
      </c>
      <c r="D326" s="37"/>
      <c r="E326" s="48">
        <f>'Material Rates_Master'!D160</f>
        <v>5.86</v>
      </c>
      <c r="F326" s="48">
        <f t="shared" si="13"/>
        <v>0</v>
      </c>
    </row>
    <row r="327" spans="1:6" x14ac:dyDescent="0.2">
      <c r="A327" s="40"/>
      <c r="B327" s="300" t="s">
        <v>406</v>
      </c>
      <c r="C327" s="40" t="str">
        <f>'Material Rates_Master'!B161</f>
        <v>ea</v>
      </c>
      <c r="D327" s="37"/>
      <c r="E327" s="48">
        <f>'Material Rates_Master'!D161</f>
        <v>4.41</v>
      </c>
      <c r="F327" s="48">
        <f t="shared" si="13"/>
        <v>0</v>
      </c>
    </row>
    <row r="328" spans="1:6" x14ac:dyDescent="0.2">
      <c r="A328" s="40"/>
      <c r="B328" s="300" t="s">
        <v>407</v>
      </c>
      <c r="C328" s="40" t="str">
        <f>'Material Rates_Master'!B162</f>
        <v>ea</v>
      </c>
      <c r="D328" s="37"/>
      <c r="E328" s="48">
        <f>'Material Rates_Master'!D162</f>
        <v>5.36</v>
      </c>
      <c r="F328" s="48">
        <f t="shared" si="13"/>
        <v>0</v>
      </c>
    </row>
    <row r="329" spans="1:6" x14ac:dyDescent="0.2">
      <c r="A329" s="40"/>
      <c r="B329" s="300" t="s">
        <v>408</v>
      </c>
      <c r="C329" s="40" t="str">
        <f>'Material Rates_Master'!B163</f>
        <v>ea</v>
      </c>
      <c r="D329" s="37"/>
      <c r="E329" s="48">
        <f>'Material Rates_Master'!D163</f>
        <v>4.4000000000000004</v>
      </c>
      <c r="F329" s="48">
        <f t="shared" si="13"/>
        <v>0</v>
      </c>
    </row>
    <row r="330" spans="1:6" x14ac:dyDescent="0.2">
      <c r="A330" s="40"/>
      <c r="B330" s="300" t="s">
        <v>409</v>
      </c>
      <c r="C330" s="40" t="str">
        <f>'Material Rates_Master'!B164</f>
        <v>ea</v>
      </c>
      <c r="D330" s="37"/>
      <c r="E330" s="48">
        <f>'Material Rates_Master'!D164</f>
        <v>10.64</v>
      </c>
      <c r="F330" s="48">
        <f t="shared" si="13"/>
        <v>0</v>
      </c>
    </row>
    <row r="331" spans="1:6" x14ac:dyDescent="0.2">
      <c r="A331" s="40"/>
      <c r="B331" s="300" t="s">
        <v>410</v>
      </c>
      <c r="C331" s="40" t="str">
        <f>'Material Rates_Master'!B165</f>
        <v>ea</v>
      </c>
      <c r="D331" s="37"/>
      <c r="E331" s="48">
        <f>'Material Rates_Master'!D165</f>
        <v>20</v>
      </c>
      <c r="F331" s="48">
        <f t="shared" si="13"/>
        <v>0</v>
      </c>
    </row>
    <row r="332" spans="1:6" x14ac:dyDescent="0.2">
      <c r="A332" s="40"/>
      <c r="B332" s="300" t="s">
        <v>411</v>
      </c>
      <c r="C332" s="40" t="str">
        <f>'Material Rates_Master'!B166</f>
        <v>ea</v>
      </c>
      <c r="D332" s="37"/>
      <c r="E332" s="48">
        <f>'Material Rates_Master'!D166</f>
        <v>19.5</v>
      </c>
      <c r="F332" s="48">
        <f t="shared" si="13"/>
        <v>0</v>
      </c>
    </row>
    <row r="333" spans="1:6" x14ac:dyDescent="0.2">
      <c r="A333" s="40"/>
      <c r="B333" s="300" t="s">
        <v>340</v>
      </c>
      <c r="C333" s="40" t="str">
        <f>'Material Rates_Master'!B167</f>
        <v>ea</v>
      </c>
      <c r="D333" s="37"/>
      <c r="E333" s="48">
        <f>'Material Rates_Master'!D167</f>
        <v>20</v>
      </c>
      <c r="F333" s="48">
        <f t="shared" si="13"/>
        <v>0</v>
      </c>
    </row>
    <row r="334" spans="1:6" ht="10.95" customHeight="1" x14ac:dyDescent="0.2">
      <c r="A334" s="40"/>
      <c r="B334" s="300"/>
      <c r="D334" s="37"/>
      <c r="E334" s="48"/>
      <c r="F334" s="48"/>
    </row>
    <row r="335" spans="1:6" x14ac:dyDescent="0.2">
      <c r="A335" s="40"/>
      <c r="B335" s="332" t="s">
        <v>412</v>
      </c>
      <c r="D335" s="37"/>
      <c r="E335" s="48"/>
      <c r="F335" s="48"/>
    </row>
    <row r="336" spans="1:6" ht="14.4" customHeight="1" x14ac:dyDescent="0.2">
      <c r="A336" s="40"/>
      <c r="B336" s="301" t="s">
        <v>354</v>
      </c>
      <c r="D336" s="37"/>
      <c r="E336" s="48"/>
      <c r="F336" s="48"/>
    </row>
    <row r="337" spans="1:6" x14ac:dyDescent="0.2">
      <c r="A337" s="40"/>
      <c r="B337" s="300" t="s">
        <v>413</v>
      </c>
      <c r="C337" s="40" t="str">
        <f>'Material Rates_Master'!B171</f>
        <v>ea</v>
      </c>
      <c r="D337" s="37"/>
      <c r="E337" s="48">
        <v>1388</v>
      </c>
      <c r="F337" s="48">
        <f t="shared" si="13"/>
        <v>0</v>
      </c>
    </row>
    <row r="338" spans="1:6" x14ac:dyDescent="0.2">
      <c r="A338" s="40"/>
      <c r="B338" s="300" t="s">
        <v>414</v>
      </c>
      <c r="C338" s="40" t="str">
        <f>'Material Rates_Master'!B172</f>
        <v>ea</v>
      </c>
      <c r="D338" s="37"/>
      <c r="E338" s="48">
        <f>'Material Rates_Master'!D172</f>
        <v>0</v>
      </c>
      <c r="F338" s="48">
        <f t="shared" si="13"/>
        <v>0</v>
      </c>
    </row>
    <row r="339" spans="1:6" x14ac:dyDescent="0.2">
      <c r="A339" s="40"/>
      <c r="B339" s="300" t="s">
        <v>415</v>
      </c>
      <c r="C339" s="40" t="s">
        <v>416</v>
      </c>
      <c r="D339" s="37"/>
      <c r="E339" s="48">
        <v>450</v>
      </c>
      <c r="F339" s="48">
        <f t="shared" si="13"/>
        <v>0</v>
      </c>
    </row>
    <row r="340" spans="1:6" x14ac:dyDescent="0.2">
      <c r="A340" s="40"/>
      <c r="B340" s="300" t="s">
        <v>417</v>
      </c>
      <c r="C340" s="40" t="str">
        <f>'Material Rates_Master'!B174</f>
        <v>ea</v>
      </c>
      <c r="D340" s="37"/>
      <c r="E340" s="48">
        <f>'Material Rates_Master'!D174</f>
        <v>0</v>
      </c>
      <c r="F340" s="48">
        <f t="shared" si="13"/>
        <v>0</v>
      </c>
    </row>
    <row r="341" spans="1:6" x14ac:dyDescent="0.2">
      <c r="A341" s="40"/>
      <c r="B341" s="300" t="s">
        <v>418</v>
      </c>
      <c r="C341" s="40" t="str">
        <f>'Material Rates_Master'!B175</f>
        <v>ea</v>
      </c>
      <c r="D341" s="37"/>
      <c r="E341" s="48">
        <f>'Material Rates_Master'!D175</f>
        <v>2178.48</v>
      </c>
      <c r="F341" s="48">
        <f t="shared" si="13"/>
        <v>0</v>
      </c>
    </row>
    <row r="342" spans="1:6" x14ac:dyDescent="0.2">
      <c r="A342" s="40"/>
      <c r="B342" s="300" t="s">
        <v>419</v>
      </c>
      <c r="C342" s="40" t="str">
        <f>'Material Rates_Master'!B176</f>
        <v>ea</v>
      </c>
      <c r="D342" s="37"/>
      <c r="E342" s="48">
        <f>'Material Rates_Master'!D176</f>
        <v>2178.48</v>
      </c>
      <c r="F342" s="48">
        <f>E342*D342</f>
        <v>0</v>
      </c>
    </row>
    <row r="343" spans="1:6" x14ac:dyDescent="0.2">
      <c r="E343" s="48"/>
      <c r="F343" s="48"/>
    </row>
    <row r="344" spans="1:6" s="40" customFormat="1" ht="14.4" x14ac:dyDescent="0.3">
      <c r="A344" s="324"/>
      <c r="B344" s="325" t="s">
        <v>420</v>
      </c>
      <c r="C344" s="42"/>
      <c r="D344" s="42"/>
      <c r="E344" s="45"/>
      <c r="F344" s="48"/>
    </row>
    <row r="345" spans="1:6" s="40" customFormat="1" ht="14.4" x14ac:dyDescent="0.3">
      <c r="A345" s="324"/>
      <c r="B345" s="327" t="s">
        <v>354</v>
      </c>
      <c r="C345" s="42"/>
      <c r="D345" s="42"/>
      <c r="E345" s="45"/>
      <c r="F345" s="48"/>
    </row>
    <row r="346" spans="1:6" s="40" customFormat="1" ht="14.4" x14ac:dyDescent="0.3">
      <c r="A346" s="324"/>
      <c r="B346" s="324"/>
      <c r="C346" s="42"/>
      <c r="D346" s="42"/>
      <c r="E346" s="45"/>
      <c r="F346" s="48"/>
    </row>
    <row r="347" spans="1:6" s="40" customFormat="1" ht="14.4" x14ac:dyDescent="0.3">
      <c r="A347" s="324"/>
      <c r="B347" s="324" t="s">
        <v>421</v>
      </c>
      <c r="C347" s="328" t="s">
        <v>149</v>
      </c>
      <c r="E347" s="326">
        <v>34.5</v>
      </c>
      <c r="F347" s="48">
        <f>E347*D347</f>
        <v>0</v>
      </c>
    </row>
    <row r="348" spans="1:6" s="40" customFormat="1" ht="14.4" x14ac:dyDescent="0.3">
      <c r="A348" s="324"/>
      <c r="B348" s="324" t="s">
        <v>423</v>
      </c>
      <c r="C348" s="328" t="s">
        <v>149</v>
      </c>
      <c r="E348" s="326">
        <v>12.31</v>
      </c>
      <c r="F348" s="48">
        <f t="shared" ref="F348:F414" si="14">E348*D348</f>
        <v>0</v>
      </c>
    </row>
    <row r="349" spans="1:6" s="40" customFormat="1" ht="14.4" x14ac:dyDescent="0.3">
      <c r="A349" s="324"/>
      <c r="B349" s="324" t="s">
        <v>424</v>
      </c>
      <c r="C349" s="328" t="s">
        <v>149</v>
      </c>
      <c r="E349" s="326">
        <v>9.66</v>
      </c>
      <c r="F349" s="48">
        <f t="shared" si="14"/>
        <v>0</v>
      </c>
    </row>
    <row r="350" spans="1:6" s="40" customFormat="1" ht="14.4" x14ac:dyDescent="0.3">
      <c r="A350" s="324"/>
      <c r="B350" s="324" t="s">
        <v>425</v>
      </c>
      <c r="C350" s="328" t="s">
        <v>149</v>
      </c>
      <c r="E350" s="326">
        <v>4.63</v>
      </c>
      <c r="F350" s="48">
        <f t="shared" si="14"/>
        <v>0</v>
      </c>
    </row>
    <row r="351" spans="1:6" s="40" customFormat="1" ht="14.4" x14ac:dyDescent="0.3">
      <c r="A351" s="324"/>
      <c r="B351" s="420" t="s">
        <v>426</v>
      </c>
      <c r="C351" s="328" t="s">
        <v>149</v>
      </c>
      <c r="E351" s="326">
        <v>5.4</v>
      </c>
      <c r="F351" s="48">
        <f t="shared" si="14"/>
        <v>0</v>
      </c>
    </row>
    <row r="352" spans="1:6" s="40" customFormat="1" ht="14.4" x14ac:dyDescent="0.3">
      <c r="A352" s="324"/>
      <c r="B352" s="420" t="s">
        <v>427</v>
      </c>
      <c r="C352" s="328" t="s">
        <v>149</v>
      </c>
      <c r="E352" s="326">
        <v>4.4000000000000004</v>
      </c>
      <c r="F352" s="48">
        <f t="shared" si="14"/>
        <v>0</v>
      </c>
    </row>
    <row r="353" spans="1:6" s="40" customFormat="1" ht="14.4" x14ac:dyDescent="0.3">
      <c r="A353" s="324"/>
      <c r="B353" s="324" t="s">
        <v>428</v>
      </c>
      <c r="C353" s="328" t="s">
        <v>149</v>
      </c>
      <c r="E353" s="326">
        <f>354.31/150</f>
        <v>2.3620666666666668</v>
      </c>
      <c r="F353" s="48">
        <f t="shared" si="14"/>
        <v>0</v>
      </c>
    </row>
    <row r="354" spans="1:6" ht="14.4" x14ac:dyDescent="0.3">
      <c r="A354" s="324"/>
      <c r="B354" s="420" t="s">
        <v>429</v>
      </c>
      <c r="C354" s="328" t="s">
        <v>149</v>
      </c>
      <c r="E354" s="326">
        <v>2.1</v>
      </c>
      <c r="F354" s="48">
        <f t="shared" si="14"/>
        <v>0</v>
      </c>
    </row>
    <row r="355" spans="1:6" ht="14.4" x14ac:dyDescent="0.3">
      <c r="A355" s="324"/>
      <c r="B355" s="324" t="s">
        <v>430</v>
      </c>
      <c r="C355" s="328" t="s">
        <v>149</v>
      </c>
      <c r="E355" s="326">
        <v>1.22</v>
      </c>
      <c r="F355" s="48">
        <f t="shared" si="14"/>
        <v>0</v>
      </c>
    </row>
    <row r="356" spans="1:6" ht="14.4" x14ac:dyDescent="0.3">
      <c r="A356" s="324"/>
      <c r="B356" s="324" t="s">
        <v>431</v>
      </c>
      <c r="C356" s="328" t="s">
        <v>149</v>
      </c>
      <c r="E356" s="326">
        <v>2.4300000000000002</v>
      </c>
      <c r="F356" s="48">
        <f t="shared" si="14"/>
        <v>0</v>
      </c>
    </row>
    <row r="357" spans="1:6" ht="14.4" x14ac:dyDescent="0.3">
      <c r="A357" s="324"/>
      <c r="B357" s="324" t="s">
        <v>432</v>
      </c>
      <c r="C357" s="328" t="s">
        <v>149</v>
      </c>
      <c r="E357" s="326">
        <v>1.38</v>
      </c>
      <c r="F357" s="48">
        <f t="shared" si="14"/>
        <v>0</v>
      </c>
    </row>
    <row r="358" spans="1:6" ht="14.4" x14ac:dyDescent="0.3">
      <c r="A358" s="324"/>
      <c r="B358" s="324" t="s">
        <v>433</v>
      </c>
      <c r="C358" s="328" t="s">
        <v>115</v>
      </c>
      <c r="E358" s="326">
        <v>22</v>
      </c>
      <c r="F358" s="48">
        <f t="shared" si="14"/>
        <v>0</v>
      </c>
    </row>
    <row r="359" spans="1:6" ht="14.4" x14ac:dyDescent="0.3">
      <c r="A359" s="324"/>
      <c r="B359" s="324" t="s">
        <v>434</v>
      </c>
      <c r="C359" s="328" t="s">
        <v>115</v>
      </c>
      <c r="E359" s="326">
        <v>57.75</v>
      </c>
      <c r="F359" s="48">
        <f t="shared" si="14"/>
        <v>0</v>
      </c>
    </row>
    <row r="360" spans="1:6" ht="14.4" x14ac:dyDescent="0.3">
      <c r="A360" s="324"/>
      <c r="B360" s="324" t="s">
        <v>435</v>
      </c>
      <c r="C360" s="328" t="s">
        <v>115</v>
      </c>
      <c r="E360" s="326">
        <v>139</v>
      </c>
      <c r="F360" s="48">
        <f t="shared" si="14"/>
        <v>0</v>
      </c>
    </row>
    <row r="361" spans="1:6" ht="14.4" x14ac:dyDescent="0.3">
      <c r="A361" s="324"/>
      <c r="B361" s="324" t="s">
        <v>436</v>
      </c>
      <c r="C361" s="328" t="s">
        <v>115</v>
      </c>
      <c r="E361" s="326">
        <v>104.15</v>
      </c>
      <c r="F361" s="48">
        <f t="shared" si="14"/>
        <v>0</v>
      </c>
    </row>
    <row r="362" spans="1:6" ht="14.4" x14ac:dyDescent="0.3">
      <c r="A362" s="324"/>
      <c r="B362" s="324" t="s">
        <v>437</v>
      </c>
      <c r="C362" s="328" t="s">
        <v>115</v>
      </c>
      <c r="E362" s="326">
        <v>26.1</v>
      </c>
      <c r="F362" s="48">
        <f t="shared" si="14"/>
        <v>0</v>
      </c>
    </row>
    <row r="363" spans="1:6" ht="14.4" x14ac:dyDescent="0.3">
      <c r="A363" s="324"/>
      <c r="B363" s="324" t="s">
        <v>438</v>
      </c>
      <c r="C363" s="328" t="s">
        <v>115</v>
      </c>
      <c r="E363" s="326">
        <v>37.5</v>
      </c>
      <c r="F363" s="48">
        <f t="shared" si="14"/>
        <v>0</v>
      </c>
    </row>
    <row r="364" spans="1:6" ht="14.4" x14ac:dyDescent="0.3">
      <c r="A364" s="324"/>
      <c r="B364" s="324" t="s">
        <v>439</v>
      </c>
      <c r="C364" s="328" t="s">
        <v>115</v>
      </c>
      <c r="E364" s="326">
        <v>35.93</v>
      </c>
      <c r="F364" s="48">
        <f t="shared" si="14"/>
        <v>0</v>
      </c>
    </row>
    <row r="365" spans="1:6" ht="14.4" x14ac:dyDescent="0.3">
      <c r="A365" s="324"/>
      <c r="B365" s="420" t="s">
        <v>440</v>
      </c>
      <c r="C365" s="328" t="s">
        <v>115</v>
      </c>
      <c r="E365" s="326">
        <v>35</v>
      </c>
      <c r="F365" s="48">
        <f t="shared" si="14"/>
        <v>0</v>
      </c>
    </row>
    <row r="366" spans="1:6" ht="14.4" x14ac:dyDescent="0.3">
      <c r="A366" s="324"/>
      <c r="B366" s="420" t="s">
        <v>441</v>
      </c>
      <c r="C366" s="328" t="s">
        <v>115</v>
      </c>
      <c r="E366" s="326">
        <v>35</v>
      </c>
      <c r="F366" s="48">
        <f t="shared" si="14"/>
        <v>0</v>
      </c>
    </row>
    <row r="367" spans="1:6" ht="14.4" x14ac:dyDescent="0.3">
      <c r="A367" s="324"/>
      <c r="B367" s="420" t="s">
        <v>442</v>
      </c>
      <c r="C367" s="328" t="s">
        <v>115</v>
      </c>
      <c r="E367" s="326">
        <v>35</v>
      </c>
      <c r="F367" s="48">
        <f t="shared" si="14"/>
        <v>0</v>
      </c>
    </row>
    <row r="368" spans="1:6" ht="14.4" x14ac:dyDescent="0.3">
      <c r="A368" s="324"/>
      <c r="B368" s="324" t="s">
        <v>443</v>
      </c>
      <c r="C368" s="328" t="s">
        <v>115</v>
      </c>
      <c r="E368" s="326">
        <v>20</v>
      </c>
      <c r="F368" s="48">
        <f t="shared" si="14"/>
        <v>0</v>
      </c>
    </row>
    <row r="369" spans="1:6" ht="14.4" x14ac:dyDescent="0.3">
      <c r="A369" s="324"/>
      <c r="B369" s="324" t="s">
        <v>444</v>
      </c>
      <c r="C369" s="328" t="s">
        <v>115</v>
      </c>
      <c r="E369" s="326">
        <v>50</v>
      </c>
      <c r="F369" s="48">
        <f t="shared" si="14"/>
        <v>0</v>
      </c>
    </row>
    <row r="370" spans="1:6" ht="14.4" x14ac:dyDescent="0.3">
      <c r="A370" s="324"/>
      <c r="B370" s="324" t="s">
        <v>445</v>
      </c>
      <c r="C370" s="328" t="s">
        <v>115</v>
      </c>
      <c r="E370" s="326">
        <v>54</v>
      </c>
      <c r="F370" s="48">
        <f t="shared" si="14"/>
        <v>0</v>
      </c>
    </row>
    <row r="371" spans="1:6" ht="14.4" x14ac:dyDescent="0.3">
      <c r="A371" s="324"/>
      <c r="B371" s="420" t="s">
        <v>446</v>
      </c>
      <c r="C371" s="328" t="s">
        <v>115</v>
      </c>
      <c r="E371" s="326"/>
      <c r="F371" s="48">
        <f t="shared" si="14"/>
        <v>0</v>
      </c>
    </row>
    <row r="372" spans="1:6" ht="14.4" x14ac:dyDescent="0.3">
      <c r="A372" s="324"/>
      <c r="B372" s="420" t="s">
        <v>447</v>
      </c>
      <c r="C372" s="328" t="s">
        <v>115</v>
      </c>
      <c r="E372" s="326">
        <v>15.55</v>
      </c>
      <c r="F372" s="48">
        <f t="shared" si="14"/>
        <v>0</v>
      </c>
    </row>
    <row r="373" spans="1:6" ht="14.4" x14ac:dyDescent="0.3">
      <c r="A373" s="324"/>
      <c r="B373" s="420" t="s">
        <v>448</v>
      </c>
      <c r="C373" s="419" t="s">
        <v>115</v>
      </c>
      <c r="E373" s="326">
        <v>15</v>
      </c>
      <c r="F373" s="48">
        <f t="shared" si="14"/>
        <v>0</v>
      </c>
    </row>
    <row r="374" spans="1:6" ht="14.4" x14ac:dyDescent="0.3">
      <c r="A374" s="324"/>
      <c r="B374" s="420" t="s">
        <v>449</v>
      </c>
      <c r="C374" s="328" t="s">
        <v>115</v>
      </c>
      <c r="E374" s="326">
        <v>10.87</v>
      </c>
      <c r="F374" s="48">
        <f t="shared" si="14"/>
        <v>0</v>
      </c>
    </row>
    <row r="375" spans="1:6" ht="14.4" x14ac:dyDescent="0.3">
      <c r="A375" s="324"/>
      <c r="B375" s="420" t="s">
        <v>450</v>
      </c>
      <c r="C375" s="328" t="s">
        <v>115</v>
      </c>
      <c r="E375" s="326">
        <v>55</v>
      </c>
      <c r="F375" s="48">
        <f t="shared" si="14"/>
        <v>0</v>
      </c>
    </row>
    <row r="376" spans="1:6" ht="14.4" x14ac:dyDescent="0.3">
      <c r="A376" s="324"/>
      <c r="B376" s="420" t="s">
        <v>451</v>
      </c>
      <c r="C376" s="328" t="s">
        <v>115</v>
      </c>
      <c r="E376" s="326">
        <v>55</v>
      </c>
      <c r="F376" s="48">
        <f t="shared" si="14"/>
        <v>0</v>
      </c>
    </row>
    <row r="377" spans="1:6" ht="14.4" x14ac:dyDescent="0.3">
      <c r="A377" s="324"/>
      <c r="B377" s="324" t="s">
        <v>452</v>
      </c>
      <c r="C377" s="328" t="s">
        <v>115</v>
      </c>
      <c r="E377" s="326">
        <v>35</v>
      </c>
      <c r="F377" s="48">
        <f t="shared" si="14"/>
        <v>0</v>
      </c>
    </row>
    <row r="378" spans="1:6" ht="14.4" x14ac:dyDescent="0.3">
      <c r="A378" s="324"/>
      <c r="B378" s="324" t="s">
        <v>453</v>
      </c>
      <c r="C378" s="328" t="s">
        <v>115</v>
      </c>
      <c r="E378" s="326">
        <v>35</v>
      </c>
      <c r="F378" s="48">
        <f t="shared" si="14"/>
        <v>0</v>
      </c>
    </row>
    <row r="379" spans="1:6" ht="14.4" x14ac:dyDescent="0.3">
      <c r="A379" s="324"/>
      <c r="B379" s="324" t="s">
        <v>454</v>
      </c>
      <c r="C379" s="328" t="s">
        <v>115</v>
      </c>
      <c r="E379" s="326">
        <v>35</v>
      </c>
      <c r="F379" s="48">
        <f t="shared" si="14"/>
        <v>0</v>
      </c>
    </row>
    <row r="380" spans="1:6" ht="14.4" x14ac:dyDescent="0.3">
      <c r="A380" s="324"/>
      <c r="B380" s="420" t="s">
        <v>455</v>
      </c>
      <c r="C380" s="328" t="s">
        <v>115</v>
      </c>
      <c r="E380" s="326">
        <v>35</v>
      </c>
      <c r="F380" s="48">
        <f t="shared" si="14"/>
        <v>0</v>
      </c>
    </row>
    <row r="381" spans="1:6" ht="14.4" x14ac:dyDescent="0.3">
      <c r="A381" s="324"/>
      <c r="B381" s="420" t="s">
        <v>456</v>
      </c>
      <c r="C381" s="328" t="s">
        <v>115</v>
      </c>
      <c r="E381" s="326">
        <v>35</v>
      </c>
      <c r="F381" s="48">
        <f t="shared" si="14"/>
        <v>0</v>
      </c>
    </row>
    <row r="382" spans="1:6" ht="14.4" x14ac:dyDescent="0.3">
      <c r="A382" s="324"/>
      <c r="B382" s="324" t="s">
        <v>457</v>
      </c>
      <c r="C382" s="328" t="s">
        <v>115</v>
      </c>
      <c r="E382" s="326">
        <v>35</v>
      </c>
      <c r="F382" s="48">
        <f t="shared" si="14"/>
        <v>0</v>
      </c>
    </row>
    <row r="383" spans="1:6" ht="14.4" x14ac:dyDescent="0.3">
      <c r="A383" s="324"/>
      <c r="B383" s="324" t="s">
        <v>458</v>
      </c>
      <c r="C383" s="328" t="s">
        <v>115</v>
      </c>
      <c r="E383" s="326">
        <v>35</v>
      </c>
      <c r="F383" s="48">
        <f t="shared" si="14"/>
        <v>0</v>
      </c>
    </row>
    <row r="384" spans="1:6" ht="14.4" x14ac:dyDescent="0.3">
      <c r="A384" s="324"/>
      <c r="B384" s="420" t="s">
        <v>459</v>
      </c>
      <c r="C384" s="328" t="s">
        <v>115</v>
      </c>
      <c r="E384" s="326">
        <v>26</v>
      </c>
      <c r="F384" s="48">
        <f t="shared" si="14"/>
        <v>0</v>
      </c>
    </row>
    <row r="385" spans="1:6" ht="14.4" x14ac:dyDescent="0.3">
      <c r="A385" s="324"/>
      <c r="B385" s="420" t="s">
        <v>460</v>
      </c>
      <c r="C385" s="328" t="s">
        <v>115</v>
      </c>
      <c r="E385" s="326">
        <v>35</v>
      </c>
      <c r="F385" s="48">
        <f t="shared" si="14"/>
        <v>0</v>
      </c>
    </row>
    <row r="386" spans="1:6" ht="14.4" x14ac:dyDescent="0.3">
      <c r="A386" s="324"/>
      <c r="B386" s="324" t="s">
        <v>461</v>
      </c>
      <c r="C386" s="328" t="s">
        <v>115</v>
      </c>
      <c r="E386" s="326">
        <v>10.87</v>
      </c>
      <c r="F386" s="48">
        <f t="shared" si="14"/>
        <v>0</v>
      </c>
    </row>
    <row r="387" spans="1:6" ht="14.4" x14ac:dyDescent="0.3">
      <c r="A387" s="324"/>
      <c r="B387" s="324" t="s">
        <v>462</v>
      </c>
      <c r="C387" s="328" t="s">
        <v>115</v>
      </c>
      <c r="E387" s="326">
        <v>35</v>
      </c>
      <c r="F387" s="48">
        <f t="shared" si="14"/>
        <v>0</v>
      </c>
    </row>
    <row r="388" spans="1:6" ht="14.4" x14ac:dyDescent="0.3">
      <c r="A388" s="324"/>
      <c r="B388" s="420" t="s">
        <v>463</v>
      </c>
      <c r="C388" s="328" t="s">
        <v>115</v>
      </c>
      <c r="E388" s="326">
        <v>20</v>
      </c>
      <c r="F388" s="48">
        <f t="shared" si="14"/>
        <v>0</v>
      </c>
    </row>
    <row r="389" spans="1:6" ht="14.4" x14ac:dyDescent="0.3">
      <c r="A389" s="324"/>
      <c r="B389" s="420" t="s">
        <v>464</v>
      </c>
      <c r="C389" s="328" t="s">
        <v>115</v>
      </c>
      <c r="E389" s="326">
        <v>20</v>
      </c>
      <c r="F389" s="48">
        <f t="shared" si="14"/>
        <v>0</v>
      </c>
    </row>
    <row r="390" spans="1:6" ht="14.4" x14ac:dyDescent="0.3">
      <c r="A390" s="324"/>
      <c r="B390" s="420" t="s">
        <v>465</v>
      </c>
      <c r="C390" s="328" t="s">
        <v>115</v>
      </c>
      <c r="E390" s="326"/>
      <c r="F390" s="48">
        <f t="shared" si="14"/>
        <v>0</v>
      </c>
    </row>
    <row r="391" spans="1:6" ht="14.4" x14ac:dyDescent="0.3">
      <c r="A391" s="324"/>
      <c r="B391" s="324" t="s">
        <v>466</v>
      </c>
      <c r="C391" s="328" t="s">
        <v>115</v>
      </c>
      <c r="E391" s="326">
        <v>35</v>
      </c>
      <c r="F391" s="48">
        <f t="shared" si="14"/>
        <v>0</v>
      </c>
    </row>
    <row r="392" spans="1:6" ht="14.4" x14ac:dyDescent="0.3">
      <c r="A392" s="324"/>
      <c r="B392" s="324" t="s">
        <v>467</v>
      </c>
      <c r="C392" s="328" t="s">
        <v>115</v>
      </c>
      <c r="E392" s="326">
        <v>102.5</v>
      </c>
      <c r="F392" s="48">
        <f t="shared" si="14"/>
        <v>0</v>
      </c>
    </row>
    <row r="393" spans="1:6" ht="14.4" x14ac:dyDescent="0.3">
      <c r="A393" s="324"/>
      <c r="B393" s="324" t="s">
        <v>468</v>
      </c>
      <c r="C393" s="328" t="s">
        <v>115</v>
      </c>
      <c r="E393" s="326">
        <v>235</v>
      </c>
      <c r="F393" s="48">
        <f t="shared" si="14"/>
        <v>0</v>
      </c>
    </row>
    <row r="394" spans="1:6" ht="14.4" x14ac:dyDescent="0.3">
      <c r="A394" s="324"/>
      <c r="B394" s="324" t="s">
        <v>469</v>
      </c>
      <c r="C394" s="328" t="s">
        <v>115</v>
      </c>
      <c r="E394" s="326">
        <v>100</v>
      </c>
      <c r="F394" s="48">
        <f t="shared" si="14"/>
        <v>0</v>
      </c>
    </row>
    <row r="395" spans="1:6" ht="14.4" x14ac:dyDescent="0.3">
      <c r="A395" s="324"/>
      <c r="B395" s="324" t="s">
        <v>470</v>
      </c>
      <c r="C395" s="328" t="s">
        <v>115</v>
      </c>
      <c r="E395" s="326">
        <v>47.41</v>
      </c>
      <c r="F395" s="48">
        <f t="shared" si="14"/>
        <v>0</v>
      </c>
    </row>
    <row r="396" spans="1:6" ht="14.4" x14ac:dyDescent="0.3">
      <c r="A396" s="324"/>
      <c r="B396" s="324" t="s">
        <v>471</v>
      </c>
      <c r="C396" s="328" t="s">
        <v>115</v>
      </c>
      <c r="E396" s="326">
        <v>41.69</v>
      </c>
      <c r="F396" s="48">
        <f t="shared" si="14"/>
        <v>0</v>
      </c>
    </row>
    <row r="397" spans="1:6" ht="14.4" x14ac:dyDescent="0.3">
      <c r="A397" s="324"/>
      <c r="B397" s="324"/>
      <c r="C397" s="328" t="s">
        <v>115</v>
      </c>
      <c r="E397" s="326">
        <v>85.55</v>
      </c>
      <c r="F397" s="48">
        <f t="shared" si="14"/>
        <v>0</v>
      </c>
    </row>
    <row r="398" spans="1:6" ht="14.4" x14ac:dyDescent="0.3">
      <c r="A398" s="324"/>
      <c r="B398" s="324" t="s">
        <v>473</v>
      </c>
      <c r="C398" s="324"/>
      <c r="E398" s="326"/>
      <c r="F398" s="48">
        <f t="shared" si="14"/>
        <v>0</v>
      </c>
    </row>
    <row r="399" spans="1:6" ht="14.4" x14ac:dyDescent="0.3">
      <c r="A399" s="324"/>
      <c r="B399" s="324" t="s">
        <v>474</v>
      </c>
      <c r="C399" s="328" t="s">
        <v>115</v>
      </c>
      <c r="E399" s="326">
        <v>70</v>
      </c>
      <c r="F399" s="48">
        <f t="shared" si="14"/>
        <v>0</v>
      </c>
    </row>
    <row r="400" spans="1:6" ht="14.4" x14ac:dyDescent="0.3">
      <c r="A400" s="324"/>
      <c r="B400" s="324" t="s">
        <v>475</v>
      </c>
      <c r="C400" s="328" t="s">
        <v>115</v>
      </c>
      <c r="E400" s="326">
        <v>19</v>
      </c>
      <c r="F400" s="48">
        <f t="shared" si="14"/>
        <v>0</v>
      </c>
    </row>
    <row r="401" spans="1:10" ht="14.4" x14ac:dyDescent="0.3">
      <c r="A401" s="324"/>
      <c r="B401" s="324"/>
      <c r="C401" s="328" t="s">
        <v>115</v>
      </c>
      <c r="E401" s="326">
        <v>16</v>
      </c>
      <c r="F401" s="48">
        <f t="shared" si="14"/>
        <v>0</v>
      </c>
    </row>
    <row r="402" spans="1:10" ht="14.4" x14ac:dyDescent="0.3">
      <c r="A402" s="324"/>
      <c r="B402" s="420" t="s">
        <v>476</v>
      </c>
      <c r="C402" s="328" t="s">
        <v>149</v>
      </c>
      <c r="E402" s="326">
        <v>40.21</v>
      </c>
      <c r="F402" s="48">
        <f t="shared" si="14"/>
        <v>0</v>
      </c>
      <c r="G402" s="328"/>
      <c r="H402" s="40"/>
      <c r="I402" s="326"/>
      <c r="J402" s="48"/>
    </row>
    <row r="403" spans="1:10" ht="14.4" x14ac:dyDescent="0.3">
      <c r="A403" s="324"/>
      <c r="B403" s="324" t="s">
        <v>479</v>
      </c>
      <c r="C403" s="328" t="s">
        <v>149</v>
      </c>
      <c r="D403" s="40">
        <v>44</v>
      </c>
      <c r="E403" s="409">
        <f>279/6</f>
        <v>46.5</v>
      </c>
      <c r="F403" s="48">
        <f t="shared" si="14"/>
        <v>2046</v>
      </c>
      <c r="G403" s="328"/>
      <c r="H403" s="40"/>
      <c r="I403" s="329"/>
      <c r="J403" s="48"/>
    </row>
    <row r="404" spans="1:10" ht="14.4" x14ac:dyDescent="0.3">
      <c r="A404" s="324"/>
      <c r="B404" s="420" t="s">
        <v>977</v>
      </c>
      <c r="C404" s="419" t="s">
        <v>149</v>
      </c>
      <c r="D404" s="40">
        <v>12</v>
      </c>
      <c r="E404" s="409">
        <f>230/6</f>
        <v>38.333333333333336</v>
      </c>
      <c r="F404" s="48">
        <f t="shared" si="14"/>
        <v>460</v>
      </c>
      <c r="G404" s="328"/>
      <c r="H404" s="40"/>
      <c r="I404" s="329"/>
      <c r="J404" s="48"/>
    </row>
    <row r="405" spans="1:10" ht="14.4" x14ac:dyDescent="0.3">
      <c r="A405" s="324"/>
      <c r="B405" s="420" t="s">
        <v>480</v>
      </c>
      <c r="C405" s="328" t="s">
        <v>149</v>
      </c>
      <c r="D405" s="40">
        <v>77</v>
      </c>
      <c r="E405" s="409">
        <f>190/6</f>
        <v>31.666666666666668</v>
      </c>
      <c r="F405" s="48">
        <f t="shared" si="14"/>
        <v>2438.3333333333335</v>
      </c>
      <c r="G405" s="328"/>
      <c r="H405" s="40"/>
      <c r="I405" s="329"/>
      <c r="J405" s="48"/>
    </row>
    <row r="406" spans="1:10" ht="14.4" x14ac:dyDescent="0.3">
      <c r="A406" s="324"/>
      <c r="B406" s="420" t="s">
        <v>978</v>
      </c>
      <c r="C406" s="419" t="s">
        <v>115</v>
      </c>
      <c r="D406" s="40">
        <v>1</v>
      </c>
      <c r="E406" s="409">
        <v>30</v>
      </c>
      <c r="F406" s="48">
        <f t="shared" si="14"/>
        <v>30</v>
      </c>
      <c r="G406" s="328"/>
      <c r="H406" s="40"/>
      <c r="I406" s="329"/>
      <c r="J406" s="48"/>
    </row>
    <row r="407" spans="1:10" ht="14.4" x14ac:dyDescent="0.3">
      <c r="A407" s="324"/>
      <c r="B407" s="324" t="s">
        <v>481</v>
      </c>
      <c r="C407" s="328" t="s">
        <v>115</v>
      </c>
      <c r="E407" s="409">
        <v>16.329999999999998</v>
      </c>
      <c r="F407" s="48">
        <f t="shared" si="14"/>
        <v>0</v>
      </c>
      <c r="G407" s="328"/>
      <c r="H407" s="40"/>
      <c r="I407" s="329"/>
      <c r="J407" s="48"/>
    </row>
    <row r="408" spans="1:10" ht="14.4" x14ac:dyDescent="0.3">
      <c r="A408" s="324"/>
      <c r="B408" s="324" t="s">
        <v>482</v>
      </c>
      <c r="C408" s="328" t="s">
        <v>149</v>
      </c>
      <c r="D408" s="40">
        <v>58</v>
      </c>
      <c r="E408" s="409">
        <f>129/6</f>
        <v>21.5</v>
      </c>
      <c r="F408" s="48">
        <f t="shared" si="14"/>
        <v>1247</v>
      </c>
      <c r="G408" s="328"/>
      <c r="H408" s="40"/>
      <c r="I408" s="329"/>
      <c r="J408" s="48"/>
    </row>
    <row r="409" spans="1:10" ht="14.4" x14ac:dyDescent="0.3">
      <c r="A409" s="324"/>
      <c r="B409" s="420" t="s">
        <v>483</v>
      </c>
      <c r="C409" s="419" t="s">
        <v>115</v>
      </c>
      <c r="D409" s="40">
        <v>6</v>
      </c>
      <c r="E409" s="409">
        <v>23.51</v>
      </c>
      <c r="F409" s="48">
        <f t="shared" si="14"/>
        <v>141.06</v>
      </c>
      <c r="G409" s="419"/>
      <c r="H409" s="40"/>
      <c r="I409" s="329"/>
      <c r="J409" s="48"/>
    </row>
    <row r="410" spans="1:10" ht="14.4" x14ac:dyDescent="0.3">
      <c r="A410" s="324"/>
      <c r="B410" s="420" t="s">
        <v>970</v>
      </c>
      <c r="C410" s="328" t="s">
        <v>115</v>
      </c>
      <c r="E410" s="409">
        <v>7.17</v>
      </c>
      <c r="F410" s="48">
        <f t="shared" si="14"/>
        <v>0</v>
      </c>
      <c r="G410" s="328"/>
      <c r="H410" s="40"/>
      <c r="I410" s="329"/>
      <c r="J410" s="48"/>
    </row>
    <row r="411" spans="1:10" ht="14.4" x14ac:dyDescent="0.3">
      <c r="A411" s="324"/>
      <c r="B411" s="324" t="s">
        <v>484</v>
      </c>
      <c r="C411" s="328" t="s">
        <v>115</v>
      </c>
      <c r="D411" s="40">
        <v>9</v>
      </c>
      <c r="E411" s="409">
        <v>13.2</v>
      </c>
      <c r="F411" s="48">
        <f t="shared" si="14"/>
        <v>118.8</v>
      </c>
      <c r="G411" s="328"/>
      <c r="H411" s="40"/>
      <c r="I411" s="329"/>
      <c r="J411" s="48"/>
    </row>
    <row r="412" spans="1:10" ht="14.4" x14ac:dyDescent="0.3">
      <c r="A412" s="324"/>
      <c r="B412" s="324" t="s">
        <v>485</v>
      </c>
      <c r="C412" s="328" t="s">
        <v>149</v>
      </c>
      <c r="D412" s="40">
        <v>77</v>
      </c>
      <c r="E412" s="409">
        <f>82/6</f>
        <v>13.666666666666666</v>
      </c>
      <c r="F412" s="48">
        <f t="shared" si="14"/>
        <v>1052.3333333333333</v>
      </c>
      <c r="G412" s="328"/>
      <c r="H412" s="40"/>
      <c r="I412" s="329"/>
      <c r="J412" s="48"/>
    </row>
    <row r="413" spans="1:10" ht="14.4" x14ac:dyDescent="0.3">
      <c r="A413" s="324"/>
      <c r="B413" s="420" t="s">
        <v>486</v>
      </c>
      <c r="C413" s="419" t="s">
        <v>115</v>
      </c>
      <c r="D413" s="40">
        <v>4</v>
      </c>
      <c r="E413" s="409">
        <v>6.88</v>
      </c>
      <c r="F413" s="48">
        <f t="shared" si="14"/>
        <v>27.52</v>
      </c>
      <c r="G413" s="419"/>
      <c r="H413" s="40"/>
      <c r="I413" s="329"/>
      <c r="J413" s="48"/>
    </row>
    <row r="414" spans="1:10" ht="14.4" x14ac:dyDescent="0.3">
      <c r="A414" s="324"/>
      <c r="B414" s="420" t="s">
        <v>979</v>
      </c>
      <c r="C414" s="419" t="s">
        <v>149</v>
      </c>
      <c r="D414" s="40">
        <v>6</v>
      </c>
      <c r="E414" s="409">
        <f>47/6</f>
        <v>7.833333333333333</v>
      </c>
      <c r="F414" s="48">
        <f t="shared" si="14"/>
        <v>47</v>
      </c>
      <c r="G414" s="419"/>
      <c r="H414" s="40"/>
      <c r="I414" s="329"/>
      <c r="J414" s="48"/>
    </row>
    <row r="415" spans="1:10" ht="14.4" x14ac:dyDescent="0.3">
      <c r="A415" s="324"/>
      <c r="B415" s="324" t="s">
        <v>487</v>
      </c>
      <c r="C415" s="328" t="s">
        <v>115</v>
      </c>
      <c r="E415" s="326">
        <v>1.4</v>
      </c>
      <c r="F415" s="48">
        <f t="shared" ref="F415:F423" si="15">E415*D415</f>
        <v>0</v>
      </c>
      <c r="G415" s="328"/>
      <c r="H415" s="40"/>
      <c r="I415" s="326"/>
      <c r="J415" s="48"/>
    </row>
    <row r="416" spans="1:10" ht="14.4" x14ac:dyDescent="0.3">
      <c r="A416" s="324"/>
      <c r="B416" s="324" t="s">
        <v>488</v>
      </c>
      <c r="C416" s="328" t="s">
        <v>115</v>
      </c>
      <c r="E416" s="326">
        <v>1.38</v>
      </c>
      <c r="F416" s="48">
        <f t="shared" si="15"/>
        <v>0</v>
      </c>
      <c r="G416" s="328"/>
      <c r="H416" s="40"/>
      <c r="I416" s="326"/>
      <c r="J416" s="48"/>
    </row>
    <row r="417" spans="1:10" ht="14.4" x14ac:dyDescent="0.3">
      <c r="A417" s="324"/>
      <c r="B417" s="324" t="s">
        <v>489</v>
      </c>
      <c r="C417" s="328" t="s">
        <v>115</v>
      </c>
      <c r="E417" s="326">
        <v>1.32</v>
      </c>
      <c r="F417" s="48">
        <f t="shared" si="15"/>
        <v>0</v>
      </c>
      <c r="G417" s="328"/>
      <c r="H417" s="40"/>
      <c r="I417" s="326"/>
      <c r="J417" s="48"/>
    </row>
    <row r="418" spans="1:10" ht="14.4" x14ac:dyDescent="0.3">
      <c r="A418" s="324"/>
      <c r="B418" s="324" t="s">
        <v>490</v>
      </c>
      <c r="C418" s="328" t="s">
        <v>115</v>
      </c>
      <c r="E418" s="326">
        <v>1.24</v>
      </c>
      <c r="F418" s="48">
        <f t="shared" si="15"/>
        <v>0</v>
      </c>
      <c r="G418" s="328"/>
      <c r="H418" s="40"/>
      <c r="I418" s="326"/>
      <c r="J418" s="48"/>
    </row>
    <row r="419" spans="1:10" ht="14.4" x14ac:dyDescent="0.3">
      <c r="A419" s="324"/>
      <c r="B419" s="324" t="s">
        <v>491</v>
      </c>
      <c r="C419" s="328" t="s">
        <v>149</v>
      </c>
      <c r="E419" s="326">
        <v>5.0999999999999996</v>
      </c>
      <c r="F419" s="48">
        <f t="shared" si="15"/>
        <v>0</v>
      </c>
      <c r="G419" s="328"/>
      <c r="H419" s="40"/>
      <c r="I419" s="326"/>
      <c r="J419" s="48"/>
    </row>
    <row r="420" spans="1:10" ht="14.4" x14ac:dyDescent="0.3">
      <c r="A420" s="324"/>
      <c r="B420" s="324"/>
      <c r="C420" s="419"/>
      <c r="E420" s="326"/>
      <c r="F420" s="48">
        <f t="shared" si="15"/>
        <v>0</v>
      </c>
      <c r="G420" s="419"/>
      <c r="H420" s="40"/>
      <c r="I420" s="326"/>
      <c r="J420" s="48"/>
    </row>
    <row r="421" spans="1:10" ht="14.4" x14ac:dyDescent="0.3">
      <c r="A421" s="324"/>
      <c r="B421" s="420" t="s">
        <v>495</v>
      </c>
      <c r="C421" s="419" t="s">
        <v>115</v>
      </c>
      <c r="D421" s="40">
        <v>8</v>
      </c>
      <c r="E421" s="326">
        <v>17.37</v>
      </c>
      <c r="F421" s="48">
        <f t="shared" si="15"/>
        <v>138.96</v>
      </c>
      <c r="G421" s="328"/>
      <c r="H421" s="40"/>
      <c r="I421" s="326"/>
      <c r="J421" s="48"/>
    </row>
    <row r="422" spans="1:10" ht="14.4" x14ac:dyDescent="0.3">
      <c r="A422" s="324"/>
      <c r="B422" s="420" t="s">
        <v>496</v>
      </c>
      <c r="C422" s="328" t="s">
        <v>115</v>
      </c>
      <c r="D422" s="40">
        <v>12</v>
      </c>
      <c r="E422" s="326">
        <v>7.7</v>
      </c>
      <c r="F422" s="48">
        <f t="shared" si="15"/>
        <v>92.4</v>
      </c>
      <c r="G422" s="328"/>
      <c r="H422" s="40"/>
      <c r="I422" s="326"/>
      <c r="J422" s="48"/>
    </row>
    <row r="423" spans="1:10" ht="14.4" x14ac:dyDescent="0.3">
      <c r="A423" s="324"/>
      <c r="B423" s="420" t="s">
        <v>497</v>
      </c>
      <c r="C423" s="328" t="s">
        <v>115</v>
      </c>
      <c r="D423" s="40">
        <v>18</v>
      </c>
      <c r="E423" s="326">
        <v>4.58</v>
      </c>
      <c r="F423" s="48">
        <f t="shared" si="15"/>
        <v>82.44</v>
      </c>
      <c r="G423" s="326"/>
    </row>
    <row r="424" spans="1:10" ht="14.4" x14ac:dyDescent="0.3">
      <c r="A424" s="324"/>
      <c r="B424" s="420"/>
      <c r="C424" s="328"/>
      <c r="E424" s="38"/>
      <c r="F424" s="48">
        <f t="shared" ref="F424:F478" si="16">E424*D424</f>
        <v>0</v>
      </c>
    </row>
    <row r="425" spans="1:10" ht="14.4" x14ac:dyDescent="0.3">
      <c r="A425" s="324"/>
      <c r="B425" s="324"/>
      <c r="C425" s="328"/>
      <c r="E425" s="326"/>
      <c r="F425" s="48">
        <f t="shared" si="16"/>
        <v>0</v>
      </c>
    </row>
    <row r="426" spans="1:10" ht="14.4" x14ac:dyDescent="0.3">
      <c r="A426" s="324"/>
      <c r="B426" s="324"/>
      <c r="C426" s="328"/>
      <c r="E426" s="326"/>
      <c r="F426" s="48">
        <f t="shared" si="16"/>
        <v>0</v>
      </c>
    </row>
    <row r="427" spans="1:10" ht="14.4" x14ac:dyDescent="0.3">
      <c r="A427" s="324"/>
      <c r="B427" s="324"/>
      <c r="C427" s="328"/>
      <c r="E427" s="326"/>
      <c r="F427" s="48">
        <f t="shared" si="16"/>
        <v>0</v>
      </c>
    </row>
    <row r="428" spans="1:10" ht="14.4" x14ac:dyDescent="0.3">
      <c r="A428" s="420" t="s">
        <v>498</v>
      </c>
      <c r="B428" s="324"/>
      <c r="C428" s="328"/>
      <c r="E428" s="326"/>
      <c r="F428" s="48">
        <f t="shared" si="16"/>
        <v>0</v>
      </c>
    </row>
    <row r="429" spans="1:10" ht="14.4" x14ac:dyDescent="0.3">
      <c r="A429" s="324"/>
      <c r="B429" s="324" t="s">
        <v>499</v>
      </c>
      <c r="C429" s="328" t="s">
        <v>115</v>
      </c>
      <c r="E429" s="326">
        <v>13.5</v>
      </c>
      <c r="F429" s="48">
        <f t="shared" si="16"/>
        <v>0</v>
      </c>
      <c r="G429" s="328"/>
      <c r="H429" s="40"/>
      <c r="I429" s="326"/>
    </row>
    <row r="430" spans="1:10" ht="14.4" x14ac:dyDescent="0.3">
      <c r="A430" s="324"/>
      <c r="B430" s="324" t="s">
        <v>500</v>
      </c>
      <c r="C430" s="328" t="s">
        <v>115</v>
      </c>
      <c r="E430" s="326">
        <v>13.5</v>
      </c>
      <c r="F430" s="48">
        <f t="shared" si="16"/>
        <v>0</v>
      </c>
      <c r="G430" s="328"/>
      <c r="H430" s="40"/>
      <c r="I430" s="326"/>
    </row>
    <row r="431" spans="1:10" ht="14.4" x14ac:dyDescent="0.3">
      <c r="A431" s="324"/>
      <c r="B431" s="324" t="s">
        <v>501</v>
      </c>
      <c r="C431" s="328" t="s">
        <v>115</v>
      </c>
      <c r="E431" s="326">
        <v>9.5</v>
      </c>
      <c r="F431" s="48">
        <f t="shared" si="16"/>
        <v>0</v>
      </c>
      <c r="G431" s="328"/>
      <c r="H431" s="40"/>
      <c r="I431" s="326"/>
    </row>
    <row r="432" spans="1:10" ht="14.4" x14ac:dyDescent="0.3">
      <c r="A432" s="324"/>
      <c r="B432" s="324" t="s">
        <v>502</v>
      </c>
      <c r="C432" s="328" t="s">
        <v>115</v>
      </c>
      <c r="E432" s="326">
        <v>18.5</v>
      </c>
      <c r="F432" s="48">
        <f t="shared" si="16"/>
        <v>0</v>
      </c>
      <c r="G432" s="328"/>
      <c r="H432" s="40"/>
      <c r="I432" s="326"/>
    </row>
    <row r="433" spans="1:9" ht="14.4" x14ac:dyDescent="0.3">
      <c r="A433" s="324"/>
      <c r="B433" s="324" t="s">
        <v>503</v>
      </c>
      <c r="C433" s="328" t="s">
        <v>115</v>
      </c>
      <c r="E433" s="326">
        <v>18.5</v>
      </c>
      <c r="F433" s="48">
        <f t="shared" si="16"/>
        <v>0</v>
      </c>
      <c r="G433" s="328"/>
      <c r="H433" s="40"/>
      <c r="I433" s="326"/>
    </row>
    <row r="434" spans="1:9" ht="14.4" x14ac:dyDescent="0.3">
      <c r="A434" s="324"/>
      <c r="B434" s="324" t="s">
        <v>504</v>
      </c>
      <c r="C434" s="328" t="s">
        <v>115</v>
      </c>
      <c r="E434" s="326">
        <v>6</v>
      </c>
      <c r="F434" s="48">
        <f t="shared" si="16"/>
        <v>0</v>
      </c>
      <c r="G434" s="328"/>
      <c r="H434" s="40"/>
      <c r="I434" s="326"/>
    </row>
    <row r="435" spans="1:9" ht="14.4" x14ac:dyDescent="0.3">
      <c r="A435" s="324"/>
      <c r="B435" s="324" t="s">
        <v>505</v>
      </c>
      <c r="C435" s="328" t="s">
        <v>115</v>
      </c>
      <c r="E435" s="326">
        <v>5.5</v>
      </c>
      <c r="F435" s="48">
        <f t="shared" si="16"/>
        <v>0</v>
      </c>
      <c r="G435" s="328"/>
      <c r="H435" s="40"/>
      <c r="I435" s="326"/>
    </row>
    <row r="436" spans="1:9" ht="14.4" x14ac:dyDescent="0.3">
      <c r="A436" s="324"/>
      <c r="B436" s="324" t="s">
        <v>506</v>
      </c>
      <c r="C436" s="328" t="s">
        <v>115</v>
      </c>
      <c r="E436" s="326">
        <v>17.5</v>
      </c>
      <c r="F436" s="48">
        <f t="shared" si="16"/>
        <v>0</v>
      </c>
      <c r="G436" s="328"/>
      <c r="H436" s="40"/>
      <c r="I436" s="326"/>
    </row>
    <row r="437" spans="1:9" ht="14.4" x14ac:dyDescent="0.3">
      <c r="A437" s="324"/>
      <c r="B437" s="324" t="s">
        <v>507</v>
      </c>
      <c r="C437" s="328" t="s">
        <v>115</v>
      </c>
      <c r="E437" s="326">
        <v>16.5</v>
      </c>
      <c r="F437" s="48">
        <f t="shared" si="16"/>
        <v>0</v>
      </c>
      <c r="G437" s="328"/>
      <c r="H437" s="40"/>
      <c r="I437" s="326"/>
    </row>
    <row r="438" spans="1:9" ht="14.4" x14ac:dyDescent="0.3">
      <c r="A438" s="324"/>
      <c r="B438" s="324" t="s">
        <v>508</v>
      </c>
      <c r="C438" s="328" t="s">
        <v>115</v>
      </c>
      <c r="E438" s="326">
        <v>2.5</v>
      </c>
      <c r="F438" s="48">
        <f t="shared" si="16"/>
        <v>0</v>
      </c>
      <c r="G438" s="328"/>
      <c r="H438" s="40"/>
      <c r="I438" s="326"/>
    </row>
    <row r="439" spans="1:9" ht="14.4" x14ac:dyDescent="0.3">
      <c r="A439" s="324"/>
      <c r="B439" s="324" t="s">
        <v>509</v>
      </c>
      <c r="C439" s="328" t="s">
        <v>115</v>
      </c>
      <c r="E439" s="326">
        <v>43.5</v>
      </c>
      <c r="F439" s="48">
        <f t="shared" si="16"/>
        <v>0</v>
      </c>
      <c r="G439" s="328"/>
      <c r="H439" s="40"/>
      <c r="I439" s="326"/>
    </row>
    <row r="440" spans="1:9" ht="14.4" x14ac:dyDescent="0.3">
      <c r="A440" s="324"/>
      <c r="B440" s="324" t="s">
        <v>510</v>
      </c>
      <c r="C440" s="328" t="s">
        <v>115</v>
      </c>
      <c r="E440" s="326">
        <v>43.5</v>
      </c>
      <c r="F440" s="48">
        <f t="shared" si="16"/>
        <v>0</v>
      </c>
      <c r="G440" s="328"/>
      <c r="H440" s="40"/>
      <c r="I440" s="326"/>
    </row>
    <row r="441" spans="1:9" ht="14.4" x14ac:dyDescent="0.3">
      <c r="A441" s="324"/>
      <c r="B441" s="324" t="s">
        <v>511</v>
      </c>
      <c r="C441" s="328" t="s">
        <v>115</v>
      </c>
      <c r="E441" s="326">
        <v>45.5</v>
      </c>
      <c r="F441" s="48">
        <f t="shared" si="16"/>
        <v>0</v>
      </c>
      <c r="G441" s="328"/>
      <c r="H441" s="40"/>
      <c r="I441" s="326"/>
    </row>
    <row r="442" spans="1:9" ht="14.4" x14ac:dyDescent="0.3">
      <c r="A442" s="324"/>
      <c r="B442" s="324" t="s">
        <v>512</v>
      </c>
      <c r="C442" s="328" t="s">
        <v>115</v>
      </c>
      <c r="E442" s="326">
        <v>76</v>
      </c>
      <c r="F442" s="48">
        <f t="shared" si="16"/>
        <v>0</v>
      </c>
      <c r="G442" s="328"/>
      <c r="H442" s="40"/>
      <c r="I442" s="326"/>
    </row>
    <row r="443" spans="1:9" ht="14.4" x14ac:dyDescent="0.3">
      <c r="A443" s="324"/>
      <c r="B443" s="324" t="s">
        <v>513</v>
      </c>
      <c r="C443" s="328" t="s">
        <v>115</v>
      </c>
      <c r="E443" s="326">
        <v>11.5</v>
      </c>
      <c r="F443" s="48">
        <f t="shared" si="16"/>
        <v>0</v>
      </c>
      <c r="G443" s="328"/>
      <c r="H443" s="40"/>
      <c r="I443" s="326"/>
    </row>
    <row r="444" spans="1:9" ht="14.4" x14ac:dyDescent="0.3">
      <c r="A444" s="324"/>
      <c r="B444" s="324" t="s">
        <v>514</v>
      </c>
      <c r="C444" s="328" t="s">
        <v>115</v>
      </c>
      <c r="E444" s="326">
        <v>11.5</v>
      </c>
      <c r="F444" s="48">
        <f t="shared" si="16"/>
        <v>0</v>
      </c>
      <c r="G444" s="328"/>
      <c r="H444" s="40"/>
      <c r="I444" s="326"/>
    </row>
    <row r="445" spans="1:9" ht="14.4" x14ac:dyDescent="0.3">
      <c r="A445" s="324"/>
      <c r="B445" s="324" t="s">
        <v>515</v>
      </c>
      <c r="C445" s="328" t="s">
        <v>115</v>
      </c>
      <c r="E445" s="326">
        <v>12</v>
      </c>
      <c r="F445" s="48">
        <f t="shared" si="16"/>
        <v>0</v>
      </c>
      <c r="G445" s="328"/>
      <c r="H445" s="40"/>
      <c r="I445" s="326"/>
    </row>
    <row r="446" spans="1:9" ht="14.4" x14ac:dyDescent="0.3">
      <c r="A446" s="324"/>
      <c r="B446" s="324" t="s">
        <v>516</v>
      </c>
      <c r="C446" s="328" t="s">
        <v>115</v>
      </c>
      <c r="E446" s="326">
        <v>18.5</v>
      </c>
      <c r="F446" s="48">
        <f t="shared" si="16"/>
        <v>0</v>
      </c>
      <c r="G446" s="328"/>
      <c r="H446" s="40"/>
      <c r="I446" s="326"/>
    </row>
    <row r="447" spans="1:9" ht="14.4" x14ac:dyDescent="0.3">
      <c r="A447" s="324"/>
      <c r="B447" s="324" t="s">
        <v>517</v>
      </c>
      <c r="C447" s="328" t="s">
        <v>115</v>
      </c>
      <c r="E447" s="326">
        <v>19.5</v>
      </c>
      <c r="F447" s="48">
        <f t="shared" si="16"/>
        <v>0</v>
      </c>
      <c r="G447" s="328"/>
      <c r="H447" s="40"/>
      <c r="I447" s="326"/>
    </row>
    <row r="448" spans="1:9" ht="14.4" x14ac:dyDescent="0.3">
      <c r="A448" s="324"/>
      <c r="B448" s="324" t="s">
        <v>518</v>
      </c>
      <c r="C448" s="328" t="s">
        <v>115</v>
      </c>
      <c r="E448" s="326">
        <v>4.5</v>
      </c>
      <c r="F448" s="48">
        <f t="shared" si="16"/>
        <v>0</v>
      </c>
      <c r="G448" s="328"/>
      <c r="H448" s="40"/>
      <c r="I448" s="326"/>
    </row>
    <row r="449" spans="1:9" ht="14.4" x14ac:dyDescent="0.3">
      <c r="A449" s="324"/>
      <c r="B449" s="324" t="s">
        <v>519</v>
      </c>
      <c r="C449" s="328" t="s">
        <v>115</v>
      </c>
      <c r="E449" s="326">
        <v>10.5</v>
      </c>
      <c r="F449" s="48">
        <f t="shared" si="16"/>
        <v>0</v>
      </c>
      <c r="G449" s="328"/>
      <c r="H449" s="40"/>
      <c r="I449" s="326"/>
    </row>
    <row r="450" spans="1:9" ht="14.4" x14ac:dyDescent="0.3">
      <c r="A450" s="324"/>
      <c r="B450" s="324" t="s">
        <v>520</v>
      </c>
      <c r="C450" s="328" t="s">
        <v>115</v>
      </c>
      <c r="E450" s="326">
        <v>14.5</v>
      </c>
      <c r="F450" s="48">
        <f t="shared" si="16"/>
        <v>0</v>
      </c>
      <c r="G450" s="328"/>
      <c r="H450" s="40"/>
      <c r="I450" s="326"/>
    </row>
    <row r="451" spans="1:9" ht="14.4" x14ac:dyDescent="0.3">
      <c r="A451" s="324"/>
      <c r="B451" s="324" t="s">
        <v>521</v>
      </c>
      <c r="C451" s="328" t="s">
        <v>115</v>
      </c>
      <c r="E451" s="326">
        <v>28.5</v>
      </c>
      <c r="F451" s="48">
        <f t="shared" si="16"/>
        <v>0</v>
      </c>
      <c r="G451" s="328"/>
      <c r="H451" s="40"/>
      <c r="I451" s="326"/>
    </row>
    <row r="452" spans="1:9" ht="14.4" x14ac:dyDescent="0.3">
      <c r="A452" s="324"/>
      <c r="B452" s="324" t="s">
        <v>522</v>
      </c>
      <c r="C452" s="328" t="s">
        <v>115</v>
      </c>
      <c r="E452" s="326">
        <v>29.5</v>
      </c>
      <c r="F452" s="48">
        <f t="shared" si="16"/>
        <v>0</v>
      </c>
      <c r="G452" s="328"/>
      <c r="H452" s="40"/>
      <c r="I452" s="326"/>
    </row>
    <row r="453" spans="1:9" ht="14.4" x14ac:dyDescent="0.3">
      <c r="A453" s="324"/>
      <c r="B453" s="324" t="s">
        <v>523</v>
      </c>
      <c r="C453" s="328" t="s">
        <v>115</v>
      </c>
      <c r="E453" s="326">
        <v>36</v>
      </c>
      <c r="F453" s="48">
        <f t="shared" si="16"/>
        <v>0</v>
      </c>
      <c r="G453" s="328"/>
      <c r="H453" s="40"/>
      <c r="I453" s="326"/>
    </row>
    <row r="454" spans="1:9" ht="14.4" x14ac:dyDescent="0.3">
      <c r="A454" s="324"/>
      <c r="B454" s="324" t="s">
        <v>524</v>
      </c>
      <c r="C454" s="328" t="s">
        <v>115</v>
      </c>
      <c r="E454" s="326">
        <v>54</v>
      </c>
      <c r="F454" s="48">
        <f t="shared" si="16"/>
        <v>0</v>
      </c>
      <c r="G454" s="328"/>
      <c r="H454" s="40"/>
      <c r="I454" s="326"/>
    </row>
    <row r="455" spans="1:9" ht="14.4" x14ac:dyDescent="0.3">
      <c r="A455" s="324"/>
      <c r="B455" s="324" t="s">
        <v>525</v>
      </c>
      <c r="C455" s="328" t="s">
        <v>115</v>
      </c>
      <c r="E455" s="326">
        <v>10.5</v>
      </c>
      <c r="F455" s="48">
        <f t="shared" si="16"/>
        <v>0</v>
      </c>
      <c r="G455" s="328"/>
      <c r="H455" s="40"/>
      <c r="I455" s="326"/>
    </row>
    <row r="456" spans="1:9" ht="14.4" x14ac:dyDescent="0.3">
      <c r="A456" s="324"/>
      <c r="B456" s="324" t="s">
        <v>526</v>
      </c>
      <c r="C456" s="328" t="s">
        <v>115</v>
      </c>
      <c r="E456" s="326">
        <v>10</v>
      </c>
      <c r="F456" s="48">
        <f t="shared" si="16"/>
        <v>0</v>
      </c>
      <c r="G456" s="328"/>
      <c r="H456" s="40"/>
      <c r="I456" s="326"/>
    </row>
    <row r="457" spans="1:9" ht="14.4" x14ac:dyDescent="0.3">
      <c r="A457" s="324"/>
      <c r="B457" s="324" t="s">
        <v>527</v>
      </c>
      <c r="C457" s="328" t="s">
        <v>115</v>
      </c>
      <c r="E457" s="326">
        <v>5.5</v>
      </c>
      <c r="F457" s="48">
        <f t="shared" si="16"/>
        <v>0</v>
      </c>
      <c r="G457" s="328"/>
      <c r="H457" s="40"/>
      <c r="I457" s="326"/>
    </row>
    <row r="458" spans="1:9" ht="14.4" x14ac:dyDescent="0.3">
      <c r="A458" s="324"/>
      <c r="B458" s="324" t="s">
        <v>528</v>
      </c>
      <c r="C458" s="328" t="s">
        <v>115</v>
      </c>
      <c r="E458" s="326">
        <v>18</v>
      </c>
      <c r="F458" s="48">
        <f t="shared" si="16"/>
        <v>0</v>
      </c>
      <c r="G458" s="328"/>
      <c r="H458" s="40"/>
      <c r="I458" s="326"/>
    </row>
    <row r="459" spans="1:9" ht="14.4" x14ac:dyDescent="0.3">
      <c r="A459" s="324"/>
      <c r="B459" s="324" t="s">
        <v>529</v>
      </c>
      <c r="C459" s="328" t="s">
        <v>115</v>
      </c>
      <c r="E459" s="326">
        <v>4.5</v>
      </c>
      <c r="F459" s="48">
        <f t="shared" si="16"/>
        <v>0</v>
      </c>
      <c r="G459" s="328"/>
      <c r="H459" s="40"/>
      <c r="I459" s="326"/>
    </row>
    <row r="460" spans="1:9" ht="14.4" x14ac:dyDescent="0.3">
      <c r="A460" s="324"/>
      <c r="B460" s="324" t="s">
        <v>530</v>
      </c>
      <c r="C460" s="328" t="s">
        <v>115</v>
      </c>
      <c r="E460" s="326">
        <v>6.5</v>
      </c>
      <c r="F460" s="48">
        <f t="shared" si="16"/>
        <v>0</v>
      </c>
      <c r="G460" s="328"/>
      <c r="H460" s="40"/>
      <c r="I460" s="326"/>
    </row>
    <row r="461" spans="1:9" ht="14.4" x14ac:dyDescent="0.3">
      <c r="A461" s="324"/>
      <c r="B461" s="324" t="s">
        <v>531</v>
      </c>
      <c r="C461" s="328" t="s">
        <v>115</v>
      </c>
      <c r="E461" s="326">
        <v>25.5</v>
      </c>
      <c r="F461" s="48">
        <f t="shared" si="16"/>
        <v>0</v>
      </c>
      <c r="G461" s="328"/>
      <c r="H461" s="40"/>
      <c r="I461" s="326"/>
    </row>
    <row r="462" spans="1:9" ht="14.4" x14ac:dyDescent="0.3">
      <c r="A462" s="324"/>
      <c r="B462" s="324" t="s">
        <v>532</v>
      </c>
      <c r="C462" s="328" t="s">
        <v>115</v>
      </c>
      <c r="E462" s="326">
        <v>22.5</v>
      </c>
      <c r="F462" s="48">
        <f t="shared" si="16"/>
        <v>0</v>
      </c>
      <c r="G462" s="328"/>
      <c r="H462" s="40"/>
      <c r="I462" s="326"/>
    </row>
    <row r="463" spans="1:9" ht="14.4" x14ac:dyDescent="0.3">
      <c r="A463" s="324"/>
      <c r="B463" s="324" t="s">
        <v>533</v>
      </c>
      <c r="C463" s="328" t="s">
        <v>115</v>
      </c>
      <c r="E463" s="326">
        <v>8.5</v>
      </c>
      <c r="F463" s="48">
        <f t="shared" si="16"/>
        <v>0</v>
      </c>
      <c r="G463" s="328"/>
      <c r="H463" s="40"/>
      <c r="I463" s="326"/>
    </row>
    <row r="464" spans="1:9" ht="14.4" x14ac:dyDescent="0.3">
      <c r="A464" s="324"/>
      <c r="B464" s="324" t="s">
        <v>534</v>
      </c>
      <c r="C464" s="328" t="s">
        <v>115</v>
      </c>
      <c r="E464" s="326">
        <v>6.5</v>
      </c>
      <c r="F464" s="48">
        <f t="shared" si="16"/>
        <v>0</v>
      </c>
      <c r="G464" s="328"/>
      <c r="H464" s="40"/>
      <c r="I464" s="326"/>
    </row>
    <row r="465" spans="1:9" ht="14.4" x14ac:dyDescent="0.3">
      <c r="A465" s="324"/>
      <c r="B465" s="324" t="s">
        <v>535</v>
      </c>
      <c r="C465" s="328" t="s">
        <v>115</v>
      </c>
      <c r="E465" s="326">
        <v>10.5</v>
      </c>
      <c r="F465" s="48">
        <f t="shared" si="16"/>
        <v>0</v>
      </c>
      <c r="G465" s="328"/>
      <c r="H465" s="40"/>
      <c r="I465" s="326"/>
    </row>
    <row r="466" spans="1:9" ht="14.4" x14ac:dyDescent="0.3">
      <c r="A466" s="324"/>
      <c r="B466" s="324" t="s">
        <v>536</v>
      </c>
      <c r="C466" s="328" t="s">
        <v>115</v>
      </c>
      <c r="E466" s="326">
        <v>0</v>
      </c>
      <c r="F466" s="48">
        <f t="shared" si="16"/>
        <v>0</v>
      </c>
      <c r="G466" s="328"/>
      <c r="H466" s="40"/>
      <c r="I466" s="326"/>
    </row>
    <row r="467" spans="1:9" ht="14.4" x14ac:dyDescent="0.3">
      <c r="A467" s="324"/>
      <c r="B467" s="324" t="s">
        <v>537</v>
      </c>
      <c r="C467" s="328" t="s">
        <v>115</v>
      </c>
      <c r="E467" s="326">
        <v>4.5</v>
      </c>
      <c r="F467" s="48">
        <f t="shared" si="16"/>
        <v>0</v>
      </c>
      <c r="G467" s="328"/>
      <c r="H467" s="40"/>
      <c r="I467" s="326"/>
    </row>
    <row r="468" spans="1:9" ht="14.4" x14ac:dyDescent="0.3">
      <c r="A468" s="324"/>
      <c r="B468" s="324" t="s">
        <v>538</v>
      </c>
      <c r="C468" s="328" t="s">
        <v>115</v>
      </c>
      <c r="E468" s="326">
        <v>4</v>
      </c>
      <c r="F468" s="48">
        <f t="shared" si="16"/>
        <v>0</v>
      </c>
      <c r="G468" s="328"/>
      <c r="H468" s="40"/>
      <c r="I468" s="326"/>
    </row>
    <row r="469" spans="1:9" ht="14.4" x14ac:dyDescent="0.3">
      <c r="A469" s="324"/>
      <c r="B469" s="324" t="s">
        <v>539</v>
      </c>
      <c r="C469" s="328" t="s">
        <v>115</v>
      </c>
      <c r="E469" s="326">
        <v>17</v>
      </c>
      <c r="F469" s="48">
        <f t="shared" si="16"/>
        <v>0</v>
      </c>
      <c r="G469" s="328"/>
      <c r="H469" s="40"/>
      <c r="I469" s="326"/>
    </row>
    <row r="470" spans="1:9" ht="14.4" x14ac:dyDescent="0.3">
      <c r="A470" s="324"/>
      <c r="B470" s="324" t="s">
        <v>540</v>
      </c>
      <c r="C470" s="328" t="s">
        <v>115</v>
      </c>
      <c r="E470" s="326">
        <v>17.5</v>
      </c>
      <c r="F470" s="48">
        <f t="shared" si="16"/>
        <v>0</v>
      </c>
      <c r="G470" s="328"/>
      <c r="H470" s="40"/>
      <c r="I470" s="326"/>
    </row>
    <row r="471" spans="1:9" ht="14.4" x14ac:dyDescent="0.3">
      <c r="A471" s="324"/>
      <c r="B471" s="324" t="s">
        <v>541</v>
      </c>
      <c r="C471" s="328" t="s">
        <v>115</v>
      </c>
      <c r="E471" s="326">
        <v>4.5</v>
      </c>
      <c r="F471" s="48">
        <f t="shared" si="16"/>
        <v>0</v>
      </c>
      <c r="G471" s="328"/>
      <c r="H471" s="40"/>
      <c r="I471" s="326"/>
    </row>
    <row r="472" spans="1:9" ht="14.4" x14ac:dyDescent="0.3">
      <c r="A472" s="324"/>
      <c r="B472" s="324" t="s">
        <v>542</v>
      </c>
      <c r="C472" s="328" t="s">
        <v>115</v>
      </c>
      <c r="E472" s="326">
        <v>2</v>
      </c>
      <c r="F472" s="48">
        <f t="shared" si="16"/>
        <v>0</v>
      </c>
      <c r="G472" s="328"/>
      <c r="H472" s="40"/>
      <c r="I472" s="326"/>
    </row>
    <row r="473" spans="1:9" ht="14.4" x14ac:dyDescent="0.3">
      <c r="A473" s="324"/>
      <c r="B473" s="324" t="s">
        <v>543</v>
      </c>
      <c r="C473" s="328" t="s">
        <v>115</v>
      </c>
      <c r="E473" s="326">
        <v>8.5</v>
      </c>
      <c r="F473" s="48">
        <f t="shared" si="16"/>
        <v>0</v>
      </c>
      <c r="G473" s="328"/>
      <c r="H473" s="40"/>
      <c r="I473" s="326"/>
    </row>
    <row r="474" spans="1:9" ht="14.4" x14ac:dyDescent="0.3">
      <c r="A474" s="324"/>
      <c r="B474" s="324" t="s">
        <v>544</v>
      </c>
      <c r="C474" s="328" t="s">
        <v>115</v>
      </c>
      <c r="E474" s="326">
        <v>4</v>
      </c>
      <c r="F474" s="48">
        <f t="shared" si="16"/>
        <v>0</v>
      </c>
      <c r="G474" s="328"/>
      <c r="H474" s="40"/>
      <c r="I474" s="326"/>
    </row>
    <row r="475" spans="1:9" ht="14.4" x14ac:dyDescent="0.3">
      <c r="A475" s="420" t="s">
        <v>498</v>
      </c>
      <c r="B475" s="324"/>
      <c r="C475" s="328"/>
      <c r="E475" s="326"/>
      <c r="F475" s="48">
        <f t="shared" si="16"/>
        <v>0</v>
      </c>
    </row>
    <row r="476" spans="1:9" ht="14.4" x14ac:dyDescent="0.3">
      <c r="A476" s="324"/>
      <c r="B476" s="324" t="s">
        <v>545</v>
      </c>
      <c r="C476" s="328" t="s">
        <v>115</v>
      </c>
      <c r="E476" s="326">
        <v>137</v>
      </c>
      <c r="F476" s="48">
        <f t="shared" si="16"/>
        <v>0</v>
      </c>
      <c r="G476" s="328"/>
      <c r="H476" s="40"/>
      <c r="I476" s="326"/>
    </row>
    <row r="477" spans="1:9" ht="14.4" x14ac:dyDescent="0.3">
      <c r="A477" s="324"/>
      <c r="B477" s="324" t="s">
        <v>546</v>
      </c>
      <c r="C477" s="328" t="s">
        <v>115</v>
      </c>
      <c r="E477" s="326">
        <v>139.5</v>
      </c>
      <c r="F477" s="48">
        <f t="shared" si="16"/>
        <v>0</v>
      </c>
      <c r="G477" s="328"/>
      <c r="H477" s="40"/>
      <c r="I477" s="326"/>
    </row>
    <row r="478" spans="1:9" ht="14.4" x14ac:dyDescent="0.3">
      <c r="A478" s="324"/>
      <c r="B478" s="324" t="s">
        <v>547</v>
      </c>
      <c r="C478" s="328" t="s">
        <v>115</v>
      </c>
      <c r="E478" s="326">
        <v>183</v>
      </c>
      <c r="F478" s="48">
        <f t="shared" si="16"/>
        <v>0</v>
      </c>
      <c r="G478" s="328"/>
      <c r="H478" s="40"/>
      <c r="I478" s="326"/>
    </row>
    <row r="479" spans="1:9" ht="14.4" x14ac:dyDescent="0.3">
      <c r="A479" s="324"/>
      <c r="B479" s="324" t="s">
        <v>548</v>
      </c>
      <c r="C479" s="328" t="s">
        <v>115</v>
      </c>
      <c r="E479" s="326">
        <v>184.5</v>
      </c>
      <c r="F479" s="48">
        <f t="shared" ref="F479:F542" si="17">E479*D479</f>
        <v>0</v>
      </c>
      <c r="G479" s="328"/>
      <c r="H479" s="40"/>
      <c r="I479" s="326"/>
    </row>
    <row r="480" spans="1:9" ht="14.4" x14ac:dyDescent="0.3">
      <c r="A480" s="324"/>
      <c r="B480" s="324" t="s">
        <v>549</v>
      </c>
      <c r="C480" s="328" t="s">
        <v>115</v>
      </c>
      <c r="E480" s="326">
        <v>56</v>
      </c>
      <c r="F480" s="48">
        <f t="shared" si="17"/>
        <v>0</v>
      </c>
      <c r="G480" s="328"/>
      <c r="H480" s="40"/>
      <c r="I480" s="326"/>
    </row>
    <row r="481" spans="1:9" ht="14.4" x14ac:dyDescent="0.3">
      <c r="A481" s="324"/>
      <c r="B481" s="324" t="s">
        <v>550</v>
      </c>
      <c r="C481" s="328" t="s">
        <v>115</v>
      </c>
      <c r="E481" s="326">
        <v>103</v>
      </c>
      <c r="F481" s="48">
        <f t="shared" si="17"/>
        <v>0</v>
      </c>
      <c r="G481" s="328"/>
      <c r="H481" s="40"/>
      <c r="I481" s="326"/>
    </row>
    <row r="482" spans="1:9" ht="14.4" x14ac:dyDescent="0.3">
      <c r="A482" s="324"/>
      <c r="B482" s="324" t="s">
        <v>551</v>
      </c>
      <c r="C482" s="328" t="s">
        <v>115</v>
      </c>
      <c r="E482" s="326">
        <v>95</v>
      </c>
      <c r="F482" s="48">
        <f t="shared" si="17"/>
        <v>0</v>
      </c>
      <c r="G482" s="328"/>
      <c r="H482" s="40"/>
      <c r="I482" s="326"/>
    </row>
    <row r="483" spans="1:9" ht="14.4" x14ac:dyDescent="0.3">
      <c r="A483" s="324"/>
      <c r="B483" s="324" t="s">
        <v>552</v>
      </c>
      <c r="C483" s="328" t="s">
        <v>115</v>
      </c>
      <c r="E483" s="326">
        <v>99.5</v>
      </c>
      <c r="F483" s="48">
        <f t="shared" si="17"/>
        <v>0</v>
      </c>
      <c r="G483" s="328"/>
      <c r="H483" s="40"/>
      <c r="I483" s="326"/>
    </row>
    <row r="484" spans="1:9" ht="14.4" x14ac:dyDescent="0.3">
      <c r="A484" s="324"/>
      <c r="B484" s="420" t="s">
        <v>558</v>
      </c>
      <c r="C484" s="328" t="s">
        <v>115</v>
      </c>
      <c r="D484" s="40">
        <v>4</v>
      </c>
      <c r="E484" s="326">
        <v>45.02</v>
      </c>
      <c r="F484" s="48">
        <f t="shared" si="17"/>
        <v>180.08</v>
      </c>
      <c r="G484" s="328"/>
      <c r="H484" s="40"/>
      <c r="I484" s="326"/>
    </row>
    <row r="485" spans="1:9" ht="14.4" x14ac:dyDescent="0.3">
      <c r="A485" s="324"/>
      <c r="B485" s="324" t="s">
        <v>559</v>
      </c>
      <c r="C485" s="328" t="s">
        <v>115</v>
      </c>
      <c r="E485" s="326">
        <v>33</v>
      </c>
      <c r="F485" s="48">
        <f t="shared" si="17"/>
        <v>0</v>
      </c>
      <c r="G485" s="328"/>
      <c r="H485" s="40"/>
      <c r="I485" s="326"/>
    </row>
    <row r="486" spans="1:9" ht="14.4" x14ac:dyDescent="0.3">
      <c r="A486" s="324"/>
      <c r="B486" s="420" t="s">
        <v>560</v>
      </c>
      <c r="C486" s="328" t="s">
        <v>115</v>
      </c>
      <c r="D486" s="40">
        <v>9</v>
      </c>
      <c r="E486" s="326">
        <v>56.35</v>
      </c>
      <c r="F486" s="48">
        <f t="shared" si="17"/>
        <v>507.15000000000003</v>
      </c>
      <c r="G486" s="328"/>
      <c r="H486" s="40"/>
      <c r="I486" s="326"/>
    </row>
    <row r="487" spans="1:9" ht="14.4" x14ac:dyDescent="0.3">
      <c r="A487" s="324"/>
      <c r="B487" s="324" t="s">
        <v>561</v>
      </c>
      <c r="C487" s="328" t="s">
        <v>115</v>
      </c>
      <c r="E487" s="326">
        <v>61</v>
      </c>
      <c r="F487" s="48">
        <f t="shared" si="17"/>
        <v>0</v>
      </c>
      <c r="G487" s="328"/>
      <c r="H487" s="40"/>
      <c r="I487" s="326"/>
    </row>
    <row r="488" spans="1:9" ht="14.4" x14ac:dyDescent="0.3">
      <c r="A488" s="324"/>
      <c r="B488" s="324" t="s">
        <v>562</v>
      </c>
      <c r="C488" s="328" t="s">
        <v>115</v>
      </c>
      <c r="E488" s="326">
        <v>65</v>
      </c>
      <c r="F488" s="48">
        <f t="shared" si="17"/>
        <v>0</v>
      </c>
      <c r="G488" s="328"/>
      <c r="H488" s="40"/>
      <c r="I488" s="326"/>
    </row>
    <row r="489" spans="1:9" ht="14.4" x14ac:dyDescent="0.3">
      <c r="A489" s="324"/>
      <c r="B489" s="324" t="s">
        <v>563</v>
      </c>
      <c r="C489" s="328" t="s">
        <v>115</v>
      </c>
      <c r="E489" s="326">
        <v>65</v>
      </c>
      <c r="F489" s="48">
        <f t="shared" si="17"/>
        <v>0</v>
      </c>
      <c r="G489" s="328"/>
      <c r="H489" s="40"/>
      <c r="I489" s="326"/>
    </row>
    <row r="490" spans="1:9" ht="14.4" x14ac:dyDescent="0.3">
      <c r="A490" s="324"/>
      <c r="B490" s="324" t="s">
        <v>564</v>
      </c>
      <c r="C490" s="328" t="s">
        <v>115</v>
      </c>
      <c r="E490" s="326">
        <v>65</v>
      </c>
      <c r="F490" s="48">
        <f t="shared" si="17"/>
        <v>0</v>
      </c>
      <c r="G490" s="328"/>
      <c r="H490" s="40"/>
      <c r="I490" s="326"/>
    </row>
    <row r="491" spans="1:9" ht="14.4" x14ac:dyDescent="0.3">
      <c r="A491" s="324"/>
      <c r="B491" s="324" t="s">
        <v>565</v>
      </c>
      <c r="C491" s="328" t="s">
        <v>115</v>
      </c>
      <c r="E491" s="326">
        <v>65</v>
      </c>
      <c r="F491" s="48">
        <f t="shared" si="17"/>
        <v>0</v>
      </c>
      <c r="G491" s="328"/>
      <c r="H491" s="40"/>
      <c r="I491" s="326"/>
    </row>
    <row r="492" spans="1:9" ht="14.4" x14ac:dyDescent="0.3">
      <c r="A492" s="324"/>
      <c r="B492" s="324" t="s">
        <v>566</v>
      </c>
      <c r="C492" s="328" t="s">
        <v>115</v>
      </c>
      <c r="E492" s="326">
        <v>45</v>
      </c>
      <c r="F492" s="48">
        <f t="shared" si="17"/>
        <v>0</v>
      </c>
      <c r="G492" s="328"/>
      <c r="H492" s="40"/>
      <c r="I492" s="326"/>
    </row>
    <row r="493" spans="1:9" ht="14.4" x14ac:dyDescent="0.3">
      <c r="A493" s="324"/>
      <c r="B493" s="324" t="s">
        <v>567</v>
      </c>
      <c r="C493" s="328" t="s">
        <v>115</v>
      </c>
      <c r="E493" s="326">
        <v>55</v>
      </c>
      <c r="F493" s="48">
        <f t="shared" si="17"/>
        <v>0</v>
      </c>
      <c r="G493" s="328"/>
      <c r="H493" s="40"/>
      <c r="I493" s="326"/>
    </row>
    <row r="494" spans="1:9" ht="14.4" x14ac:dyDescent="0.3">
      <c r="A494" s="324"/>
      <c r="B494" s="324" t="s">
        <v>568</v>
      </c>
      <c r="C494" s="328" t="s">
        <v>115</v>
      </c>
      <c r="E494" s="326">
        <v>55</v>
      </c>
      <c r="F494" s="48">
        <f t="shared" si="17"/>
        <v>0</v>
      </c>
      <c r="G494" s="328"/>
      <c r="H494" s="40"/>
      <c r="I494" s="326"/>
    </row>
    <row r="495" spans="1:9" ht="14.4" x14ac:dyDescent="0.3">
      <c r="A495" s="324"/>
      <c r="B495" s="420" t="s">
        <v>569</v>
      </c>
      <c r="C495" s="328" t="s">
        <v>115</v>
      </c>
      <c r="D495" s="40">
        <v>1</v>
      </c>
      <c r="E495" s="326">
        <v>30</v>
      </c>
      <c r="F495" s="48">
        <f t="shared" si="17"/>
        <v>30</v>
      </c>
      <c r="G495" s="328"/>
      <c r="H495" s="40"/>
      <c r="I495" s="326"/>
    </row>
    <row r="496" spans="1:9" ht="14.4" x14ac:dyDescent="0.3">
      <c r="A496" s="324"/>
      <c r="B496" s="324" t="s">
        <v>570</v>
      </c>
      <c r="C496" s="328" t="s">
        <v>115</v>
      </c>
      <c r="E496" s="326">
        <v>25</v>
      </c>
      <c r="F496" s="48">
        <f t="shared" si="17"/>
        <v>0</v>
      </c>
      <c r="G496" s="328"/>
      <c r="H496" s="40"/>
      <c r="I496" s="326"/>
    </row>
    <row r="497" spans="1:9" ht="14.4" x14ac:dyDescent="0.3">
      <c r="A497" s="324"/>
      <c r="B497" s="324" t="s">
        <v>571</v>
      </c>
      <c r="C497" s="328" t="s">
        <v>115</v>
      </c>
      <c r="D497" s="40">
        <v>2</v>
      </c>
      <c r="E497" s="326">
        <v>34.92</v>
      </c>
      <c r="F497" s="48">
        <f t="shared" si="17"/>
        <v>69.84</v>
      </c>
      <c r="G497" s="328"/>
      <c r="H497" s="40"/>
      <c r="I497" s="326"/>
    </row>
    <row r="498" spans="1:9" ht="14.4" x14ac:dyDescent="0.3">
      <c r="A498" s="324"/>
      <c r="B498" s="324" t="s">
        <v>572</v>
      </c>
      <c r="C498" s="328" t="s">
        <v>115</v>
      </c>
      <c r="D498" s="40">
        <v>7</v>
      </c>
      <c r="E498" s="326">
        <v>36</v>
      </c>
      <c r="F498" s="48">
        <f t="shared" si="17"/>
        <v>252</v>
      </c>
      <c r="G498" s="328"/>
      <c r="H498" s="40"/>
      <c r="I498" s="326"/>
    </row>
    <row r="499" spans="1:9" ht="14.4" x14ac:dyDescent="0.3">
      <c r="A499" s="324"/>
      <c r="B499" s="324" t="s">
        <v>573</v>
      </c>
      <c r="C499" s="328" t="s">
        <v>115</v>
      </c>
      <c r="E499" s="326">
        <v>22</v>
      </c>
      <c r="F499" s="48">
        <f t="shared" si="17"/>
        <v>0</v>
      </c>
      <c r="G499" s="328"/>
      <c r="H499" s="40"/>
      <c r="I499" s="326"/>
    </row>
    <row r="500" spans="1:9" ht="14.4" x14ac:dyDescent="0.3">
      <c r="A500" s="324"/>
      <c r="B500" s="324" t="s">
        <v>574</v>
      </c>
      <c r="C500" s="328" t="s">
        <v>115</v>
      </c>
      <c r="E500" s="326">
        <v>78</v>
      </c>
      <c r="F500" s="48">
        <f t="shared" si="17"/>
        <v>0</v>
      </c>
      <c r="G500" s="328"/>
      <c r="H500" s="40"/>
      <c r="I500" s="326"/>
    </row>
    <row r="501" spans="1:9" ht="14.4" x14ac:dyDescent="0.3">
      <c r="A501" s="324"/>
      <c r="B501" s="324" t="s">
        <v>575</v>
      </c>
      <c r="C501" s="328" t="s">
        <v>115</v>
      </c>
      <c r="E501" s="326">
        <v>89</v>
      </c>
      <c r="F501" s="48">
        <f t="shared" si="17"/>
        <v>0</v>
      </c>
      <c r="G501" s="328"/>
      <c r="H501" s="40"/>
      <c r="I501" s="326"/>
    </row>
    <row r="502" spans="1:9" ht="14.4" x14ac:dyDescent="0.3">
      <c r="A502" s="324"/>
      <c r="B502" s="324" t="s">
        <v>576</v>
      </c>
      <c r="C502" s="328" t="s">
        <v>115</v>
      </c>
      <c r="E502" s="326">
        <v>21</v>
      </c>
      <c r="F502" s="48">
        <f t="shared" si="17"/>
        <v>0</v>
      </c>
      <c r="G502" s="328"/>
      <c r="H502" s="40"/>
      <c r="I502" s="326"/>
    </row>
    <row r="503" spans="1:9" ht="14.4" x14ac:dyDescent="0.3">
      <c r="A503" s="324"/>
      <c r="B503" s="324" t="s">
        <v>577</v>
      </c>
      <c r="C503" s="328" t="s">
        <v>115</v>
      </c>
      <c r="E503" s="326">
        <v>21</v>
      </c>
      <c r="F503" s="48">
        <f t="shared" si="17"/>
        <v>0</v>
      </c>
      <c r="G503" s="328"/>
      <c r="H503" s="40"/>
      <c r="I503" s="326"/>
    </row>
    <row r="504" spans="1:9" ht="14.4" x14ac:dyDescent="0.3">
      <c r="A504" s="324"/>
      <c r="B504" s="324" t="s">
        <v>578</v>
      </c>
      <c r="C504" s="328" t="s">
        <v>115</v>
      </c>
      <c r="E504" s="326">
        <v>0</v>
      </c>
      <c r="F504" s="48">
        <f t="shared" si="17"/>
        <v>0</v>
      </c>
      <c r="G504" s="328"/>
      <c r="H504" s="40"/>
      <c r="I504" s="326"/>
    </row>
    <row r="505" spans="1:9" ht="14.4" x14ac:dyDescent="0.3">
      <c r="A505" s="324"/>
      <c r="B505" s="324" t="s">
        <v>579</v>
      </c>
      <c r="C505" s="328" t="s">
        <v>115</v>
      </c>
      <c r="E505" s="326">
        <v>0</v>
      </c>
      <c r="F505" s="48">
        <f t="shared" si="17"/>
        <v>0</v>
      </c>
      <c r="G505" s="328"/>
      <c r="H505" s="40"/>
      <c r="I505" s="326"/>
    </row>
    <row r="506" spans="1:9" ht="14.4" x14ac:dyDescent="0.3">
      <c r="A506" s="324"/>
      <c r="B506" s="324" t="s">
        <v>580</v>
      </c>
      <c r="C506" s="328" t="s">
        <v>115</v>
      </c>
      <c r="E506" s="326">
        <v>0</v>
      </c>
      <c r="F506" s="48">
        <f t="shared" si="17"/>
        <v>0</v>
      </c>
      <c r="G506" s="328"/>
      <c r="H506" s="40"/>
      <c r="I506" s="326"/>
    </row>
    <row r="507" spans="1:9" ht="14.4" x14ac:dyDescent="0.3">
      <c r="A507" s="324"/>
      <c r="B507" s="420" t="s">
        <v>581</v>
      </c>
      <c r="C507" s="328" t="s">
        <v>115</v>
      </c>
      <c r="D507" s="40">
        <v>4</v>
      </c>
      <c r="E507" s="326">
        <v>32.72</v>
      </c>
      <c r="F507" s="48">
        <f t="shared" si="17"/>
        <v>130.88</v>
      </c>
      <c r="G507" s="328"/>
      <c r="H507" s="40"/>
      <c r="I507" s="326"/>
    </row>
    <row r="508" spans="1:9" ht="14.4" x14ac:dyDescent="0.3">
      <c r="A508" s="324"/>
      <c r="B508" s="324" t="s">
        <v>582</v>
      </c>
      <c r="C508" s="328" t="s">
        <v>115</v>
      </c>
      <c r="E508" s="326">
        <v>0</v>
      </c>
      <c r="F508" s="48">
        <f t="shared" si="17"/>
        <v>0</v>
      </c>
      <c r="G508" s="328"/>
      <c r="H508" s="40"/>
      <c r="I508" s="326"/>
    </row>
    <row r="509" spans="1:9" ht="14.4" x14ac:dyDescent="0.3">
      <c r="A509" s="324"/>
      <c r="B509" s="324" t="s">
        <v>583</v>
      </c>
      <c r="C509" s="328" t="s">
        <v>115</v>
      </c>
      <c r="E509" s="326">
        <v>0</v>
      </c>
      <c r="F509" s="48">
        <f t="shared" si="17"/>
        <v>0</v>
      </c>
      <c r="G509" s="328"/>
      <c r="H509" s="40"/>
      <c r="I509" s="326"/>
    </row>
    <row r="510" spans="1:9" ht="14.4" x14ac:dyDescent="0.3">
      <c r="A510" s="324"/>
      <c r="B510" s="324" t="s">
        <v>584</v>
      </c>
      <c r="C510" s="328" t="s">
        <v>115</v>
      </c>
      <c r="E510" s="326">
        <v>0</v>
      </c>
      <c r="F510" s="48">
        <f t="shared" si="17"/>
        <v>0</v>
      </c>
      <c r="G510" s="328"/>
      <c r="H510" s="40"/>
      <c r="I510" s="326"/>
    </row>
    <row r="511" spans="1:9" ht="14.4" x14ac:dyDescent="0.3">
      <c r="A511" s="324"/>
      <c r="B511" s="324" t="s">
        <v>585</v>
      </c>
      <c r="C511" s="328" t="s">
        <v>115</v>
      </c>
      <c r="E511" s="326">
        <v>0</v>
      </c>
      <c r="F511" s="48">
        <f t="shared" si="17"/>
        <v>0</v>
      </c>
      <c r="G511" s="328"/>
      <c r="H511" s="40"/>
      <c r="I511" s="326"/>
    </row>
    <row r="512" spans="1:9" ht="14.4" x14ac:dyDescent="0.3">
      <c r="A512" s="324"/>
      <c r="B512" s="324" t="s">
        <v>586</v>
      </c>
      <c r="C512" s="328" t="s">
        <v>115</v>
      </c>
      <c r="E512" s="326">
        <v>0</v>
      </c>
      <c r="F512" s="48">
        <f t="shared" si="17"/>
        <v>0</v>
      </c>
      <c r="G512" s="328"/>
      <c r="H512" s="40"/>
      <c r="I512" s="326"/>
    </row>
    <row r="513" spans="1:9" ht="14.4" x14ac:dyDescent="0.3">
      <c r="A513" s="324"/>
      <c r="B513" s="324" t="s">
        <v>587</v>
      </c>
      <c r="C513" s="328" t="s">
        <v>115</v>
      </c>
      <c r="E513" s="326">
        <v>0</v>
      </c>
      <c r="F513" s="48">
        <f t="shared" si="17"/>
        <v>0</v>
      </c>
      <c r="G513" s="328"/>
      <c r="H513" s="40"/>
      <c r="I513" s="326"/>
    </row>
    <row r="514" spans="1:9" ht="14.4" x14ac:dyDescent="0.3">
      <c r="A514" s="324"/>
      <c r="B514" s="324" t="s">
        <v>588</v>
      </c>
      <c r="C514" s="328" t="s">
        <v>115</v>
      </c>
      <c r="E514" s="326">
        <v>0</v>
      </c>
      <c r="F514" s="48">
        <f t="shared" si="17"/>
        <v>0</v>
      </c>
      <c r="G514" s="328"/>
      <c r="H514" s="40"/>
      <c r="I514" s="326"/>
    </row>
    <row r="515" spans="1:9" ht="14.4" x14ac:dyDescent="0.3">
      <c r="A515" s="324"/>
      <c r="B515" s="324" t="s">
        <v>589</v>
      </c>
      <c r="C515" s="328" t="s">
        <v>115</v>
      </c>
      <c r="E515" s="326">
        <v>0</v>
      </c>
      <c r="F515" s="48">
        <f t="shared" si="17"/>
        <v>0</v>
      </c>
      <c r="G515" s="328"/>
      <c r="H515" s="40"/>
      <c r="I515" s="326"/>
    </row>
    <row r="516" spans="1:9" ht="14.4" x14ac:dyDescent="0.3">
      <c r="A516" s="324"/>
      <c r="B516" s="324" t="s">
        <v>590</v>
      </c>
      <c r="C516" s="328" t="s">
        <v>115</v>
      </c>
      <c r="E516" s="326">
        <v>0</v>
      </c>
      <c r="F516" s="48">
        <f t="shared" si="17"/>
        <v>0</v>
      </c>
      <c r="G516" s="328"/>
      <c r="H516" s="40"/>
      <c r="I516" s="326"/>
    </row>
    <row r="517" spans="1:9" ht="14.4" x14ac:dyDescent="0.3">
      <c r="A517" s="324"/>
      <c r="B517" s="324" t="s">
        <v>591</v>
      </c>
      <c r="C517" s="328" t="s">
        <v>115</v>
      </c>
      <c r="E517" s="326">
        <v>0</v>
      </c>
      <c r="F517" s="48">
        <f t="shared" si="17"/>
        <v>0</v>
      </c>
      <c r="G517" s="328"/>
      <c r="H517" s="40"/>
      <c r="I517" s="326"/>
    </row>
    <row r="518" spans="1:9" ht="14.4" x14ac:dyDescent="0.3">
      <c r="A518" s="324"/>
      <c r="B518" s="324" t="s">
        <v>592</v>
      </c>
      <c r="C518" s="328" t="s">
        <v>115</v>
      </c>
      <c r="E518" s="326">
        <v>0</v>
      </c>
      <c r="F518" s="48">
        <f t="shared" si="17"/>
        <v>0</v>
      </c>
      <c r="G518" s="328"/>
      <c r="H518" s="40"/>
      <c r="I518" s="326"/>
    </row>
    <row r="519" spans="1:9" ht="14.4" x14ac:dyDescent="0.3">
      <c r="A519" s="324"/>
      <c r="B519" s="324" t="s">
        <v>593</v>
      </c>
      <c r="C519" s="328" t="s">
        <v>115</v>
      </c>
      <c r="E519" s="326">
        <v>0</v>
      </c>
      <c r="F519" s="48">
        <f t="shared" si="17"/>
        <v>0</v>
      </c>
      <c r="G519" s="328"/>
      <c r="H519" s="40"/>
      <c r="I519" s="326"/>
    </row>
    <row r="520" spans="1:9" ht="14.4" x14ac:dyDescent="0.3">
      <c r="A520" s="324"/>
      <c r="B520" s="324" t="s">
        <v>594</v>
      </c>
      <c r="C520" s="328" t="s">
        <v>115</v>
      </c>
      <c r="E520" s="326">
        <v>0</v>
      </c>
      <c r="F520" s="48">
        <f t="shared" si="17"/>
        <v>0</v>
      </c>
      <c r="G520" s="328"/>
      <c r="H520" s="40"/>
      <c r="I520" s="326"/>
    </row>
    <row r="521" spans="1:9" ht="14.4" x14ac:dyDescent="0.3">
      <c r="A521" s="324"/>
      <c r="B521" s="324" t="s">
        <v>595</v>
      </c>
      <c r="C521" s="328" t="s">
        <v>115</v>
      </c>
      <c r="E521" s="326">
        <v>0</v>
      </c>
      <c r="F521" s="48">
        <f t="shared" si="17"/>
        <v>0</v>
      </c>
      <c r="G521" s="328"/>
      <c r="H521" s="40"/>
      <c r="I521" s="326"/>
    </row>
    <row r="522" spans="1:9" ht="14.4" x14ac:dyDescent="0.3">
      <c r="A522" s="324"/>
      <c r="B522" s="324" t="s">
        <v>596</v>
      </c>
      <c r="C522" s="328" t="s">
        <v>115</v>
      </c>
      <c r="E522" s="326">
        <v>0</v>
      </c>
      <c r="F522" s="48">
        <f t="shared" si="17"/>
        <v>0</v>
      </c>
      <c r="G522" s="328"/>
      <c r="H522" s="40"/>
      <c r="I522" s="326"/>
    </row>
    <row r="523" spans="1:9" ht="14.4" x14ac:dyDescent="0.3">
      <c r="A523" s="324"/>
      <c r="B523" s="324" t="s">
        <v>597</v>
      </c>
      <c r="C523" s="328" t="s">
        <v>115</v>
      </c>
      <c r="E523" s="326">
        <v>0</v>
      </c>
      <c r="F523" s="48">
        <f t="shared" si="17"/>
        <v>0</v>
      </c>
      <c r="G523" s="328"/>
      <c r="H523" s="40"/>
      <c r="I523" s="326"/>
    </row>
    <row r="524" spans="1:9" ht="14.4" x14ac:dyDescent="0.3">
      <c r="A524" s="324"/>
      <c r="B524" s="324" t="s">
        <v>598</v>
      </c>
      <c r="C524" s="328" t="s">
        <v>115</v>
      </c>
      <c r="E524" s="326">
        <v>0</v>
      </c>
      <c r="F524" s="48">
        <f t="shared" si="17"/>
        <v>0</v>
      </c>
      <c r="G524" s="328"/>
      <c r="H524" s="40"/>
      <c r="I524" s="326"/>
    </row>
    <row r="525" spans="1:9" ht="14.4" x14ac:dyDescent="0.3">
      <c r="A525" s="324"/>
      <c r="B525" s="324" t="s">
        <v>599</v>
      </c>
      <c r="C525" s="328" t="s">
        <v>115</v>
      </c>
      <c r="E525" s="326">
        <v>0</v>
      </c>
      <c r="F525" s="48">
        <f t="shared" si="17"/>
        <v>0</v>
      </c>
      <c r="G525" s="328"/>
      <c r="H525" s="40"/>
      <c r="I525" s="326"/>
    </row>
    <row r="526" spans="1:9" ht="14.4" x14ac:dyDescent="0.3">
      <c r="A526" s="324"/>
      <c r="B526" s="324" t="s">
        <v>600</v>
      </c>
      <c r="C526" s="328" t="s">
        <v>115</v>
      </c>
      <c r="E526" s="326">
        <v>0</v>
      </c>
      <c r="F526" s="48">
        <f t="shared" si="17"/>
        <v>0</v>
      </c>
      <c r="G526" s="328"/>
      <c r="H526" s="40"/>
      <c r="I526" s="326"/>
    </row>
    <row r="527" spans="1:9" ht="14.4" x14ac:dyDescent="0.3">
      <c r="A527" s="324"/>
      <c r="B527" s="324" t="s">
        <v>601</v>
      </c>
      <c r="C527" s="328" t="s">
        <v>115</v>
      </c>
      <c r="E527" s="326">
        <v>0</v>
      </c>
      <c r="F527" s="48">
        <f t="shared" si="17"/>
        <v>0</v>
      </c>
      <c r="G527" s="328"/>
      <c r="H527" s="40"/>
      <c r="I527" s="326"/>
    </row>
    <row r="528" spans="1:9" ht="14.4" x14ac:dyDescent="0.3">
      <c r="A528" s="324"/>
      <c r="B528" s="324" t="s">
        <v>602</v>
      </c>
      <c r="C528" s="328" t="s">
        <v>115</v>
      </c>
      <c r="E528" s="326">
        <v>0</v>
      </c>
      <c r="F528" s="48">
        <f t="shared" si="17"/>
        <v>0</v>
      </c>
      <c r="G528" s="328"/>
      <c r="H528" s="40"/>
      <c r="I528" s="326"/>
    </row>
    <row r="529" spans="1:9" ht="14.4" x14ac:dyDescent="0.3">
      <c r="A529" s="324"/>
      <c r="B529" s="324" t="s">
        <v>603</v>
      </c>
      <c r="C529" s="328" t="s">
        <v>115</v>
      </c>
      <c r="E529" s="326">
        <v>0</v>
      </c>
      <c r="F529" s="48">
        <f t="shared" si="17"/>
        <v>0</v>
      </c>
      <c r="G529" s="328"/>
      <c r="H529" s="40"/>
      <c r="I529" s="326"/>
    </row>
    <row r="530" spans="1:9" ht="14.4" x14ac:dyDescent="0.3">
      <c r="A530" s="324"/>
      <c r="B530" s="420" t="s">
        <v>604</v>
      </c>
      <c r="C530" s="328" t="s">
        <v>115</v>
      </c>
      <c r="E530" s="326">
        <v>0</v>
      </c>
      <c r="F530" s="48">
        <f t="shared" si="17"/>
        <v>0</v>
      </c>
      <c r="G530" s="328"/>
      <c r="H530" s="40"/>
      <c r="I530" s="326"/>
    </row>
    <row r="531" spans="1:9" ht="14.4" x14ac:dyDescent="0.3">
      <c r="A531" s="324"/>
      <c r="B531" s="324" t="s">
        <v>605</v>
      </c>
      <c r="C531" s="328" t="s">
        <v>115</v>
      </c>
      <c r="E531" s="326">
        <v>0</v>
      </c>
      <c r="F531" s="48">
        <f t="shared" si="17"/>
        <v>0</v>
      </c>
      <c r="G531" s="328"/>
      <c r="H531" s="40"/>
      <c r="I531" s="326"/>
    </row>
    <row r="532" spans="1:9" ht="14.4" x14ac:dyDescent="0.3">
      <c r="A532" s="324"/>
      <c r="B532" s="324" t="s">
        <v>606</v>
      </c>
      <c r="C532" s="328" t="s">
        <v>115</v>
      </c>
      <c r="E532" s="326">
        <v>0</v>
      </c>
      <c r="F532" s="48">
        <f t="shared" si="17"/>
        <v>0</v>
      </c>
      <c r="G532" s="328"/>
      <c r="H532" s="40"/>
      <c r="I532" s="326"/>
    </row>
    <row r="533" spans="1:9" ht="14.4" x14ac:dyDescent="0.3">
      <c r="A533" s="324"/>
      <c r="B533" s="420" t="s">
        <v>607</v>
      </c>
      <c r="C533" s="328" t="s">
        <v>115</v>
      </c>
      <c r="E533" s="326">
        <v>0</v>
      </c>
      <c r="F533" s="48">
        <f t="shared" si="17"/>
        <v>0</v>
      </c>
      <c r="G533" s="328"/>
      <c r="H533" s="40"/>
      <c r="I533" s="326"/>
    </row>
    <row r="534" spans="1:9" ht="14.4" x14ac:dyDescent="0.3">
      <c r="A534" s="324"/>
      <c r="B534" s="420" t="s">
        <v>608</v>
      </c>
      <c r="C534" s="328" t="s">
        <v>115</v>
      </c>
      <c r="E534" s="326">
        <v>18.54</v>
      </c>
      <c r="F534" s="48">
        <f t="shared" si="17"/>
        <v>0</v>
      </c>
      <c r="G534" s="328"/>
      <c r="H534" s="40"/>
      <c r="I534" s="326"/>
    </row>
    <row r="535" spans="1:9" ht="14.4" x14ac:dyDescent="0.3">
      <c r="A535" s="324"/>
      <c r="B535" s="324" t="s">
        <v>609</v>
      </c>
      <c r="C535" s="328" t="s">
        <v>115</v>
      </c>
      <c r="E535" s="326">
        <v>0</v>
      </c>
      <c r="F535" s="48">
        <f t="shared" si="17"/>
        <v>0</v>
      </c>
      <c r="G535" s="328"/>
      <c r="H535" s="40"/>
      <c r="I535" s="326"/>
    </row>
    <row r="536" spans="1:9" ht="14.4" x14ac:dyDescent="0.3">
      <c r="A536" s="324"/>
      <c r="B536" s="324" t="s">
        <v>610</v>
      </c>
      <c r="C536" s="328" t="s">
        <v>115</v>
      </c>
      <c r="E536" s="326">
        <v>0</v>
      </c>
      <c r="F536" s="48">
        <f t="shared" si="17"/>
        <v>0</v>
      </c>
      <c r="G536" s="328"/>
      <c r="H536" s="40"/>
      <c r="I536" s="326"/>
    </row>
    <row r="537" spans="1:9" ht="14.4" x14ac:dyDescent="0.3">
      <c r="A537" s="324"/>
      <c r="B537" s="324" t="s">
        <v>611</v>
      </c>
      <c r="C537" s="328" t="s">
        <v>115</v>
      </c>
      <c r="E537" s="326">
        <v>18.350000000000001</v>
      </c>
      <c r="F537" s="48">
        <f t="shared" si="17"/>
        <v>0</v>
      </c>
      <c r="G537" s="328"/>
      <c r="H537" s="40"/>
      <c r="I537" s="326"/>
    </row>
    <row r="538" spans="1:9" ht="14.4" x14ac:dyDescent="0.3">
      <c r="A538" s="324"/>
      <c r="B538" s="324" t="s">
        <v>612</v>
      </c>
      <c r="C538" s="328" t="s">
        <v>115</v>
      </c>
      <c r="E538" s="326">
        <v>0</v>
      </c>
      <c r="F538" s="48">
        <f t="shared" si="17"/>
        <v>0</v>
      </c>
      <c r="G538" s="328"/>
      <c r="H538" s="40"/>
      <c r="I538" s="326"/>
    </row>
    <row r="539" spans="1:9" ht="14.4" x14ac:dyDescent="0.3">
      <c r="A539" s="324"/>
      <c r="B539" s="324" t="s">
        <v>613</v>
      </c>
      <c r="C539" s="328" t="s">
        <v>115</v>
      </c>
      <c r="E539" s="326">
        <v>0</v>
      </c>
      <c r="F539" s="48">
        <f t="shared" si="17"/>
        <v>0</v>
      </c>
      <c r="G539" s="328"/>
      <c r="H539" s="40"/>
      <c r="I539" s="326"/>
    </row>
    <row r="540" spans="1:9" ht="14.4" x14ac:dyDescent="0.3">
      <c r="A540" s="324"/>
      <c r="B540" s="324" t="s">
        <v>614</v>
      </c>
      <c r="C540" s="328" t="s">
        <v>115</v>
      </c>
      <c r="E540" s="326">
        <v>0</v>
      </c>
      <c r="F540" s="48">
        <f t="shared" si="17"/>
        <v>0</v>
      </c>
      <c r="G540" s="328"/>
      <c r="H540" s="40"/>
      <c r="I540" s="326"/>
    </row>
    <row r="541" spans="1:9" ht="14.4" x14ac:dyDescent="0.3">
      <c r="A541" s="324"/>
      <c r="B541" s="324" t="s">
        <v>615</v>
      </c>
      <c r="C541" s="328" t="s">
        <v>115</v>
      </c>
      <c r="E541" s="326">
        <v>0</v>
      </c>
      <c r="F541" s="48">
        <f t="shared" si="17"/>
        <v>0</v>
      </c>
      <c r="G541" s="328"/>
      <c r="H541" s="40"/>
      <c r="I541" s="326"/>
    </row>
    <row r="542" spans="1:9" ht="14.4" x14ac:dyDescent="0.3">
      <c r="A542" s="324"/>
      <c r="B542" s="324" t="s">
        <v>616</v>
      </c>
      <c r="C542" s="328" t="s">
        <v>115</v>
      </c>
      <c r="E542" s="326">
        <v>0</v>
      </c>
      <c r="F542" s="48">
        <f t="shared" si="17"/>
        <v>0</v>
      </c>
      <c r="G542" s="328"/>
      <c r="H542" s="40"/>
      <c r="I542" s="326"/>
    </row>
    <row r="543" spans="1:9" ht="14.4" x14ac:dyDescent="0.3">
      <c r="A543" s="324"/>
      <c r="B543" s="324" t="s">
        <v>617</v>
      </c>
      <c r="C543" s="328" t="s">
        <v>115</v>
      </c>
      <c r="E543" s="326">
        <v>0</v>
      </c>
      <c r="F543" s="48">
        <f t="shared" ref="F543:F606" si="18">E543*D543</f>
        <v>0</v>
      </c>
      <c r="G543" s="328"/>
      <c r="H543" s="40"/>
      <c r="I543" s="326"/>
    </row>
    <row r="544" spans="1:9" ht="14.4" x14ac:dyDescent="0.3">
      <c r="A544" s="324"/>
      <c r="B544" s="420" t="s">
        <v>618</v>
      </c>
      <c r="C544" s="328" t="s">
        <v>115</v>
      </c>
      <c r="E544" s="326">
        <v>16.329999999999998</v>
      </c>
      <c r="F544" s="48">
        <f t="shared" si="18"/>
        <v>0</v>
      </c>
      <c r="G544" s="328"/>
      <c r="H544" s="40"/>
      <c r="I544" s="326"/>
    </row>
    <row r="545" spans="1:9" ht="14.4" x14ac:dyDescent="0.3">
      <c r="A545" s="324"/>
      <c r="B545" s="324" t="s">
        <v>619</v>
      </c>
      <c r="C545" s="328" t="s">
        <v>115</v>
      </c>
      <c r="E545" s="326">
        <v>0</v>
      </c>
      <c r="F545" s="48">
        <f t="shared" si="18"/>
        <v>0</v>
      </c>
      <c r="G545" s="328"/>
      <c r="H545" s="40"/>
      <c r="I545" s="326"/>
    </row>
    <row r="546" spans="1:9" ht="14.4" x14ac:dyDescent="0.3">
      <c r="A546" s="324"/>
      <c r="B546" s="324" t="s">
        <v>620</v>
      </c>
      <c r="C546" s="328" t="s">
        <v>115</v>
      </c>
      <c r="E546" s="326">
        <v>0</v>
      </c>
      <c r="F546" s="48">
        <f t="shared" si="18"/>
        <v>0</v>
      </c>
      <c r="G546" s="328"/>
      <c r="H546" s="40"/>
      <c r="I546" s="326"/>
    </row>
    <row r="547" spans="1:9" ht="14.4" x14ac:dyDescent="0.3">
      <c r="A547" s="324"/>
      <c r="B547" s="324" t="s">
        <v>621</v>
      </c>
      <c r="C547" s="328" t="s">
        <v>115</v>
      </c>
      <c r="E547" s="326">
        <v>0</v>
      </c>
      <c r="F547" s="48">
        <f t="shared" si="18"/>
        <v>0</v>
      </c>
      <c r="G547" s="328"/>
      <c r="H547" s="40"/>
      <c r="I547" s="326"/>
    </row>
    <row r="548" spans="1:9" ht="14.4" x14ac:dyDescent="0.3">
      <c r="A548" s="324"/>
      <c r="B548" s="324" t="s">
        <v>622</v>
      </c>
      <c r="C548" s="328" t="s">
        <v>115</v>
      </c>
      <c r="E548" s="326">
        <v>0</v>
      </c>
      <c r="F548" s="48">
        <f t="shared" si="18"/>
        <v>0</v>
      </c>
      <c r="G548" s="328"/>
      <c r="H548" s="40"/>
      <c r="I548" s="326"/>
    </row>
    <row r="549" spans="1:9" ht="14.4" x14ac:dyDescent="0.3">
      <c r="A549" s="324"/>
      <c r="B549" s="324" t="s">
        <v>623</v>
      </c>
      <c r="C549" s="328" t="s">
        <v>115</v>
      </c>
      <c r="E549" s="326">
        <v>0</v>
      </c>
      <c r="F549" s="48">
        <f t="shared" si="18"/>
        <v>0</v>
      </c>
      <c r="G549" s="328"/>
      <c r="H549" s="40"/>
      <c r="I549" s="326"/>
    </row>
    <row r="550" spans="1:9" ht="14.4" x14ac:dyDescent="0.3">
      <c r="A550" s="324"/>
      <c r="B550" s="324" t="s">
        <v>624</v>
      </c>
      <c r="C550" s="328" t="s">
        <v>115</v>
      </c>
      <c r="E550" s="326">
        <v>0</v>
      </c>
      <c r="F550" s="48">
        <f t="shared" si="18"/>
        <v>0</v>
      </c>
      <c r="G550" s="328"/>
      <c r="H550" s="40"/>
      <c r="I550" s="326"/>
    </row>
    <row r="551" spans="1:9" ht="14.4" x14ac:dyDescent="0.3">
      <c r="A551" s="324"/>
      <c r="B551" s="324" t="s">
        <v>625</v>
      </c>
      <c r="C551" s="328" t="s">
        <v>115</v>
      </c>
      <c r="E551" s="326">
        <v>0</v>
      </c>
      <c r="F551" s="48">
        <f t="shared" si="18"/>
        <v>0</v>
      </c>
      <c r="G551" s="328"/>
      <c r="H551" s="40"/>
      <c r="I551" s="326"/>
    </row>
    <row r="552" spans="1:9" ht="14.4" x14ac:dyDescent="0.3">
      <c r="A552" s="324"/>
      <c r="B552" s="324" t="s">
        <v>626</v>
      </c>
      <c r="C552" s="328" t="s">
        <v>115</v>
      </c>
      <c r="E552" s="326">
        <v>0</v>
      </c>
      <c r="F552" s="48">
        <f t="shared" si="18"/>
        <v>0</v>
      </c>
      <c r="G552" s="328"/>
      <c r="H552" s="40"/>
      <c r="I552" s="326"/>
    </row>
    <row r="553" spans="1:9" ht="14.4" x14ac:dyDescent="0.3">
      <c r="A553" s="324"/>
      <c r="B553" s="324" t="s">
        <v>627</v>
      </c>
      <c r="C553" s="328" t="s">
        <v>115</v>
      </c>
      <c r="E553" s="326">
        <v>0</v>
      </c>
      <c r="F553" s="48">
        <f t="shared" si="18"/>
        <v>0</v>
      </c>
      <c r="G553" s="328"/>
      <c r="H553" s="40"/>
      <c r="I553" s="326"/>
    </row>
    <row r="554" spans="1:9" ht="14.4" x14ac:dyDescent="0.3">
      <c r="A554" s="324"/>
      <c r="B554" s="324" t="s">
        <v>628</v>
      </c>
      <c r="C554" s="328" t="s">
        <v>115</v>
      </c>
      <c r="E554" s="326">
        <v>0</v>
      </c>
      <c r="F554" s="48">
        <f t="shared" si="18"/>
        <v>0</v>
      </c>
      <c r="G554" s="328"/>
      <c r="H554" s="40"/>
      <c r="I554" s="326"/>
    </row>
    <row r="555" spans="1:9" ht="14.4" x14ac:dyDescent="0.3">
      <c r="A555" s="324"/>
      <c r="B555" s="324" t="s">
        <v>629</v>
      </c>
      <c r="C555" s="328" t="s">
        <v>115</v>
      </c>
      <c r="E555" s="326">
        <v>0</v>
      </c>
      <c r="F555" s="48">
        <f t="shared" si="18"/>
        <v>0</v>
      </c>
      <c r="G555" s="328"/>
      <c r="H555" s="40"/>
      <c r="I555" s="326"/>
    </row>
    <row r="556" spans="1:9" ht="14.4" x14ac:dyDescent="0.3">
      <c r="A556" s="324"/>
      <c r="B556" s="324" t="s">
        <v>630</v>
      </c>
      <c r="C556" s="328" t="s">
        <v>115</v>
      </c>
      <c r="E556" s="326">
        <v>0</v>
      </c>
      <c r="F556" s="48">
        <f t="shared" si="18"/>
        <v>0</v>
      </c>
      <c r="G556" s="328"/>
      <c r="H556" s="40"/>
      <c r="I556" s="326"/>
    </row>
    <row r="557" spans="1:9" ht="14.4" x14ac:dyDescent="0.3">
      <c r="A557" s="324"/>
      <c r="B557" s="324" t="s">
        <v>631</v>
      </c>
      <c r="C557" s="328" t="s">
        <v>115</v>
      </c>
      <c r="E557" s="326">
        <v>0</v>
      </c>
      <c r="F557" s="48">
        <f t="shared" si="18"/>
        <v>0</v>
      </c>
      <c r="G557" s="328"/>
      <c r="H557" s="40"/>
      <c r="I557" s="326"/>
    </row>
    <row r="558" spans="1:9" ht="14.4" x14ac:dyDescent="0.3">
      <c r="A558" s="324"/>
      <c r="B558" s="324" t="s">
        <v>632</v>
      </c>
      <c r="C558" s="328" t="s">
        <v>115</v>
      </c>
      <c r="E558" s="326">
        <v>0</v>
      </c>
      <c r="F558" s="48">
        <f t="shared" si="18"/>
        <v>0</v>
      </c>
      <c r="G558" s="328"/>
      <c r="H558" s="40"/>
      <c r="I558" s="326"/>
    </row>
    <row r="559" spans="1:9" ht="14.4" x14ac:dyDescent="0.3">
      <c r="A559" s="324"/>
      <c r="B559" s="324" t="s">
        <v>633</v>
      </c>
      <c r="C559" s="328" t="s">
        <v>115</v>
      </c>
      <c r="E559" s="326">
        <v>0</v>
      </c>
      <c r="F559" s="48">
        <f t="shared" si="18"/>
        <v>0</v>
      </c>
      <c r="G559" s="328"/>
      <c r="H559" s="40"/>
      <c r="I559" s="326"/>
    </row>
    <row r="560" spans="1:9" ht="14.4" x14ac:dyDescent="0.3">
      <c r="A560" s="324"/>
      <c r="B560" s="324" t="s">
        <v>634</v>
      </c>
      <c r="C560" s="328" t="s">
        <v>115</v>
      </c>
      <c r="E560" s="326">
        <v>0</v>
      </c>
      <c r="F560" s="48">
        <f t="shared" si="18"/>
        <v>0</v>
      </c>
      <c r="G560" s="328"/>
      <c r="H560" s="40"/>
      <c r="I560" s="326"/>
    </row>
    <row r="561" spans="1:9" ht="14.4" x14ac:dyDescent="0.3">
      <c r="A561" s="324"/>
      <c r="B561" s="324" t="s">
        <v>635</v>
      </c>
      <c r="C561" s="328" t="s">
        <v>115</v>
      </c>
      <c r="E561" s="326">
        <v>0</v>
      </c>
      <c r="F561" s="48">
        <f t="shared" si="18"/>
        <v>0</v>
      </c>
      <c r="G561" s="328"/>
      <c r="H561" s="40"/>
      <c r="I561" s="326"/>
    </row>
    <row r="562" spans="1:9" ht="14.4" x14ac:dyDescent="0.3">
      <c r="A562" s="324"/>
      <c r="B562" s="324" t="s">
        <v>636</v>
      </c>
      <c r="C562" s="328" t="s">
        <v>115</v>
      </c>
      <c r="E562" s="326">
        <v>0</v>
      </c>
      <c r="F562" s="48">
        <f t="shared" si="18"/>
        <v>0</v>
      </c>
      <c r="G562" s="328"/>
      <c r="H562" s="40"/>
      <c r="I562" s="326"/>
    </row>
    <row r="563" spans="1:9" ht="14.4" x14ac:dyDescent="0.3">
      <c r="A563" s="324"/>
      <c r="B563" s="324" t="s">
        <v>637</v>
      </c>
      <c r="C563" s="328" t="s">
        <v>115</v>
      </c>
      <c r="E563" s="326">
        <v>0</v>
      </c>
      <c r="F563" s="48">
        <f t="shared" si="18"/>
        <v>0</v>
      </c>
      <c r="G563" s="328"/>
      <c r="H563" s="40"/>
      <c r="I563" s="326"/>
    </row>
    <row r="564" spans="1:9" ht="14.4" x14ac:dyDescent="0.3">
      <c r="A564" s="324"/>
      <c r="B564" s="324" t="s">
        <v>638</v>
      </c>
      <c r="C564" s="328" t="s">
        <v>115</v>
      </c>
      <c r="D564" s="40">
        <v>5</v>
      </c>
      <c r="E564" s="326">
        <v>13.64</v>
      </c>
      <c r="F564" s="48">
        <f t="shared" si="18"/>
        <v>68.2</v>
      </c>
      <c r="G564" s="328"/>
      <c r="H564" s="40"/>
      <c r="I564" s="326"/>
    </row>
    <row r="565" spans="1:9" ht="14.4" x14ac:dyDescent="0.3">
      <c r="A565" s="324"/>
      <c r="B565" s="324" t="s">
        <v>639</v>
      </c>
      <c r="C565" s="328" t="s">
        <v>115</v>
      </c>
      <c r="E565" s="326">
        <v>0</v>
      </c>
      <c r="F565" s="48">
        <f t="shared" si="18"/>
        <v>0</v>
      </c>
      <c r="G565" s="328"/>
      <c r="H565" s="40"/>
      <c r="I565" s="326"/>
    </row>
    <row r="566" spans="1:9" ht="14.4" x14ac:dyDescent="0.3">
      <c r="A566" s="324"/>
      <c r="B566" s="324" t="s">
        <v>640</v>
      </c>
      <c r="C566" s="328" t="s">
        <v>115</v>
      </c>
      <c r="E566" s="326">
        <v>0</v>
      </c>
      <c r="F566" s="48">
        <f t="shared" si="18"/>
        <v>0</v>
      </c>
      <c r="G566" s="328"/>
      <c r="H566" s="40"/>
      <c r="I566" s="326"/>
    </row>
    <row r="567" spans="1:9" ht="14.4" x14ac:dyDescent="0.3">
      <c r="A567" s="324"/>
      <c r="B567" s="324" t="s">
        <v>641</v>
      </c>
      <c r="C567" s="328" t="s">
        <v>115</v>
      </c>
      <c r="E567" s="326">
        <v>0</v>
      </c>
      <c r="F567" s="48">
        <f t="shared" si="18"/>
        <v>0</v>
      </c>
      <c r="G567" s="328"/>
      <c r="H567" s="40"/>
      <c r="I567" s="326"/>
    </row>
    <row r="568" spans="1:9" ht="14.4" x14ac:dyDescent="0.3">
      <c r="A568" s="324"/>
      <c r="B568" s="324" t="s">
        <v>642</v>
      </c>
      <c r="C568" s="328" t="s">
        <v>115</v>
      </c>
      <c r="E568" s="326">
        <v>0</v>
      </c>
      <c r="F568" s="48">
        <f t="shared" si="18"/>
        <v>0</v>
      </c>
      <c r="G568" s="328"/>
      <c r="H568" s="40"/>
      <c r="I568" s="326"/>
    </row>
    <row r="569" spans="1:9" ht="14.4" x14ac:dyDescent="0.3">
      <c r="A569" s="324"/>
      <c r="B569" s="324" t="s">
        <v>643</v>
      </c>
      <c r="C569" s="328" t="s">
        <v>115</v>
      </c>
      <c r="E569" s="326">
        <v>0</v>
      </c>
      <c r="F569" s="48">
        <f t="shared" si="18"/>
        <v>0</v>
      </c>
      <c r="G569" s="328"/>
      <c r="H569" s="40"/>
      <c r="I569" s="326"/>
    </row>
    <row r="570" spans="1:9" ht="14.4" x14ac:dyDescent="0.3">
      <c r="A570" s="324"/>
      <c r="B570" s="324" t="s">
        <v>644</v>
      </c>
      <c r="C570" s="328" t="s">
        <v>115</v>
      </c>
      <c r="E570" s="326">
        <v>0</v>
      </c>
      <c r="F570" s="48">
        <f t="shared" si="18"/>
        <v>0</v>
      </c>
      <c r="G570" s="328"/>
      <c r="H570" s="40"/>
      <c r="I570" s="326"/>
    </row>
    <row r="571" spans="1:9" ht="14.4" x14ac:dyDescent="0.3">
      <c r="A571" s="324"/>
      <c r="B571" s="324" t="s">
        <v>645</v>
      </c>
      <c r="C571" s="328" t="s">
        <v>115</v>
      </c>
      <c r="E571" s="326">
        <v>0</v>
      </c>
      <c r="F571" s="48">
        <f t="shared" si="18"/>
        <v>0</v>
      </c>
      <c r="G571" s="328"/>
      <c r="H571" s="40"/>
      <c r="I571" s="326"/>
    </row>
    <row r="572" spans="1:9" ht="14.4" x14ac:dyDescent="0.3">
      <c r="A572" s="324"/>
      <c r="B572" s="324" t="s">
        <v>646</v>
      </c>
      <c r="C572" s="328" t="s">
        <v>115</v>
      </c>
      <c r="E572" s="326">
        <v>0</v>
      </c>
      <c r="F572" s="48">
        <f t="shared" si="18"/>
        <v>0</v>
      </c>
      <c r="G572" s="328"/>
      <c r="H572" s="40"/>
      <c r="I572" s="326"/>
    </row>
    <row r="573" spans="1:9" ht="14.4" x14ac:dyDescent="0.3">
      <c r="A573" s="324"/>
      <c r="B573" s="324" t="s">
        <v>647</v>
      </c>
      <c r="C573" s="328" t="s">
        <v>115</v>
      </c>
      <c r="E573" s="326">
        <v>0</v>
      </c>
      <c r="F573" s="48">
        <f t="shared" si="18"/>
        <v>0</v>
      </c>
      <c r="G573" s="328"/>
      <c r="H573" s="40"/>
      <c r="I573" s="326"/>
    </row>
    <row r="574" spans="1:9" ht="14.4" x14ac:dyDescent="0.3">
      <c r="A574" s="324"/>
      <c r="B574" s="324" t="s">
        <v>648</v>
      </c>
      <c r="C574" s="328" t="s">
        <v>115</v>
      </c>
      <c r="E574" s="326">
        <v>0</v>
      </c>
      <c r="F574" s="48">
        <f t="shared" si="18"/>
        <v>0</v>
      </c>
      <c r="G574" s="328"/>
      <c r="H574" s="40"/>
      <c r="I574" s="326"/>
    </row>
    <row r="575" spans="1:9" ht="14.4" x14ac:dyDescent="0.3">
      <c r="A575" s="324"/>
      <c r="B575" s="324" t="s">
        <v>649</v>
      </c>
      <c r="C575" s="328" t="s">
        <v>115</v>
      </c>
      <c r="E575" s="326">
        <v>0</v>
      </c>
      <c r="F575" s="48">
        <f t="shared" si="18"/>
        <v>0</v>
      </c>
      <c r="G575" s="328"/>
      <c r="H575" s="40"/>
      <c r="I575" s="326"/>
    </row>
    <row r="576" spans="1:9" ht="14.4" x14ac:dyDescent="0.3">
      <c r="A576" s="324"/>
      <c r="B576" s="324" t="s">
        <v>650</v>
      </c>
      <c r="C576" s="328" t="s">
        <v>115</v>
      </c>
      <c r="E576" s="326">
        <v>5.61</v>
      </c>
      <c r="F576" s="48">
        <f t="shared" si="18"/>
        <v>0</v>
      </c>
      <c r="G576" s="328"/>
      <c r="H576" s="40"/>
      <c r="I576" s="326"/>
    </row>
    <row r="577" spans="1:9" ht="14.4" x14ac:dyDescent="0.3">
      <c r="A577" s="324"/>
      <c r="B577" s="324" t="s">
        <v>651</v>
      </c>
      <c r="C577" s="328" t="s">
        <v>115</v>
      </c>
      <c r="E577" s="326">
        <v>0</v>
      </c>
      <c r="F577" s="48">
        <f t="shared" si="18"/>
        <v>0</v>
      </c>
      <c r="G577" s="328"/>
      <c r="H577" s="40"/>
      <c r="I577" s="326"/>
    </row>
    <row r="578" spans="1:9" ht="14.4" x14ac:dyDescent="0.3">
      <c r="A578" s="324"/>
      <c r="B578" s="324" t="s">
        <v>652</v>
      </c>
      <c r="C578" s="328" t="s">
        <v>115</v>
      </c>
      <c r="E578" s="326">
        <v>0</v>
      </c>
      <c r="F578" s="48">
        <f t="shared" si="18"/>
        <v>0</v>
      </c>
      <c r="G578" s="328"/>
      <c r="H578" s="40"/>
      <c r="I578" s="326"/>
    </row>
    <row r="579" spans="1:9" ht="14.4" x14ac:dyDescent="0.3">
      <c r="A579" s="324"/>
      <c r="B579" s="324" t="s">
        <v>653</v>
      </c>
      <c r="C579" s="328" t="s">
        <v>115</v>
      </c>
      <c r="E579" s="326">
        <v>0</v>
      </c>
      <c r="F579" s="48">
        <f t="shared" si="18"/>
        <v>0</v>
      </c>
      <c r="G579" s="328"/>
      <c r="H579" s="40"/>
      <c r="I579" s="326"/>
    </row>
    <row r="580" spans="1:9" ht="14.4" x14ac:dyDescent="0.3">
      <c r="A580" s="324"/>
      <c r="B580" s="324" t="s">
        <v>654</v>
      </c>
      <c r="C580" s="328" t="s">
        <v>115</v>
      </c>
      <c r="E580" s="326">
        <v>0</v>
      </c>
      <c r="F580" s="48">
        <f t="shared" si="18"/>
        <v>0</v>
      </c>
      <c r="G580" s="328"/>
      <c r="H580" s="40"/>
      <c r="I580" s="326"/>
    </row>
    <row r="581" spans="1:9" ht="14.4" x14ac:dyDescent="0.3">
      <c r="A581" s="324"/>
      <c r="B581" s="324" t="s">
        <v>655</v>
      </c>
      <c r="C581" s="328" t="s">
        <v>115</v>
      </c>
      <c r="E581" s="326">
        <v>0</v>
      </c>
      <c r="F581" s="48">
        <f t="shared" si="18"/>
        <v>0</v>
      </c>
      <c r="G581" s="328"/>
      <c r="H581" s="40"/>
      <c r="I581" s="326"/>
    </row>
    <row r="582" spans="1:9" ht="14.4" x14ac:dyDescent="0.3">
      <c r="A582" s="324"/>
      <c r="B582" s="324" t="s">
        <v>656</v>
      </c>
      <c r="C582" s="328" t="s">
        <v>115</v>
      </c>
      <c r="E582" s="326">
        <v>0</v>
      </c>
      <c r="F582" s="48">
        <f t="shared" si="18"/>
        <v>0</v>
      </c>
      <c r="G582" s="328"/>
      <c r="H582" s="40"/>
      <c r="I582" s="326"/>
    </row>
    <row r="583" spans="1:9" ht="14.4" x14ac:dyDescent="0.3">
      <c r="A583" s="324"/>
      <c r="B583" s="324" t="s">
        <v>657</v>
      </c>
      <c r="C583" s="328" t="s">
        <v>115</v>
      </c>
      <c r="E583" s="326">
        <v>0</v>
      </c>
      <c r="F583" s="48">
        <f t="shared" si="18"/>
        <v>0</v>
      </c>
      <c r="G583" s="328"/>
      <c r="H583" s="40"/>
      <c r="I583" s="326"/>
    </row>
    <row r="584" spans="1:9" ht="14.4" x14ac:dyDescent="0.3">
      <c r="A584" s="324"/>
      <c r="B584" s="324" t="s">
        <v>658</v>
      </c>
      <c r="C584" s="328" t="s">
        <v>115</v>
      </c>
      <c r="E584" s="326">
        <v>0</v>
      </c>
      <c r="F584" s="48">
        <f t="shared" si="18"/>
        <v>0</v>
      </c>
      <c r="G584" s="328"/>
      <c r="H584" s="40"/>
      <c r="I584" s="326"/>
    </row>
    <row r="585" spans="1:9" ht="14.4" x14ac:dyDescent="0.3">
      <c r="A585" s="324"/>
      <c r="B585" s="324" t="s">
        <v>659</v>
      </c>
      <c r="C585" s="328" t="s">
        <v>115</v>
      </c>
      <c r="E585" s="326">
        <v>0</v>
      </c>
      <c r="F585" s="48">
        <f t="shared" si="18"/>
        <v>0</v>
      </c>
      <c r="G585" s="328"/>
      <c r="H585" s="40"/>
      <c r="I585" s="326"/>
    </row>
    <row r="586" spans="1:9" ht="14.4" x14ac:dyDescent="0.3">
      <c r="A586" s="324"/>
      <c r="B586" s="324" t="s">
        <v>660</v>
      </c>
      <c r="C586" s="328" t="s">
        <v>115</v>
      </c>
      <c r="D586" s="40">
        <v>2</v>
      </c>
      <c r="E586" s="326">
        <v>3</v>
      </c>
      <c r="F586" s="48">
        <f t="shared" si="18"/>
        <v>6</v>
      </c>
      <c r="G586" s="328"/>
      <c r="H586" s="40"/>
      <c r="I586" s="326"/>
    </row>
    <row r="587" spans="1:9" ht="14.4" x14ac:dyDescent="0.3">
      <c r="A587" s="324"/>
      <c r="B587" s="324" t="s">
        <v>661</v>
      </c>
      <c r="C587" s="328" t="s">
        <v>115</v>
      </c>
      <c r="E587" s="326">
        <v>0</v>
      </c>
      <c r="F587" s="48">
        <f t="shared" si="18"/>
        <v>0</v>
      </c>
      <c r="G587" s="328"/>
      <c r="H587" s="40"/>
      <c r="I587" s="326"/>
    </row>
    <row r="588" spans="1:9" ht="14.4" x14ac:dyDescent="0.3">
      <c r="A588" s="324"/>
      <c r="B588" s="324" t="s">
        <v>662</v>
      </c>
      <c r="C588" s="328" t="s">
        <v>115</v>
      </c>
      <c r="E588" s="326">
        <v>0</v>
      </c>
      <c r="F588" s="48">
        <f t="shared" si="18"/>
        <v>0</v>
      </c>
      <c r="G588" s="328"/>
      <c r="H588" s="40"/>
      <c r="I588" s="326"/>
    </row>
    <row r="589" spans="1:9" ht="14.4" x14ac:dyDescent="0.3">
      <c r="A589" s="324"/>
      <c r="B589" s="324" t="s">
        <v>663</v>
      </c>
      <c r="C589" s="328" t="s">
        <v>115</v>
      </c>
      <c r="E589" s="326">
        <v>0</v>
      </c>
      <c r="F589" s="48">
        <f t="shared" si="18"/>
        <v>0</v>
      </c>
      <c r="G589" s="328"/>
      <c r="H589" s="40"/>
      <c r="I589" s="326"/>
    </row>
    <row r="590" spans="1:9" ht="14.4" x14ac:dyDescent="0.3">
      <c r="A590" s="324"/>
      <c r="B590" s="324" t="s">
        <v>664</v>
      </c>
      <c r="C590" s="328" t="s">
        <v>115</v>
      </c>
      <c r="E590" s="326">
        <v>0</v>
      </c>
      <c r="F590" s="48">
        <f t="shared" si="18"/>
        <v>0</v>
      </c>
      <c r="G590" s="328"/>
      <c r="H590" s="40"/>
      <c r="I590" s="326"/>
    </row>
    <row r="591" spans="1:9" ht="14.4" x14ac:dyDescent="0.3">
      <c r="A591" s="324"/>
      <c r="B591" s="324" t="s">
        <v>665</v>
      </c>
      <c r="C591" s="328" t="s">
        <v>115</v>
      </c>
      <c r="E591" s="326">
        <v>0</v>
      </c>
      <c r="F591" s="48">
        <f t="shared" si="18"/>
        <v>0</v>
      </c>
      <c r="G591" s="328"/>
      <c r="H591" s="40"/>
      <c r="I591" s="326"/>
    </row>
    <row r="592" spans="1:9" ht="14.4" x14ac:dyDescent="0.3">
      <c r="A592" s="324"/>
      <c r="B592" s="324" t="s">
        <v>666</v>
      </c>
      <c r="C592" s="328" t="s">
        <v>115</v>
      </c>
      <c r="E592" s="326">
        <v>0</v>
      </c>
      <c r="F592" s="48">
        <f t="shared" si="18"/>
        <v>0</v>
      </c>
      <c r="G592" s="328"/>
      <c r="H592" s="40"/>
      <c r="I592" s="326"/>
    </row>
    <row r="593" spans="1:9" ht="14.4" x14ac:dyDescent="0.3">
      <c r="A593" s="324"/>
      <c r="B593" s="324" t="s">
        <v>667</v>
      </c>
      <c r="C593" s="328" t="s">
        <v>115</v>
      </c>
      <c r="E593" s="326">
        <v>0</v>
      </c>
      <c r="F593" s="48">
        <f t="shared" si="18"/>
        <v>0</v>
      </c>
      <c r="G593" s="328"/>
      <c r="H593" s="40"/>
      <c r="I593" s="326"/>
    </row>
    <row r="594" spans="1:9" ht="14.4" x14ac:dyDescent="0.3">
      <c r="A594" s="324"/>
      <c r="B594" s="324" t="s">
        <v>668</v>
      </c>
      <c r="C594" s="328" t="s">
        <v>115</v>
      </c>
      <c r="E594" s="326">
        <v>0</v>
      </c>
      <c r="F594" s="48">
        <f t="shared" si="18"/>
        <v>0</v>
      </c>
      <c r="G594" s="328"/>
      <c r="H594" s="40"/>
      <c r="I594" s="326"/>
    </row>
    <row r="595" spans="1:9" ht="14.4" x14ac:dyDescent="0.3">
      <c r="A595" s="324"/>
      <c r="B595" s="324" t="s">
        <v>669</v>
      </c>
      <c r="C595" s="328" t="s">
        <v>115</v>
      </c>
      <c r="E595" s="326">
        <v>0</v>
      </c>
      <c r="F595" s="48">
        <f t="shared" si="18"/>
        <v>0</v>
      </c>
      <c r="G595" s="328"/>
      <c r="H595" s="40"/>
      <c r="I595" s="326"/>
    </row>
    <row r="596" spans="1:9" ht="14.4" x14ac:dyDescent="0.3">
      <c r="A596" s="324"/>
      <c r="B596" s="324" t="s">
        <v>670</v>
      </c>
      <c r="C596" s="328" t="s">
        <v>115</v>
      </c>
      <c r="E596" s="326">
        <v>0</v>
      </c>
      <c r="F596" s="48">
        <f t="shared" si="18"/>
        <v>0</v>
      </c>
      <c r="G596" s="328"/>
      <c r="H596" s="40"/>
      <c r="I596" s="326"/>
    </row>
    <row r="597" spans="1:9" ht="14.4" x14ac:dyDescent="0.3">
      <c r="A597" s="324"/>
      <c r="B597" s="324" t="s">
        <v>671</v>
      </c>
      <c r="C597" s="328" t="s">
        <v>115</v>
      </c>
      <c r="E597" s="326">
        <v>0</v>
      </c>
      <c r="F597" s="48">
        <f t="shared" si="18"/>
        <v>0</v>
      </c>
      <c r="G597" s="328"/>
      <c r="H597" s="40"/>
      <c r="I597" s="326"/>
    </row>
    <row r="598" spans="1:9" ht="14.4" x14ac:dyDescent="0.3">
      <c r="A598" s="324"/>
      <c r="B598" s="324" t="s">
        <v>672</v>
      </c>
      <c r="C598" s="328" t="s">
        <v>115</v>
      </c>
      <c r="E598" s="326">
        <v>0</v>
      </c>
      <c r="F598" s="48">
        <f t="shared" si="18"/>
        <v>0</v>
      </c>
      <c r="G598" s="328"/>
      <c r="H598" s="40"/>
      <c r="I598" s="326"/>
    </row>
    <row r="599" spans="1:9" ht="14.4" x14ac:dyDescent="0.3">
      <c r="A599" s="324"/>
      <c r="B599" s="324" t="s">
        <v>673</v>
      </c>
      <c r="C599" s="328" t="s">
        <v>115</v>
      </c>
      <c r="E599" s="326">
        <v>0</v>
      </c>
      <c r="F599" s="48">
        <f t="shared" si="18"/>
        <v>0</v>
      </c>
      <c r="G599" s="328"/>
      <c r="H599" s="40"/>
      <c r="I599" s="326"/>
    </row>
    <row r="600" spans="1:9" ht="14.4" x14ac:dyDescent="0.3">
      <c r="A600" s="324"/>
      <c r="B600" s="324" t="s">
        <v>674</v>
      </c>
      <c r="C600" s="328" t="s">
        <v>115</v>
      </c>
      <c r="E600" s="326">
        <v>0</v>
      </c>
      <c r="F600" s="48">
        <f t="shared" si="18"/>
        <v>0</v>
      </c>
      <c r="G600" s="328"/>
      <c r="H600" s="40"/>
      <c r="I600" s="326"/>
    </row>
    <row r="601" spans="1:9" ht="14.4" x14ac:dyDescent="0.3">
      <c r="A601" s="324"/>
      <c r="B601" s="324" t="s">
        <v>675</v>
      </c>
      <c r="C601" s="328" t="s">
        <v>115</v>
      </c>
      <c r="E601" s="326">
        <v>0</v>
      </c>
      <c r="F601" s="48">
        <f t="shared" si="18"/>
        <v>0</v>
      </c>
      <c r="G601" s="328"/>
      <c r="H601" s="40"/>
      <c r="I601" s="326"/>
    </row>
    <row r="602" spans="1:9" ht="14.4" x14ac:dyDescent="0.3">
      <c r="A602" s="324"/>
      <c r="B602" s="324" t="s">
        <v>676</v>
      </c>
      <c r="C602" s="328" t="s">
        <v>115</v>
      </c>
      <c r="E602" s="326">
        <v>26.25</v>
      </c>
      <c r="F602" s="48">
        <f t="shared" si="18"/>
        <v>0</v>
      </c>
      <c r="G602" s="328"/>
      <c r="H602" s="40"/>
      <c r="I602" s="326"/>
    </row>
    <row r="603" spans="1:9" ht="14.4" x14ac:dyDescent="0.3">
      <c r="A603" s="324"/>
      <c r="B603" s="324" t="s">
        <v>677</v>
      </c>
      <c r="C603" s="328" t="s">
        <v>115</v>
      </c>
      <c r="E603" s="326">
        <v>0</v>
      </c>
      <c r="F603" s="48">
        <f t="shared" si="18"/>
        <v>0</v>
      </c>
      <c r="G603" s="328"/>
      <c r="H603" s="40"/>
      <c r="I603" s="326"/>
    </row>
    <row r="604" spans="1:9" ht="14.4" x14ac:dyDescent="0.3">
      <c r="A604" s="324"/>
      <c r="B604" s="324" t="s">
        <v>678</v>
      </c>
      <c r="C604" s="328" t="s">
        <v>115</v>
      </c>
      <c r="E604" s="326">
        <v>0</v>
      </c>
      <c r="F604" s="48">
        <f t="shared" si="18"/>
        <v>0</v>
      </c>
      <c r="G604" s="328"/>
      <c r="H604" s="40"/>
      <c r="I604" s="326"/>
    </row>
    <row r="605" spans="1:9" ht="14.4" x14ac:dyDescent="0.3">
      <c r="A605" s="324"/>
      <c r="B605" s="324" t="s">
        <v>679</v>
      </c>
      <c r="C605" s="328" t="s">
        <v>115</v>
      </c>
      <c r="E605" s="326">
        <v>0</v>
      </c>
      <c r="F605" s="48">
        <f t="shared" si="18"/>
        <v>0</v>
      </c>
      <c r="G605" s="328"/>
      <c r="H605" s="40"/>
      <c r="I605" s="326"/>
    </row>
    <row r="606" spans="1:9" ht="14.4" x14ac:dyDescent="0.3">
      <c r="A606" s="324"/>
      <c r="B606" s="324" t="s">
        <v>680</v>
      </c>
      <c r="C606" s="328" t="s">
        <v>115</v>
      </c>
      <c r="E606" s="326">
        <v>0</v>
      </c>
      <c r="F606" s="48">
        <f t="shared" si="18"/>
        <v>0</v>
      </c>
      <c r="G606" s="328"/>
      <c r="H606" s="40"/>
      <c r="I606" s="326"/>
    </row>
    <row r="607" spans="1:9" ht="14.4" x14ac:dyDescent="0.3">
      <c r="A607" s="324"/>
      <c r="B607" s="324" t="s">
        <v>681</v>
      </c>
      <c r="C607" s="328" t="s">
        <v>115</v>
      </c>
      <c r="E607" s="326">
        <v>0</v>
      </c>
      <c r="F607" s="48">
        <f t="shared" ref="F607:F673" si="19">E607*D607</f>
        <v>0</v>
      </c>
      <c r="G607" s="328"/>
      <c r="H607" s="40"/>
      <c r="I607" s="326"/>
    </row>
    <row r="608" spans="1:9" ht="14.4" x14ac:dyDescent="0.3">
      <c r="A608" s="324"/>
      <c r="B608" s="324" t="s">
        <v>682</v>
      </c>
      <c r="C608" s="328" t="s">
        <v>115</v>
      </c>
      <c r="E608" s="326">
        <v>0</v>
      </c>
      <c r="F608" s="48">
        <f t="shared" si="19"/>
        <v>0</v>
      </c>
      <c r="G608" s="328"/>
      <c r="H608" s="40"/>
      <c r="I608" s="326"/>
    </row>
    <row r="609" spans="1:9" ht="14.4" x14ac:dyDescent="0.3">
      <c r="A609" s="324"/>
      <c r="B609" s="324" t="s">
        <v>683</v>
      </c>
      <c r="C609" s="328" t="s">
        <v>115</v>
      </c>
      <c r="E609" s="326">
        <v>0</v>
      </c>
      <c r="F609" s="48">
        <f t="shared" si="19"/>
        <v>0</v>
      </c>
      <c r="G609" s="328"/>
      <c r="H609" s="40"/>
      <c r="I609" s="326"/>
    </row>
    <row r="610" spans="1:9" ht="14.4" x14ac:dyDescent="0.3">
      <c r="A610" s="324"/>
      <c r="B610" s="324" t="s">
        <v>684</v>
      </c>
      <c r="C610" s="328" t="s">
        <v>115</v>
      </c>
      <c r="E610" s="326">
        <v>0</v>
      </c>
      <c r="F610" s="48">
        <f t="shared" si="19"/>
        <v>0</v>
      </c>
      <c r="G610" s="328"/>
      <c r="H610" s="40"/>
      <c r="I610" s="326"/>
    </row>
    <row r="611" spans="1:9" ht="14.4" x14ac:dyDescent="0.3">
      <c r="A611" s="324"/>
      <c r="B611" s="324" t="s">
        <v>685</v>
      </c>
      <c r="C611" s="328" t="s">
        <v>115</v>
      </c>
      <c r="E611" s="326">
        <v>0</v>
      </c>
      <c r="F611" s="48">
        <f t="shared" si="19"/>
        <v>0</v>
      </c>
      <c r="G611" s="328"/>
      <c r="H611" s="40"/>
      <c r="I611" s="326"/>
    </row>
    <row r="612" spans="1:9" ht="14.4" x14ac:dyDescent="0.3">
      <c r="A612" s="324"/>
      <c r="B612" s="324" t="s">
        <v>686</v>
      </c>
      <c r="C612" s="328" t="s">
        <v>115</v>
      </c>
      <c r="E612" s="326">
        <v>0</v>
      </c>
      <c r="F612" s="48">
        <f t="shared" si="19"/>
        <v>0</v>
      </c>
      <c r="G612" s="328"/>
      <c r="H612" s="40"/>
      <c r="I612" s="326"/>
    </row>
    <row r="613" spans="1:9" ht="14.4" x14ac:dyDescent="0.3">
      <c r="A613" s="324"/>
      <c r="B613" s="324" t="s">
        <v>687</v>
      </c>
      <c r="C613" s="328" t="s">
        <v>115</v>
      </c>
      <c r="E613" s="326">
        <v>0</v>
      </c>
      <c r="F613" s="48">
        <f t="shared" si="19"/>
        <v>0</v>
      </c>
      <c r="G613" s="328"/>
      <c r="H613" s="40"/>
      <c r="I613" s="326"/>
    </row>
    <row r="614" spans="1:9" ht="14.4" x14ac:dyDescent="0.3">
      <c r="A614" s="324"/>
      <c r="B614" s="324" t="s">
        <v>688</v>
      </c>
      <c r="C614" s="328" t="s">
        <v>115</v>
      </c>
      <c r="E614" s="326">
        <v>0</v>
      </c>
      <c r="F614" s="48">
        <f t="shared" si="19"/>
        <v>0</v>
      </c>
      <c r="G614" s="328"/>
      <c r="H614" s="40"/>
      <c r="I614" s="326"/>
    </row>
    <row r="615" spans="1:9" ht="14.4" x14ac:dyDescent="0.3">
      <c r="A615" s="324"/>
      <c r="B615" s="324" t="s">
        <v>689</v>
      </c>
      <c r="C615" s="328" t="s">
        <v>115</v>
      </c>
      <c r="E615" s="326">
        <v>0</v>
      </c>
      <c r="F615" s="48">
        <f t="shared" si="19"/>
        <v>0</v>
      </c>
      <c r="G615" s="328"/>
      <c r="H615" s="40"/>
      <c r="I615" s="326"/>
    </row>
    <row r="616" spans="1:9" ht="14.4" x14ac:dyDescent="0.3">
      <c r="A616" s="324"/>
      <c r="B616" s="324" t="s">
        <v>690</v>
      </c>
      <c r="C616" s="328" t="s">
        <v>115</v>
      </c>
      <c r="E616" s="326">
        <v>0</v>
      </c>
      <c r="F616" s="48">
        <f t="shared" si="19"/>
        <v>0</v>
      </c>
      <c r="G616" s="328"/>
      <c r="H616" s="40"/>
      <c r="I616" s="326"/>
    </row>
    <row r="617" spans="1:9" ht="14.4" x14ac:dyDescent="0.3">
      <c r="A617" s="324"/>
      <c r="B617" s="324" t="s">
        <v>691</v>
      </c>
      <c r="C617" s="328" t="s">
        <v>115</v>
      </c>
      <c r="E617" s="326">
        <v>0</v>
      </c>
      <c r="F617" s="48">
        <f t="shared" si="19"/>
        <v>0</v>
      </c>
      <c r="G617" s="328"/>
      <c r="H617" s="40"/>
      <c r="I617" s="326"/>
    </row>
    <row r="618" spans="1:9" ht="14.4" x14ac:dyDescent="0.3">
      <c r="A618" s="324"/>
      <c r="B618" s="324" t="s">
        <v>692</v>
      </c>
      <c r="C618" s="328" t="s">
        <v>115</v>
      </c>
      <c r="E618" s="326">
        <v>0</v>
      </c>
      <c r="F618" s="48">
        <f t="shared" si="19"/>
        <v>0</v>
      </c>
      <c r="G618" s="328"/>
      <c r="H618" s="40"/>
      <c r="I618" s="326"/>
    </row>
    <row r="619" spans="1:9" ht="14.4" x14ac:dyDescent="0.3">
      <c r="A619" s="324"/>
      <c r="B619" s="324" t="s">
        <v>693</v>
      </c>
      <c r="C619" s="328" t="s">
        <v>115</v>
      </c>
      <c r="E619" s="326">
        <v>0</v>
      </c>
      <c r="F619" s="48">
        <f t="shared" si="19"/>
        <v>0</v>
      </c>
      <c r="G619" s="328"/>
      <c r="H619" s="40"/>
      <c r="I619" s="326"/>
    </row>
    <row r="620" spans="1:9" ht="14.4" x14ac:dyDescent="0.3">
      <c r="A620" s="324"/>
      <c r="B620" s="324" t="s">
        <v>694</v>
      </c>
      <c r="C620" s="328" t="s">
        <v>115</v>
      </c>
      <c r="E620" s="326">
        <v>0</v>
      </c>
      <c r="F620" s="48">
        <f t="shared" si="19"/>
        <v>0</v>
      </c>
      <c r="G620" s="328"/>
      <c r="H620" s="40"/>
      <c r="I620" s="326"/>
    </row>
    <row r="621" spans="1:9" ht="14.4" x14ac:dyDescent="0.3">
      <c r="A621" s="324"/>
      <c r="B621" s="324" t="s">
        <v>695</v>
      </c>
      <c r="C621" s="328" t="s">
        <v>115</v>
      </c>
      <c r="E621" s="326">
        <v>0</v>
      </c>
      <c r="F621" s="48">
        <f t="shared" si="19"/>
        <v>0</v>
      </c>
      <c r="G621" s="328"/>
      <c r="H621" s="40"/>
      <c r="I621" s="326"/>
    </row>
    <row r="622" spans="1:9" ht="14.4" x14ac:dyDescent="0.3">
      <c r="A622" s="324"/>
      <c r="B622" s="324" t="s">
        <v>696</v>
      </c>
      <c r="C622" s="328" t="s">
        <v>115</v>
      </c>
      <c r="E622" s="326">
        <v>0</v>
      </c>
      <c r="F622" s="48">
        <f t="shared" si="19"/>
        <v>0</v>
      </c>
      <c r="G622" s="328"/>
      <c r="H622" s="40"/>
      <c r="I622" s="326"/>
    </row>
    <row r="623" spans="1:9" ht="14.4" x14ac:dyDescent="0.3">
      <c r="A623" s="324"/>
      <c r="B623" s="324" t="s">
        <v>697</v>
      </c>
      <c r="C623" s="328" t="s">
        <v>115</v>
      </c>
      <c r="E623" s="326">
        <v>0</v>
      </c>
      <c r="F623" s="48">
        <f t="shared" si="19"/>
        <v>0</v>
      </c>
      <c r="G623" s="328"/>
      <c r="H623" s="40"/>
      <c r="I623" s="326"/>
    </row>
    <row r="624" spans="1:9" ht="14.4" x14ac:dyDescent="0.3">
      <c r="A624" s="324"/>
      <c r="B624" s="324" t="s">
        <v>698</v>
      </c>
      <c r="C624" s="328" t="s">
        <v>115</v>
      </c>
      <c r="E624" s="326">
        <v>0</v>
      </c>
      <c r="F624" s="48">
        <f t="shared" si="19"/>
        <v>0</v>
      </c>
      <c r="G624" s="328"/>
      <c r="H624" s="40"/>
      <c r="I624" s="326"/>
    </row>
    <row r="625" spans="1:9" ht="14.4" x14ac:dyDescent="0.3">
      <c r="A625" s="324"/>
      <c r="B625" s="324" t="s">
        <v>699</v>
      </c>
      <c r="C625" s="328" t="s">
        <v>115</v>
      </c>
      <c r="E625" s="326">
        <v>0</v>
      </c>
      <c r="F625" s="48">
        <f t="shared" si="19"/>
        <v>0</v>
      </c>
      <c r="G625" s="328"/>
      <c r="H625" s="40"/>
      <c r="I625" s="326"/>
    </row>
    <row r="626" spans="1:9" ht="14.4" x14ac:dyDescent="0.3">
      <c r="A626" s="324"/>
      <c r="B626" s="324" t="s">
        <v>700</v>
      </c>
      <c r="C626" s="328" t="s">
        <v>115</v>
      </c>
      <c r="E626" s="326">
        <v>0</v>
      </c>
      <c r="F626" s="48">
        <f t="shared" si="19"/>
        <v>0</v>
      </c>
      <c r="G626" s="328"/>
      <c r="H626" s="40"/>
      <c r="I626" s="326"/>
    </row>
    <row r="627" spans="1:9" ht="14.4" x14ac:dyDescent="0.3">
      <c r="A627" s="324"/>
      <c r="B627" s="324" t="s">
        <v>701</v>
      </c>
      <c r="C627" s="328" t="s">
        <v>115</v>
      </c>
      <c r="E627" s="326">
        <v>0</v>
      </c>
      <c r="F627" s="48">
        <f t="shared" si="19"/>
        <v>0</v>
      </c>
      <c r="G627" s="328"/>
      <c r="H627" s="40"/>
      <c r="I627" s="326"/>
    </row>
    <row r="628" spans="1:9" ht="14.4" x14ac:dyDescent="0.3">
      <c r="A628" s="324"/>
      <c r="B628" s="324" t="s">
        <v>702</v>
      </c>
      <c r="C628" s="328" t="s">
        <v>115</v>
      </c>
      <c r="E628" s="326">
        <v>0</v>
      </c>
      <c r="F628" s="48">
        <f t="shared" si="19"/>
        <v>0</v>
      </c>
      <c r="G628" s="328"/>
      <c r="H628" s="40"/>
      <c r="I628" s="326"/>
    </row>
    <row r="629" spans="1:9" ht="14.4" x14ac:dyDescent="0.3">
      <c r="A629" s="324"/>
      <c r="B629" s="324" t="s">
        <v>703</v>
      </c>
      <c r="C629" s="328" t="s">
        <v>115</v>
      </c>
      <c r="E629" s="326">
        <v>0</v>
      </c>
      <c r="F629" s="48">
        <f t="shared" si="19"/>
        <v>0</v>
      </c>
      <c r="G629" s="328"/>
      <c r="H629" s="40"/>
      <c r="I629" s="326"/>
    </row>
    <row r="630" spans="1:9" ht="14.4" x14ac:dyDescent="0.3">
      <c r="A630" s="324"/>
      <c r="B630" s="324"/>
      <c r="C630" s="328"/>
      <c r="E630" s="326">
        <v>0</v>
      </c>
      <c r="F630" s="48">
        <f t="shared" si="19"/>
        <v>0</v>
      </c>
      <c r="G630" s="328"/>
      <c r="H630" s="40"/>
      <c r="I630" s="326"/>
    </row>
    <row r="631" spans="1:9" ht="14.4" x14ac:dyDescent="0.3">
      <c r="A631" s="324"/>
      <c r="B631" s="324" t="s">
        <v>704</v>
      </c>
      <c r="C631" s="328" t="s">
        <v>149</v>
      </c>
      <c r="E631" s="326">
        <v>0</v>
      </c>
      <c r="F631" s="48">
        <f t="shared" si="19"/>
        <v>0</v>
      </c>
      <c r="G631" s="328"/>
      <c r="H631" s="40"/>
      <c r="I631" s="326"/>
    </row>
    <row r="632" spans="1:9" ht="14.4" x14ac:dyDescent="0.3">
      <c r="A632" s="324"/>
      <c r="B632" s="324" t="s">
        <v>705</v>
      </c>
      <c r="C632" s="328" t="s">
        <v>149</v>
      </c>
      <c r="E632" s="326">
        <v>0</v>
      </c>
      <c r="F632" s="48">
        <f t="shared" si="19"/>
        <v>0</v>
      </c>
      <c r="G632" s="328"/>
      <c r="H632" s="40"/>
      <c r="I632" s="326"/>
    </row>
    <row r="633" spans="1:9" ht="14.4" x14ac:dyDescent="0.3">
      <c r="A633" s="324"/>
      <c r="B633" s="324" t="s">
        <v>706</v>
      </c>
      <c r="C633" s="328" t="s">
        <v>149</v>
      </c>
      <c r="E633" s="326">
        <v>0</v>
      </c>
      <c r="F633" s="48">
        <f t="shared" si="19"/>
        <v>0</v>
      </c>
      <c r="G633" s="328"/>
      <c r="H633" s="40"/>
      <c r="I633" s="326"/>
    </row>
    <row r="634" spans="1:9" ht="14.4" x14ac:dyDescent="0.3">
      <c r="A634" s="324"/>
      <c r="B634" s="324" t="s">
        <v>707</v>
      </c>
      <c r="C634" s="328" t="s">
        <v>115</v>
      </c>
      <c r="E634" s="326">
        <v>0</v>
      </c>
      <c r="F634" s="48">
        <f t="shared" si="19"/>
        <v>0</v>
      </c>
      <c r="G634" s="328"/>
      <c r="H634" s="40"/>
      <c r="I634" s="326"/>
    </row>
    <row r="635" spans="1:9" ht="14.4" x14ac:dyDescent="0.3">
      <c r="A635" s="324"/>
      <c r="B635" s="324" t="s">
        <v>708</v>
      </c>
      <c r="C635" s="328" t="s">
        <v>115</v>
      </c>
      <c r="E635" s="326">
        <v>0</v>
      </c>
      <c r="F635" s="48">
        <f t="shared" si="19"/>
        <v>0</v>
      </c>
      <c r="G635" s="328"/>
      <c r="H635" s="40"/>
      <c r="I635" s="326"/>
    </row>
    <row r="636" spans="1:9" ht="14.4" x14ac:dyDescent="0.3">
      <c r="A636" s="324"/>
      <c r="B636" s="324" t="s">
        <v>709</v>
      </c>
      <c r="C636" s="328" t="s">
        <v>115</v>
      </c>
      <c r="E636" s="326">
        <v>0</v>
      </c>
      <c r="F636" s="48">
        <f t="shared" si="19"/>
        <v>0</v>
      </c>
      <c r="G636" s="328"/>
      <c r="H636" s="40"/>
      <c r="I636" s="326"/>
    </row>
    <row r="637" spans="1:9" ht="14.4" x14ac:dyDescent="0.3">
      <c r="A637" s="324"/>
      <c r="B637" s="324" t="s">
        <v>710</v>
      </c>
      <c r="C637" s="328" t="s">
        <v>115</v>
      </c>
      <c r="E637" s="326">
        <v>0</v>
      </c>
      <c r="F637" s="48">
        <f t="shared" si="19"/>
        <v>0</v>
      </c>
      <c r="G637" s="328"/>
      <c r="H637" s="40"/>
      <c r="I637" s="326"/>
    </row>
    <row r="638" spans="1:9" ht="14.4" x14ac:dyDescent="0.3">
      <c r="A638" s="324"/>
      <c r="B638" s="324" t="s">
        <v>711</v>
      </c>
      <c r="C638" s="328" t="s">
        <v>115</v>
      </c>
      <c r="E638" s="326">
        <v>0</v>
      </c>
      <c r="F638" s="48">
        <f t="shared" si="19"/>
        <v>0</v>
      </c>
      <c r="G638" s="328"/>
      <c r="H638" s="40"/>
      <c r="I638" s="326"/>
    </row>
    <row r="639" spans="1:9" ht="14.4" x14ac:dyDescent="0.3">
      <c r="A639" s="324"/>
      <c r="B639" s="324" t="s">
        <v>712</v>
      </c>
      <c r="C639" s="328" t="s">
        <v>115</v>
      </c>
      <c r="E639" s="326">
        <v>0</v>
      </c>
      <c r="F639" s="48">
        <f t="shared" si="19"/>
        <v>0</v>
      </c>
      <c r="G639" s="328"/>
      <c r="H639" s="40"/>
      <c r="I639" s="326"/>
    </row>
    <row r="640" spans="1:9" ht="14.4" x14ac:dyDescent="0.3">
      <c r="A640" s="324"/>
      <c r="B640" s="324" t="s">
        <v>713</v>
      </c>
      <c r="C640" s="328" t="s">
        <v>115</v>
      </c>
      <c r="E640" s="326">
        <v>0</v>
      </c>
      <c r="F640" s="48">
        <f t="shared" si="19"/>
        <v>0</v>
      </c>
      <c r="G640" s="328"/>
      <c r="H640" s="40"/>
      <c r="I640" s="326"/>
    </row>
    <row r="641" spans="1:9" ht="14.4" x14ac:dyDescent="0.3">
      <c r="A641" s="324"/>
      <c r="B641" s="324" t="s">
        <v>714</v>
      </c>
      <c r="C641" s="328" t="s">
        <v>115</v>
      </c>
      <c r="E641" s="326">
        <v>0</v>
      </c>
      <c r="F641" s="48">
        <f t="shared" si="19"/>
        <v>0</v>
      </c>
      <c r="G641" s="328"/>
      <c r="H641" s="40"/>
      <c r="I641" s="326"/>
    </row>
    <row r="642" spans="1:9" ht="14.4" x14ac:dyDescent="0.3">
      <c r="A642" s="324"/>
      <c r="B642" s="324" t="s">
        <v>715</v>
      </c>
      <c r="C642" s="328" t="s">
        <v>115</v>
      </c>
      <c r="E642" s="326">
        <v>0</v>
      </c>
      <c r="F642" s="48">
        <f t="shared" si="19"/>
        <v>0</v>
      </c>
      <c r="G642" s="328"/>
      <c r="H642" s="40"/>
      <c r="I642" s="326"/>
    </row>
    <row r="643" spans="1:9" ht="14.4" x14ac:dyDescent="0.3">
      <c r="A643" s="324"/>
      <c r="B643" s="324" t="s">
        <v>716</v>
      </c>
      <c r="C643" s="328" t="s">
        <v>115</v>
      </c>
      <c r="E643" s="326">
        <v>0</v>
      </c>
      <c r="F643" s="48">
        <f t="shared" si="19"/>
        <v>0</v>
      </c>
      <c r="G643" s="328"/>
      <c r="H643" s="40"/>
      <c r="I643" s="326"/>
    </row>
    <row r="644" spans="1:9" ht="14.4" x14ac:dyDescent="0.3">
      <c r="A644" s="324"/>
      <c r="B644" s="324" t="s">
        <v>717</v>
      </c>
      <c r="C644" s="328" t="s">
        <v>115</v>
      </c>
      <c r="E644" s="326">
        <v>0</v>
      </c>
      <c r="F644" s="48">
        <f t="shared" si="19"/>
        <v>0</v>
      </c>
      <c r="G644" s="328"/>
      <c r="H644" s="40"/>
      <c r="I644" s="326"/>
    </row>
    <row r="645" spans="1:9" ht="14.4" x14ac:dyDescent="0.3">
      <c r="A645" s="324"/>
      <c r="B645" s="324" t="s">
        <v>718</v>
      </c>
      <c r="C645" s="328" t="s">
        <v>115</v>
      </c>
      <c r="E645" s="326">
        <v>0</v>
      </c>
      <c r="F645" s="48">
        <f t="shared" si="19"/>
        <v>0</v>
      </c>
      <c r="G645" s="328"/>
      <c r="H645" s="40"/>
      <c r="I645" s="326"/>
    </row>
    <row r="646" spans="1:9" ht="14.4" x14ac:dyDescent="0.3">
      <c r="A646" s="324"/>
      <c r="B646" s="324" t="s">
        <v>719</v>
      </c>
      <c r="C646" s="328" t="s">
        <v>115</v>
      </c>
      <c r="E646" s="326">
        <v>0</v>
      </c>
      <c r="F646" s="48">
        <f t="shared" si="19"/>
        <v>0</v>
      </c>
      <c r="G646" s="328"/>
      <c r="H646" s="40"/>
      <c r="I646" s="326"/>
    </row>
    <row r="647" spans="1:9" ht="14.4" x14ac:dyDescent="0.3">
      <c r="A647" s="324"/>
      <c r="B647" s="324" t="s">
        <v>720</v>
      </c>
      <c r="C647" s="328" t="s">
        <v>115</v>
      </c>
      <c r="E647" s="326">
        <v>0</v>
      </c>
      <c r="F647" s="48">
        <f t="shared" si="19"/>
        <v>0</v>
      </c>
      <c r="G647" s="328"/>
      <c r="H647" s="40"/>
      <c r="I647" s="326"/>
    </row>
    <row r="648" spans="1:9" ht="14.4" x14ac:dyDescent="0.3">
      <c r="A648" s="324"/>
      <c r="B648" s="324" t="s">
        <v>721</v>
      </c>
      <c r="C648" s="328" t="s">
        <v>115</v>
      </c>
      <c r="E648" s="326">
        <v>0</v>
      </c>
      <c r="F648" s="48">
        <f t="shared" si="19"/>
        <v>0</v>
      </c>
      <c r="G648" s="328"/>
      <c r="H648" s="40"/>
      <c r="I648" s="326"/>
    </row>
    <row r="649" spans="1:9" ht="14.4" x14ac:dyDescent="0.3">
      <c r="A649" s="324"/>
      <c r="B649" s="324" t="s">
        <v>722</v>
      </c>
      <c r="C649" s="328" t="s">
        <v>115</v>
      </c>
      <c r="E649" s="326">
        <v>0</v>
      </c>
      <c r="F649" s="48">
        <f t="shared" si="19"/>
        <v>0</v>
      </c>
      <c r="G649" s="328"/>
      <c r="H649" s="40"/>
      <c r="I649" s="326"/>
    </row>
    <row r="650" spans="1:9" ht="14.4" x14ac:dyDescent="0.3">
      <c r="A650" s="324"/>
      <c r="B650" s="324" t="s">
        <v>723</v>
      </c>
      <c r="C650" s="328" t="s">
        <v>115</v>
      </c>
      <c r="E650" s="326">
        <v>0</v>
      </c>
      <c r="F650" s="48">
        <f t="shared" si="19"/>
        <v>0</v>
      </c>
      <c r="G650" s="328"/>
      <c r="H650" s="40"/>
      <c r="I650" s="326"/>
    </row>
    <row r="651" spans="1:9" ht="14.4" x14ac:dyDescent="0.3">
      <c r="A651" s="324"/>
      <c r="B651" s="324"/>
      <c r="C651" s="328"/>
      <c r="E651" s="326"/>
      <c r="F651" s="48">
        <f t="shared" si="19"/>
        <v>0</v>
      </c>
    </row>
    <row r="652" spans="1:9" ht="14.4" x14ac:dyDescent="0.3">
      <c r="A652"/>
      <c r="B652" s="330" t="s">
        <v>724</v>
      </c>
      <c r="C652" s="419" t="s">
        <v>115</v>
      </c>
      <c r="E652" s="326">
        <v>56</v>
      </c>
      <c r="F652" s="48">
        <f t="shared" si="19"/>
        <v>0</v>
      </c>
    </row>
    <row r="653" spans="1:9" ht="14.4" x14ac:dyDescent="0.3">
      <c r="A653"/>
      <c r="B653" t="s">
        <v>725</v>
      </c>
      <c r="C653" s="303" t="s">
        <v>115</v>
      </c>
      <c r="E653" s="326">
        <v>202.94</v>
      </c>
      <c r="F653" s="48">
        <f t="shared" si="19"/>
        <v>0</v>
      </c>
    </row>
    <row r="654" spans="1:9" ht="14.4" x14ac:dyDescent="0.3">
      <c r="A654"/>
      <c r="B654" t="s">
        <v>726</v>
      </c>
      <c r="C654" s="303" t="s">
        <v>115</v>
      </c>
      <c r="E654" s="326">
        <v>92.67</v>
      </c>
      <c r="F654" s="48">
        <f t="shared" si="19"/>
        <v>0</v>
      </c>
    </row>
    <row r="655" spans="1:9" ht="14.4" x14ac:dyDescent="0.3">
      <c r="A655"/>
      <c r="B655" t="s">
        <v>727</v>
      </c>
      <c r="C655" s="303" t="s">
        <v>115</v>
      </c>
      <c r="E655" s="326">
        <v>24.71</v>
      </c>
      <c r="F655" s="48">
        <f t="shared" si="19"/>
        <v>0</v>
      </c>
    </row>
    <row r="656" spans="1:9" ht="14.4" x14ac:dyDescent="0.3">
      <c r="A656"/>
      <c r="B656" t="s">
        <v>340</v>
      </c>
      <c r="C656" s="303" t="s">
        <v>115</v>
      </c>
      <c r="E656" s="326">
        <v>20</v>
      </c>
      <c r="F656" s="48">
        <f t="shared" si="19"/>
        <v>0</v>
      </c>
    </row>
    <row r="657" spans="1:11" ht="14.4" x14ac:dyDescent="0.3">
      <c r="A657"/>
      <c r="B657" t="s">
        <v>305</v>
      </c>
      <c r="C657" s="303" t="s">
        <v>115</v>
      </c>
      <c r="E657" s="326">
        <v>136.94</v>
      </c>
      <c r="F657" s="48">
        <f t="shared" si="19"/>
        <v>0</v>
      </c>
    </row>
    <row r="658" spans="1:11" ht="14.4" x14ac:dyDescent="0.3">
      <c r="A658"/>
      <c r="B658" t="s">
        <v>374</v>
      </c>
      <c r="C658" s="303" t="s">
        <v>115</v>
      </c>
      <c r="E658" s="326">
        <v>365</v>
      </c>
      <c r="F658" s="48">
        <f t="shared" si="19"/>
        <v>0</v>
      </c>
      <c r="J658" s="326"/>
      <c r="K658" s="48"/>
    </row>
    <row r="659" spans="1:11" ht="14.4" x14ac:dyDescent="0.3">
      <c r="A659"/>
      <c r="B659" t="s">
        <v>728</v>
      </c>
      <c r="C659" s="303" t="s">
        <v>115</v>
      </c>
      <c r="E659" s="326">
        <v>201.43</v>
      </c>
      <c r="F659" s="48">
        <f t="shared" si="19"/>
        <v>0</v>
      </c>
      <c r="J659" s="326"/>
      <c r="K659" s="48"/>
    </row>
    <row r="660" spans="1:11" ht="14.4" x14ac:dyDescent="0.3">
      <c r="A660"/>
      <c r="B660" t="s">
        <v>376</v>
      </c>
      <c r="C660" s="303" t="s">
        <v>115</v>
      </c>
      <c r="E660" s="326">
        <v>5</v>
      </c>
      <c r="F660" s="48">
        <f t="shared" si="19"/>
        <v>0</v>
      </c>
      <c r="J660" s="326"/>
      <c r="K660" s="48"/>
    </row>
    <row r="661" spans="1:11" ht="14.4" x14ac:dyDescent="0.3">
      <c r="A661"/>
      <c r="B661" t="s">
        <v>729</v>
      </c>
      <c r="C661" s="303" t="s">
        <v>115</v>
      </c>
      <c r="E661" s="326">
        <v>549.35</v>
      </c>
      <c r="F661" s="48">
        <f t="shared" si="19"/>
        <v>0</v>
      </c>
      <c r="J661" s="326"/>
      <c r="K661" s="48"/>
    </row>
    <row r="662" spans="1:11" ht="14.4" x14ac:dyDescent="0.3">
      <c r="A662"/>
      <c r="B662" t="s">
        <v>730</v>
      </c>
      <c r="C662" s="303" t="s">
        <v>115</v>
      </c>
      <c r="D662" s="40">
        <v>2</v>
      </c>
      <c r="E662" s="326">
        <v>290.39999999999998</v>
      </c>
      <c r="F662" s="48">
        <f t="shared" si="19"/>
        <v>580.79999999999995</v>
      </c>
      <c r="J662" s="326"/>
      <c r="K662" s="48"/>
    </row>
    <row r="663" spans="1:11" ht="14.4" x14ac:dyDescent="0.3">
      <c r="A663"/>
      <c r="B663" t="s">
        <v>731</v>
      </c>
      <c r="C663" s="303" t="s">
        <v>115</v>
      </c>
      <c r="E663" s="326">
        <v>1809.63</v>
      </c>
      <c r="F663" s="48">
        <f t="shared" si="19"/>
        <v>0</v>
      </c>
      <c r="J663" s="326"/>
      <c r="K663" s="48"/>
    </row>
    <row r="664" spans="1:11" ht="14.4" x14ac:dyDescent="0.3">
      <c r="A664"/>
      <c r="B664" s="63" t="s">
        <v>732</v>
      </c>
      <c r="C664" s="303" t="s">
        <v>115</v>
      </c>
      <c r="E664" s="326">
        <v>1650</v>
      </c>
      <c r="F664" s="48">
        <f t="shared" si="19"/>
        <v>0</v>
      </c>
      <c r="J664" s="326"/>
      <c r="K664" s="48"/>
    </row>
    <row r="665" spans="1:11" ht="14.4" x14ac:dyDescent="0.3">
      <c r="A665"/>
      <c r="B665" s="63" t="s">
        <v>733</v>
      </c>
      <c r="C665" s="303" t="s">
        <v>115</v>
      </c>
      <c r="E665" s="326">
        <v>160</v>
      </c>
      <c r="F665" s="48">
        <f t="shared" si="19"/>
        <v>0</v>
      </c>
      <c r="J665" s="326"/>
      <c r="K665" s="48"/>
    </row>
    <row r="666" spans="1:11" ht="14.4" x14ac:dyDescent="0.3">
      <c r="A666"/>
      <c r="B666" s="63" t="s">
        <v>734</v>
      </c>
      <c r="C666" s="303" t="s">
        <v>115</v>
      </c>
      <c r="E666" s="326">
        <v>750</v>
      </c>
      <c r="F666" s="48">
        <f t="shared" si="19"/>
        <v>0</v>
      </c>
      <c r="J666" s="326"/>
      <c r="K666" s="48"/>
    </row>
    <row r="667" spans="1:11" ht="14.4" x14ac:dyDescent="0.3">
      <c r="A667"/>
      <c r="B667" s="63" t="s">
        <v>735</v>
      </c>
      <c r="C667" s="303" t="s">
        <v>115</v>
      </c>
      <c r="E667" s="326">
        <v>450</v>
      </c>
      <c r="F667" s="48">
        <f t="shared" si="19"/>
        <v>0</v>
      </c>
      <c r="J667" s="326"/>
      <c r="K667" s="48"/>
    </row>
    <row r="668" spans="1:11" ht="14.4" x14ac:dyDescent="0.3">
      <c r="A668"/>
      <c r="B668" s="63" t="s">
        <v>736</v>
      </c>
      <c r="C668" s="303" t="s">
        <v>115</v>
      </c>
      <c r="E668" s="326">
        <v>1250</v>
      </c>
      <c r="F668" s="48">
        <f t="shared" si="19"/>
        <v>0</v>
      </c>
      <c r="J668" s="326"/>
      <c r="K668" s="48"/>
    </row>
    <row r="669" spans="1:11" ht="14.4" x14ac:dyDescent="0.3">
      <c r="A669"/>
      <c r="B669" t="s">
        <v>737</v>
      </c>
      <c r="C669" s="303" t="s">
        <v>115</v>
      </c>
      <c r="E669" s="326">
        <v>190</v>
      </c>
      <c r="F669" s="48">
        <f t="shared" si="19"/>
        <v>0</v>
      </c>
      <c r="J669" s="326"/>
      <c r="K669" s="48"/>
    </row>
    <row r="670" spans="1:11" ht="14.4" x14ac:dyDescent="0.3">
      <c r="A670"/>
      <c r="B670" t="s">
        <v>738</v>
      </c>
      <c r="C670" s="303" t="s">
        <v>115</v>
      </c>
      <c r="E670" s="326">
        <v>412.59</v>
      </c>
      <c r="F670" s="48">
        <f t="shared" si="19"/>
        <v>0</v>
      </c>
      <c r="J670" s="326"/>
      <c r="K670" s="48"/>
    </row>
    <row r="671" spans="1:11" ht="14.4" x14ac:dyDescent="0.3">
      <c r="A671"/>
      <c r="B671" t="s">
        <v>975</v>
      </c>
      <c r="C671" s="303" t="s">
        <v>115</v>
      </c>
      <c r="D671" s="40">
        <v>2</v>
      </c>
      <c r="E671" s="326">
        <v>502.1</v>
      </c>
      <c r="F671" s="48">
        <f t="shared" si="19"/>
        <v>1004.2</v>
      </c>
      <c r="J671" s="326"/>
      <c r="K671" s="48"/>
    </row>
    <row r="672" spans="1:11" ht="14.4" x14ac:dyDescent="0.3">
      <c r="A672"/>
      <c r="B672" t="s">
        <v>980</v>
      </c>
      <c r="C672" s="303" t="s">
        <v>115</v>
      </c>
      <c r="D672" s="40">
        <v>4</v>
      </c>
      <c r="E672" s="326">
        <v>200</v>
      </c>
      <c r="F672" s="48">
        <f t="shared" si="19"/>
        <v>800</v>
      </c>
      <c r="J672" s="326"/>
      <c r="K672" s="48"/>
    </row>
    <row r="673" spans="1:12" ht="14.4" x14ac:dyDescent="0.3">
      <c r="A673"/>
      <c r="B673" t="s">
        <v>981</v>
      </c>
      <c r="C673" s="303" t="s">
        <v>115</v>
      </c>
      <c r="D673" s="40">
        <v>7</v>
      </c>
      <c r="E673" s="326">
        <v>46</v>
      </c>
      <c r="F673" s="48">
        <f t="shared" si="19"/>
        <v>322</v>
      </c>
      <c r="J673" s="326"/>
      <c r="K673" s="48"/>
    </row>
    <row r="674" spans="1:12" ht="14.4" x14ac:dyDescent="0.3">
      <c r="A674"/>
      <c r="B674" t="s">
        <v>739</v>
      </c>
      <c r="C674" s="303" t="s">
        <v>115</v>
      </c>
      <c r="D674" s="40">
        <v>6</v>
      </c>
      <c r="E674" s="326">
        <v>18.649999999999999</v>
      </c>
      <c r="F674" s="48">
        <f t="shared" ref="F674:F677" si="20">E674*D674</f>
        <v>111.89999999999999</v>
      </c>
      <c r="J674" s="326"/>
      <c r="K674" s="48"/>
    </row>
    <row r="675" spans="1:12" ht="16.8" x14ac:dyDescent="0.3">
      <c r="A675"/>
      <c r="B675" s="331" t="s">
        <v>742</v>
      </c>
      <c r="C675" s="303" t="s">
        <v>115</v>
      </c>
      <c r="E675" s="326">
        <v>30</v>
      </c>
      <c r="F675" s="48">
        <f t="shared" si="20"/>
        <v>0</v>
      </c>
      <c r="J675" s="326"/>
      <c r="K675" s="48"/>
    </row>
    <row r="676" spans="1:12" ht="14.4" x14ac:dyDescent="0.3">
      <c r="A676"/>
      <c r="B676" t="s">
        <v>743</v>
      </c>
      <c r="C676" s="303" t="s">
        <v>115</v>
      </c>
      <c r="E676" s="326">
        <v>1850</v>
      </c>
      <c r="F676" s="48">
        <f t="shared" si="20"/>
        <v>0</v>
      </c>
      <c r="J676" s="326"/>
      <c r="K676" s="48"/>
    </row>
    <row r="677" spans="1:12" ht="14.4" x14ac:dyDescent="0.3">
      <c r="A677"/>
      <c r="B677" t="s">
        <v>744</v>
      </c>
      <c r="C677" s="303" t="s">
        <v>115</v>
      </c>
      <c r="E677" s="326">
        <v>1800</v>
      </c>
      <c r="F677" s="48">
        <f t="shared" si="20"/>
        <v>0</v>
      </c>
      <c r="J677" s="326"/>
      <c r="K677" s="48"/>
    </row>
    <row r="678" spans="1:12" ht="14.4" x14ac:dyDescent="0.3">
      <c r="A678"/>
      <c r="B678"/>
      <c r="C678" s="303" t="s">
        <v>115</v>
      </c>
      <c r="E678" s="326"/>
      <c r="F678" s="48"/>
      <c r="J678" s="326"/>
      <c r="K678" s="48"/>
    </row>
    <row r="679" spans="1:12" ht="14.4" x14ac:dyDescent="0.3">
      <c r="A679" s="324"/>
      <c r="B679" s="420" t="s">
        <v>745</v>
      </c>
      <c r="C679" s="328" t="s">
        <v>115</v>
      </c>
      <c r="E679" s="326">
        <v>3800</v>
      </c>
      <c r="F679" s="48">
        <f t="shared" ref="F679:F688" si="21">E679*D679</f>
        <v>0</v>
      </c>
      <c r="J679" s="326"/>
      <c r="K679" s="48"/>
    </row>
    <row r="680" spans="1:12" ht="14.4" x14ac:dyDescent="0.3">
      <c r="A680" s="324"/>
      <c r="B680" s="420" t="s">
        <v>746</v>
      </c>
      <c r="C680" s="419" t="s">
        <v>115</v>
      </c>
      <c r="E680" s="326">
        <v>371.37</v>
      </c>
      <c r="F680" s="48">
        <f t="shared" si="21"/>
        <v>0</v>
      </c>
      <c r="I680" s="328"/>
      <c r="J680" s="40"/>
      <c r="K680" s="326"/>
      <c r="L680" s="48"/>
    </row>
    <row r="681" spans="1:12" ht="14.4" x14ac:dyDescent="0.3">
      <c r="A681" s="324"/>
      <c r="B681" s="420" t="s">
        <v>747</v>
      </c>
      <c r="C681" s="419" t="s">
        <v>115</v>
      </c>
      <c r="E681" s="326">
        <f>430.67+38.37</f>
        <v>469.04</v>
      </c>
      <c r="F681" s="48">
        <f t="shared" si="21"/>
        <v>0</v>
      </c>
      <c r="I681" s="419"/>
      <c r="J681" s="40"/>
      <c r="K681" s="326"/>
      <c r="L681" s="48"/>
    </row>
    <row r="682" spans="1:12" ht="14.4" x14ac:dyDescent="0.3">
      <c r="A682" s="324"/>
      <c r="B682" s="420" t="s">
        <v>748</v>
      </c>
      <c r="C682" s="419" t="s">
        <v>115</v>
      </c>
      <c r="E682" s="326">
        <f>141.13+18.87+18.87+480.93</f>
        <v>659.8</v>
      </c>
      <c r="F682" s="48">
        <f t="shared" si="21"/>
        <v>0</v>
      </c>
      <c r="I682" s="419"/>
      <c r="J682" s="40"/>
      <c r="K682" s="326"/>
      <c r="L682" s="48"/>
    </row>
    <row r="683" spans="1:12" ht="14.4" x14ac:dyDescent="0.3">
      <c r="A683" s="324"/>
      <c r="B683" s="420" t="s">
        <v>749</v>
      </c>
      <c r="C683" s="328" t="s">
        <v>115</v>
      </c>
      <c r="E683" s="326">
        <v>587.96</v>
      </c>
      <c r="F683" s="48">
        <f t="shared" si="21"/>
        <v>0</v>
      </c>
      <c r="I683" s="419"/>
      <c r="J683" s="40"/>
      <c r="K683" s="326"/>
      <c r="L683" s="48"/>
    </row>
    <row r="684" spans="1:12" ht="14.4" x14ac:dyDescent="0.3">
      <c r="A684" s="324"/>
      <c r="B684" s="420" t="s">
        <v>750</v>
      </c>
      <c r="C684" s="328" t="s">
        <v>115</v>
      </c>
      <c r="E684" s="326">
        <v>641.58000000000004</v>
      </c>
      <c r="F684" s="48">
        <f t="shared" si="21"/>
        <v>0</v>
      </c>
      <c r="I684" s="328"/>
      <c r="J684" s="40"/>
      <c r="K684" s="326"/>
      <c r="L684" s="48"/>
    </row>
    <row r="685" spans="1:12" ht="14.4" x14ac:dyDescent="0.3">
      <c r="A685" s="324"/>
      <c r="B685" s="420" t="s">
        <v>752</v>
      </c>
      <c r="C685" s="419" t="s">
        <v>115</v>
      </c>
      <c r="E685" s="326">
        <v>50</v>
      </c>
      <c r="F685" s="48">
        <f t="shared" si="21"/>
        <v>0</v>
      </c>
      <c r="I685" s="328"/>
      <c r="J685" s="40"/>
      <c r="K685" s="326"/>
      <c r="L685" s="48"/>
    </row>
    <row r="686" spans="1:12" ht="14.4" x14ac:dyDescent="0.3">
      <c r="A686" s="324"/>
      <c r="B686" s="420" t="s">
        <v>753</v>
      </c>
      <c r="C686" s="328" t="s">
        <v>115</v>
      </c>
      <c r="E686" s="326">
        <v>31.71</v>
      </c>
      <c r="F686" s="48">
        <f t="shared" si="21"/>
        <v>0</v>
      </c>
      <c r="I686" s="419"/>
      <c r="J686" s="40"/>
      <c r="K686" s="326"/>
      <c r="L686" s="48"/>
    </row>
    <row r="687" spans="1:12" ht="14.4" x14ac:dyDescent="0.3">
      <c r="A687" s="324"/>
      <c r="B687" s="420" t="s">
        <v>754</v>
      </c>
      <c r="C687" s="328" t="s">
        <v>115</v>
      </c>
      <c r="E687" s="326">
        <v>146.09</v>
      </c>
      <c r="F687" s="48">
        <f t="shared" si="21"/>
        <v>0</v>
      </c>
      <c r="I687" s="328"/>
      <c r="J687" s="40"/>
      <c r="K687" s="326"/>
      <c r="L687" s="48"/>
    </row>
    <row r="688" spans="1:12" ht="14.4" x14ac:dyDescent="0.3">
      <c r="A688" s="324"/>
      <c r="B688" s="420" t="s">
        <v>755</v>
      </c>
      <c r="C688" s="328" t="s">
        <v>115</v>
      </c>
      <c r="E688" s="326">
        <v>99.49</v>
      </c>
      <c r="F688" s="48">
        <f t="shared" si="21"/>
        <v>0</v>
      </c>
      <c r="I688" s="328"/>
      <c r="J688" s="40"/>
      <c r="K688" s="326"/>
      <c r="L688" s="48"/>
    </row>
    <row r="689" spans="2:12" ht="14.4" x14ac:dyDescent="0.3">
      <c r="C689" s="328"/>
      <c r="E689" s="326"/>
      <c r="F689" s="48"/>
      <c r="I689" s="328"/>
      <c r="J689" s="40"/>
      <c r="K689" s="326"/>
      <c r="L689" s="48"/>
    </row>
    <row r="691" spans="2:12" ht="14.4" x14ac:dyDescent="0.3">
      <c r="B691" s="325" t="s">
        <v>762</v>
      </c>
    </row>
    <row r="692" spans="2:12" ht="14.4" x14ac:dyDescent="0.3">
      <c r="B692" s="327" t="s">
        <v>354</v>
      </c>
    </row>
    <row r="693" spans="2:12" ht="14.4" x14ac:dyDescent="0.3">
      <c r="B693" s="324"/>
    </row>
    <row r="694" spans="2:12" ht="14.4" x14ac:dyDescent="0.3">
      <c r="B694" s="324" t="s">
        <v>763</v>
      </c>
      <c r="C694" s="328" t="s">
        <v>149</v>
      </c>
      <c r="E694" s="385">
        <v>14.489999999999998</v>
      </c>
      <c r="F694" s="48">
        <f t="shared" ref="F694:F756" si="22">E694*D694</f>
        <v>0</v>
      </c>
    </row>
    <row r="695" spans="2:12" ht="14.4" x14ac:dyDescent="0.3">
      <c r="B695" s="420" t="s">
        <v>764</v>
      </c>
      <c r="C695" s="328" t="s">
        <v>149</v>
      </c>
      <c r="D695" s="40">
        <v>161</v>
      </c>
      <c r="E695" s="385">
        <v>9.5495999999999999</v>
      </c>
      <c r="F695" s="48">
        <f t="shared" si="22"/>
        <v>1537.4856</v>
      </c>
    </row>
    <row r="696" spans="2:12" ht="14.4" x14ac:dyDescent="0.3">
      <c r="B696" s="420" t="s">
        <v>765</v>
      </c>
      <c r="C696" s="419" t="s">
        <v>115</v>
      </c>
      <c r="E696" s="385">
        <v>9.66</v>
      </c>
      <c r="F696" s="48">
        <f t="shared" si="22"/>
        <v>0</v>
      </c>
    </row>
    <row r="697" spans="2:12" ht="14.4" x14ac:dyDescent="0.3">
      <c r="B697" s="420" t="s">
        <v>766</v>
      </c>
      <c r="C697" s="419" t="s">
        <v>115</v>
      </c>
      <c r="D697" s="40">
        <v>24</v>
      </c>
      <c r="E697" s="385">
        <v>4.7885999999999997</v>
      </c>
      <c r="F697" s="48">
        <f t="shared" si="22"/>
        <v>114.9264</v>
      </c>
    </row>
    <row r="698" spans="2:12" ht="14.4" x14ac:dyDescent="0.3">
      <c r="B698" s="420" t="s">
        <v>767</v>
      </c>
      <c r="C698" s="419" t="s">
        <v>115</v>
      </c>
      <c r="E698" s="385">
        <v>13.799999999999999</v>
      </c>
      <c r="F698" s="48">
        <f t="shared" si="22"/>
        <v>0</v>
      </c>
    </row>
    <row r="699" spans="2:12" ht="14.4" x14ac:dyDescent="0.3">
      <c r="B699" s="420" t="s">
        <v>768</v>
      </c>
      <c r="C699" s="419" t="s">
        <v>115</v>
      </c>
      <c r="E699" s="385">
        <v>6.5274000000000001</v>
      </c>
      <c r="F699" s="48">
        <f t="shared" si="22"/>
        <v>0</v>
      </c>
    </row>
    <row r="700" spans="2:12" ht="14.4" x14ac:dyDescent="0.3">
      <c r="B700" s="420" t="s">
        <v>769</v>
      </c>
      <c r="C700" s="419" t="s">
        <v>115</v>
      </c>
      <c r="D700" s="40">
        <v>1</v>
      </c>
      <c r="E700" s="385">
        <v>8.5974000000000004</v>
      </c>
      <c r="F700" s="48">
        <f t="shared" si="22"/>
        <v>8.5974000000000004</v>
      </c>
    </row>
    <row r="701" spans="2:12" ht="14.4" x14ac:dyDescent="0.3">
      <c r="B701" s="420" t="s">
        <v>770</v>
      </c>
      <c r="C701" s="419" t="s">
        <v>115</v>
      </c>
      <c r="E701" s="385">
        <v>6.8999999999999995</v>
      </c>
      <c r="F701" s="48">
        <f t="shared" si="22"/>
        <v>0</v>
      </c>
    </row>
    <row r="702" spans="2:12" ht="14.4" x14ac:dyDescent="0.3">
      <c r="B702" s="420" t="s">
        <v>771</v>
      </c>
      <c r="C702" s="419" t="s">
        <v>115</v>
      </c>
      <c r="E702" s="385">
        <v>6.8999999999999995</v>
      </c>
      <c r="F702" s="48">
        <f t="shared" si="22"/>
        <v>0</v>
      </c>
    </row>
    <row r="703" spans="2:12" ht="14.4" x14ac:dyDescent="0.3">
      <c r="B703" s="420" t="s">
        <v>772</v>
      </c>
      <c r="C703" s="419" t="s">
        <v>115</v>
      </c>
      <c r="D703" s="40">
        <v>36</v>
      </c>
      <c r="E703" s="385">
        <v>2.5667999999999997</v>
      </c>
      <c r="F703" s="48">
        <f t="shared" si="22"/>
        <v>92.404799999999994</v>
      </c>
    </row>
    <row r="704" spans="2:12" ht="14.4" x14ac:dyDescent="0.3">
      <c r="B704" s="420" t="s">
        <v>773</v>
      </c>
      <c r="C704" s="419" t="s">
        <v>115</v>
      </c>
      <c r="D704" s="40">
        <v>44</v>
      </c>
      <c r="E704" s="385">
        <v>2.3308200000000001</v>
      </c>
      <c r="F704" s="48">
        <f t="shared" si="22"/>
        <v>102.55608000000001</v>
      </c>
    </row>
    <row r="705" spans="2:6" ht="14.4" x14ac:dyDescent="0.3">
      <c r="B705" s="420" t="s">
        <v>774</v>
      </c>
      <c r="C705" s="419" t="s">
        <v>115</v>
      </c>
      <c r="E705" s="385">
        <v>5.52</v>
      </c>
      <c r="F705" s="48">
        <f t="shared" si="22"/>
        <v>0</v>
      </c>
    </row>
    <row r="706" spans="2:6" ht="14.4" x14ac:dyDescent="0.3">
      <c r="B706" s="420" t="s">
        <v>775</v>
      </c>
      <c r="C706" s="419" t="s">
        <v>115</v>
      </c>
      <c r="E706" s="385">
        <v>2.6771999999999996</v>
      </c>
      <c r="F706" s="48">
        <f t="shared" si="22"/>
        <v>0</v>
      </c>
    </row>
    <row r="707" spans="2:6" ht="14.4" x14ac:dyDescent="0.3">
      <c r="B707" s="324" t="s">
        <v>776</v>
      </c>
      <c r="C707" s="328" t="s">
        <v>149</v>
      </c>
      <c r="E707" s="385">
        <v>6.8999999999999995</v>
      </c>
      <c r="F707" s="48">
        <f t="shared" si="22"/>
        <v>0</v>
      </c>
    </row>
    <row r="708" spans="2:6" ht="14.4" x14ac:dyDescent="0.3">
      <c r="B708" s="420" t="s">
        <v>777</v>
      </c>
      <c r="C708" s="328" t="s">
        <v>149</v>
      </c>
      <c r="D708" s="40">
        <v>6</v>
      </c>
      <c r="E708" s="385">
        <v>5.52</v>
      </c>
      <c r="F708" s="48">
        <f t="shared" si="22"/>
        <v>33.119999999999997</v>
      </c>
    </row>
    <row r="709" spans="2:6" ht="14.4" x14ac:dyDescent="0.3">
      <c r="B709" s="324" t="s">
        <v>778</v>
      </c>
      <c r="C709" s="328" t="s">
        <v>149</v>
      </c>
      <c r="E709" s="385">
        <v>8.7354000000000003</v>
      </c>
      <c r="F709" s="48">
        <f t="shared" si="22"/>
        <v>0</v>
      </c>
    </row>
    <row r="710" spans="2:6" ht="14.4" x14ac:dyDescent="0.3">
      <c r="B710" s="420" t="s">
        <v>779</v>
      </c>
      <c r="C710" s="328" t="s">
        <v>149</v>
      </c>
      <c r="E710" s="385">
        <v>3.726</v>
      </c>
      <c r="F710" s="48">
        <f t="shared" si="22"/>
        <v>0</v>
      </c>
    </row>
    <row r="711" spans="2:6" ht="14.4" x14ac:dyDescent="0.3">
      <c r="B711" s="420" t="s">
        <v>780</v>
      </c>
      <c r="C711" s="328" t="s">
        <v>149</v>
      </c>
      <c r="E711" s="385">
        <v>2.8979999999999997</v>
      </c>
      <c r="F711" s="48">
        <f t="shared" si="22"/>
        <v>0</v>
      </c>
    </row>
    <row r="712" spans="2:6" ht="14.4" x14ac:dyDescent="0.3">
      <c r="B712" s="420" t="s">
        <v>783</v>
      </c>
      <c r="C712" s="419" t="s">
        <v>115</v>
      </c>
      <c r="D712" s="40">
        <v>2</v>
      </c>
      <c r="E712" s="385">
        <v>2.3321999999999998</v>
      </c>
      <c r="F712" s="48">
        <f t="shared" si="22"/>
        <v>4.6643999999999997</v>
      </c>
    </row>
    <row r="713" spans="2:6" ht="14.4" x14ac:dyDescent="0.3">
      <c r="B713" s="420" t="s">
        <v>982</v>
      </c>
      <c r="C713" s="419" t="s">
        <v>115</v>
      </c>
      <c r="D713" s="40">
        <v>1</v>
      </c>
      <c r="E713" s="385">
        <v>2.5</v>
      </c>
      <c r="F713" s="48">
        <f t="shared" si="22"/>
        <v>2.5</v>
      </c>
    </row>
    <row r="714" spans="2:6" ht="14.4" x14ac:dyDescent="0.3">
      <c r="B714" s="420" t="s">
        <v>784</v>
      </c>
      <c r="C714" s="419" t="s">
        <v>115</v>
      </c>
      <c r="E714" s="385">
        <v>4.1399999999999997</v>
      </c>
      <c r="F714" s="48">
        <f t="shared" si="22"/>
        <v>0</v>
      </c>
    </row>
    <row r="715" spans="2:6" ht="14.4" x14ac:dyDescent="0.3">
      <c r="B715" s="420" t="s">
        <v>785</v>
      </c>
      <c r="C715" s="419" t="s">
        <v>115</v>
      </c>
      <c r="E715" s="385">
        <v>0.93840000000000001</v>
      </c>
      <c r="F715" s="48">
        <f t="shared" si="22"/>
        <v>0</v>
      </c>
    </row>
    <row r="716" spans="2:6" ht="14.4" x14ac:dyDescent="0.3">
      <c r="B716" s="420" t="s">
        <v>786</v>
      </c>
      <c r="C716" s="419" t="s">
        <v>115</v>
      </c>
      <c r="E716" s="385">
        <v>11.716199999999999</v>
      </c>
      <c r="F716" s="48">
        <f t="shared" si="22"/>
        <v>0</v>
      </c>
    </row>
    <row r="717" spans="2:6" ht="14.4" x14ac:dyDescent="0.3">
      <c r="B717" s="324" t="s">
        <v>787</v>
      </c>
      <c r="C717" s="328" t="s">
        <v>149</v>
      </c>
      <c r="E717" s="326">
        <v>14</v>
      </c>
      <c r="F717" s="48">
        <f t="shared" si="22"/>
        <v>0</v>
      </c>
    </row>
    <row r="718" spans="2:6" ht="14.4" x14ac:dyDescent="0.3">
      <c r="B718" s="420" t="s">
        <v>788</v>
      </c>
      <c r="C718" s="328" t="s">
        <v>149</v>
      </c>
      <c r="E718" s="326">
        <v>6</v>
      </c>
      <c r="F718" s="48">
        <f t="shared" si="22"/>
        <v>0</v>
      </c>
    </row>
    <row r="719" spans="2:6" ht="14.4" x14ac:dyDescent="0.3">
      <c r="B719" s="324"/>
      <c r="C719" s="328"/>
      <c r="E719" s="328"/>
      <c r="F719" s="48">
        <f t="shared" si="22"/>
        <v>0</v>
      </c>
    </row>
    <row r="720" spans="2:6" ht="14.4" x14ac:dyDescent="0.3">
      <c r="B720" s="324" t="s">
        <v>789</v>
      </c>
      <c r="C720" s="328" t="s">
        <v>115</v>
      </c>
      <c r="E720" s="326">
        <v>40</v>
      </c>
      <c r="F720" s="48">
        <f t="shared" si="22"/>
        <v>0</v>
      </c>
    </row>
    <row r="721" spans="2:6" ht="14.4" x14ac:dyDescent="0.3">
      <c r="B721" s="420" t="s">
        <v>790</v>
      </c>
      <c r="C721" s="328" t="s">
        <v>115</v>
      </c>
      <c r="E721" s="326">
        <v>30</v>
      </c>
      <c r="F721" s="48">
        <f t="shared" si="22"/>
        <v>0</v>
      </c>
    </row>
    <row r="722" spans="2:6" ht="14.4" x14ac:dyDescent="0.3">
      <c r="B722" s="324" t="s">
        <v>791</v>
      </c>
      <c r="C722" s="328" t="s">
        <v>115</v>
      </c>
      <c r="E722" s="326">
        <v>33</v>
      </c>
      <c r="F722" s="48">
        <f t="shared" si="22"/>
        <v>0</v>
      </c>
    </row>
    <row r="723" spans="2:6" ht="14.4" x14ac:dyDescent="0.3">
      <c r="B723" s="420" t="s">
        <v>792</v>
      </c>
      <c r="C723" s="328" t="s">
        <v>115</v>
      </c>
      <c r="E723" s="326">
        <v>23.26</v>
      </c>
      <c r="F723" s="48">
        <f t="shared" si="22"/>
        <v>0</v>
      </c>
    </row>
    <row r="724" spans="2:6" ht="14.4" x14ac:dyDescent="0.3">
      <c r="B724" s="420" t="s">
        <v>793</v>
      </c>
      <c r="C724" s="328" t="s">
        <v>115</v>
      </c>
      <c r="E724" s="326">
        <v>50</v>
      </c>
      <c r="F724" s="48">
        <f t="shared" si="22"/>
        <v>0</v>
      </c>
    </row>
    <row r="725" spans="2:6" ht="14.4" x14ac:dyDescent="0.3">
      <c r="B725" s="324" t="s">
        <v>794</v>
      </c>
      <c r="C725" s="328" t="s">
        <v>115</v>
      </c>
      <c r="E725" s="326">
        <v>7.65</v>
      </c>
      <c r="F725" s="48">
        <f t="shared" si="22"/>
        <v>0</v>
      </c>
    </row>
    <row r="726" spans="2:6" ht="14.4" x14ac:dyDescent="0.3">
      <c r="B726" s="324" t="s">
        <v>795</v>
      </c>
      <c r="C726" s="328" t="s">
        <v>115</v>
      </c>
      <c r="E726" s="326">
        <v>7.65</v>
      </c>
      <c r="F726" s="48">
        <f t="shared" si="22"/>
        <v>0</v>
      </c>
    </row>
    <row r="727" spans="2:6" ht="14.4" x14ac:dyDescent="0.3">
      <c r="B727" s="324" t="s">
        <v>796</v>
      </c>
      <c r="C727" s="328" t="s">
        <v>115</v>
      </c>
      <c r="E727" s="326">
        <v>13.59</v>
      </c>
      <c r="F727" s="48">
        <f t="shared" si="22"/>
        <v>0</v>
      </c>
    </row>
    <row r="728" spans="2:6" ht="14.4" x14ac:dyDescent="0.3">
      <c r="B728" s="324" t="s">
        <v>797</v>
      </c>
      <c r="C728" s="328" t="s">
        <v>115</v>
      </c>
      <c r="E728" s="326">
        <v>0</v>
      </c>
      <c r="F728" s="48">
        <f t="shared" si="22"/>
        <v>0</v>
      </c>
    </row>
    <row r="729" spans="2:6" ht="14.4" x14ac:dyDescent="0.3">
      <c r="B729" s="324" t="s">
        <v>798</v>
      </c>
      <c r="C729" s="328" t="s">
        <v>115</v>
      </c>
      <c r="E729" s="326">
        <v>75</v>
      </c>
      <c r="F729" s="48">
        <f t="shared" si="22"/>
        <v>0</v>
      </c>
    </row>
    <row r="730" spans="2:6" ht="14.4" x14ac:dyDescent="0.3">
      <c r="B730" s="324"/>
      <c r="C730" s="328"/>
      <c r="E730" s="324"/>
      <c r="F730" s="48">
        <f t="shared" si="22"/>
        <v>0</v>
      </c>
    </row>
    <row r="731" spans="2:6" ht="14.4" x14ac:dyDescent="0.3">
      <c r="B731" s="324" t="s">
        <v>799</v>
      </c>
      <c r="C731" s="328" t="s">
        <v>115</v>
      </c>
      <c r="E731" s="326">
        <v>2</v>
      </c>
      <c r="F731" s="48">
        <f t="shared" si="22"/>
        <v>0</v>
      </c>
    </row>
    <row r="732" spans="2:6" ht="14.4" x14ac:dyDescent="0.3">
      <c r="B732" s="324" t="s">
        <v>800</v>
      </c>
      <c r="C732" s="328" t="s">
        <v>115</v>
      </c>
      <c r="E732" s="326">
        <v>1.5</v>
      </c>
      <c r="F732" s="48">
        <f t="shared" si="22"/>
        <v>0</v>
      </c>
    </row>
    <row r="733" spans="2:6" ht="14.4" x14ac:dyDescent="0.3">
      <c r="B733" s="324" t="s">
        <v>491</v>
      </c>
      <c r="C733" s="328" t="s">
        <v>149</v>
      </c>
      <c r="E733" s="326">
        <f>E624</f>
        <v>0</v>
      </c>
      <c r="F733" s="48">
        <f t="shared" si="22"/>
        <v>0</v>
      </c>
    </row>
    <row r="734" spans="2:6" ht="14.4" x14ac:dyDescent="0.3">
      <c r="B734" s="324"/>
      <c r="C734" s="328"/>
      <c r="E734" s="326"/>
      <c r="F734" s="48">
        <f t="shared" si="22"/>
        <v>0</v>
      </c>
    </row>
    <row r="735" spans="2:6" ht="14.4" x14ac:dyDescent="0.3">
      <c r="B735" s="324" t="s">
        <v>801</v>
      </c>
      <c r="C735" s="328" t="s">
        <v>115</v>
      </c>
      <c r="E735" s="326">
        <v>26.4</v>
      </c>
      <c r="F735" s="48">
        <f t="shared" si="22"/>
        <v>0</v>
      </c>
    </row>
    <row r="736" spans="2:6" ht="14.4" x14ac:dyDescent="0.3">
      <c r="B736" s="324" t="s">
        <v>802</v>
      </c>
      <c r="C736" s="328" t="s">
        <v>115</v>
      </c>
      <c r="E736" s="326">
        <v>23</v>
      </c>
      <c r="F736" s="48">
        <f t="shared" si="22"/>
        <v>0</v>
      </c>
    </row>
    <row r="737" spans="2:6" ht="14.4" x14ac:dyDescent="0.3">
      <c r="B737" s="324" t="s">
        <v>803</v>
      </c>
      <c r="C737" s="328" t="s">
        <v>115</v>
      </c>
      <c r="E737" s="326">
        <v>75</v>
      </c>
      <c r="F737" s="48">
        <f t="shared" si="22"/>
        <v>0</v>
      </c>
    </row>
    <row r="738" spans="2:6" ht="14.4" x14ac:dyDescent="0.3">
      <c r="B738" s="324" t="s">
        <v>804</v>
      </c>
      <c r="C738" s="328" t="s">
        <v>115</v>
      </c>
      <c r="E738" s="326">
        <v>22</v>
      </c>
      <c r="F738" s="48">
        <f t="shared" si="22"/>
        <v>0</v>
      </c>
    </row>
    <row r="739" spans="2:6" ht="14.4" x14ac:dyDescent="0.3">
      <c r="B739" s="324" t="s">
        <v>805</v>
      </c>
      <c r="C739" s="328" t="s">
        <v>115</v>
      </c>
      <c r="E739" s="326">
        <v>10</v>
      </c>
      <c r="F739" s="48">
        <f t="shared" si="22"/>
        <v>0</v>
      </c>
    </row>
    <row r="740" spans="2:6" ht="14.4" x14ac:dyDescent="0.3">
      <c r="B740" s="324"/>
      <c r="C740" s="328"/>
      <c r="E740" s="326"/>
      <c r="F740" s="48">
        <f t="shared" si="22"/>
        <v>0</v>
      </c>
    </row>
    <row r="741" spans="2:6" ht="14.4" x14ac:dyDescent="0.3">
      <c r="B741" s="420" t="s">
        <v>806</v>
      </c>
      <c r="C741" s="328" t="s">
        <v>115</v>
      </c>
      <c r="E741" s="326">
        <v>520</v>
      </c>
      <c r="F741" s="48">
        <f t="shared" si="22"/>
        <v>0</v>
      </c>
    </row>
    <row r="742" spans="2:6" ht="14.4" x14ac:dyDescent="0.3">
      <c r="B742" s="420" t="s">
        <v>807</v>
      </c>
      <c r="C742" s="328" t="s">
        <v>115</v>
      </c>
      <c r="E742" s="326">
        <v>230</v>
      </c>
      <c r="F742" s="48">
        <f t="shared" si="22"/>
        <v>0</v>
      </c>
    </row>
    <row r="743" spans="2:6" ht="14.4" x14ac:dyDescent="0.3">
      <c r="B743" s="420" t="s">
        <v>808</v>
      </c>
      <c r="C743" s="328" t="s">
        <v>115</v>
      </c>
      <c r="E743" s="326">
        <v>2800</v>
      </c>
      <c r="F743" s="48">
        <f t="shared" si="22"/>
        <v>0</v>
      </c>
    </row>
    <row r="744" spans="2:6" ht="14.4" x14ac:dyDescent="0.3">
      <c r="B744" s="420" t="s">
        <v>809</v>
      </c>
      <c r="C744" s="328" t="s">
        <v>115</v>
      </c>
      <c r="E744" s="326">
        <v>950</v>
      </c>
      <c r="F744" s="48">
        <f t="shared" si="22"/>
        <v>0</v>
      </c>
    </row>
    <row r="745" spans="2:6" ht="14.4" x14ac:dyDescent="0.3">
      <c r="B745" s="420" t="s">
        <v>745</v>
      </c>
      <c r="C745" s="328" t="s">
        <v>115</v>
      </c>
      <c r="E745" s="326">
        <v>1250</v>
      </c>
      <c r="F745" s="48">
        <f t="shared" si="22"/>
        <v>0</v>
      </c>
    </row>
    <row r="746" spans="2:6" ht="14.4" x14ac:dyDescent="0.3">
      <c r="B746" s="420" t="s">
        <v>810</v>
      </c>
      <c r="C746" s="328" t="s">
        <v>115</v>
      </c>
      <c r="E746" s="334">
        <v>200</v>
      </c>
      <c r="F746" s="48">
        <f t="shared" si="22"/>
        <v>0</v>
      </c>
    </row>
    <row r="747" spans="2:6" ht="14.4" x14ac:dyDescent="0.3">
      <c r="B747" s="420" t="s">
        <v>811</v>
      </c>
      <c r="C747" s="328" t="s">
        <v>115</v>
      </c>
      <c r="E747" s="334">
        <v>60</v>
      </c>
      <c r="F747" s="48">
        <f t="shared" si="22"/>
        <v>0</v>
      </c>
    </row>
    <row r="748" spans="2:6" ht="14.4" x14ac:dyDescent="0.3">
      <c r="B748" s="420" t="s">
        <v>812</v>
      </c>
      <c r="C748" s="328" t="s">
        <v>115</v>
      </c>
      <c r="E748" s="334">
        <v>120</v>
      </c>
      <c r="F748" s="48">
        <f t="shared" si="22"/>
        <v>0</v>
      </c>
    </row>
    <row r="749" spans="2:6" ht="14.4" x14ac:dyDescent="0.3">
      <c r="B749" s="420" t="s">
        <v>813</v>
      </c>
      <c r="C749" s="328" t="s">
        <v>115</v>
      </c>
      <c r="D749" s="40">
        <v>1</v>
      </c>
      <c r="E749" s="326">
        <v>61.33</v>
      </c>
      <c r="F749" s="48">
        <f t="shared" si="22"/>
        <v>61.33</v>
      </c>
    </row>
    <row r="750" spans="2:6" ht="14.4" x14ac:dyDescent="0.3">
      <c r="B750" s="420" t="s">
        <v>814</v>
      </c>
      <c r="C750" s="328" t="s">
        <v>115</v>
      </c>
      <c r="E750" s="334">
        <v>100</v>
      </c>
      <c r="F750" s="48">
        <f t="shared" si="22"/>
        <v>0</v>
      </c>
    </row>
    <row r="751" spans="2:6" ht="14.4" x14ac:dyDescent="0.3">
      <c r="B751" s="425" t="s">
        <v>815</v>
      </c>
      <c r="C751" s="328" t="s">
        <v>115</v>
      </c>
      <c r="E751" s="334">
        <v>250</v>
      </c>
      <c r="F751" s="48">
        <f t="shared" si="22"/>
        <v>0</v>
      </c>
    </row>
    <row r="752" spans="2:6" ht="28.8" x14ac:dyDescent="0.3">
      <c r="B752" s="425" t="s">
        <v>816</v>
      </c>
      <c r="C752" s="328" t="s">
        <v>115</v>
      </c>
      <c r="E752" s="334">
        <v>250</v>
      </c>
      <c r="F752" s="48">
        <f t="shared" si="22"/>
        <v>0</v>
      </c>
    </row>
    <row r="753" spans="2:6" ht="14.4" x14ac:dyDescent="0.3">
      <c r="B753" s="425" t="s">
        <v>817</v>
      </c>
      <c r="C753" s="328" t="s">
        <v>115</v>
      </c>
      <c r="E753" s="326">
        <v>300</v>
      </c>
      <c r="F753" s="48">
        <f t="shared" si="22"/>
        <v>0</v>
      </c>
    </row>
    <row r="754" spans="2:6" ht="14.4" x14ac:dyDescent="0.3">
      <c r="B754" s="425" t="s">
        <v>818</v>
      </c>
      <c r="C754" s="328" t="s">
        <v>115</v>
      </c>
      <c r="E754" s="334">
        <v>1200</v>
      </c>
      <c r="F754" s="48">
        <f t="shared" si="22"/>
        <v>0</v>
      </c>
    </row>
    <row r="756" spans="2:6" ht="22.5" customHeight="1" x14ac:dyDescent="0.2">
      <c r="B756" s="446" t="s">
        <v>983</v>
      </c>
      <c r="C756" s="447" t="s">
        <v>115</v>
      </c>
      <c r="D756" s="447">
        <v>0</v>
      </c>
      <c r="E756" s="448"/>
      <c r="F756" s="448">
        <f t="shared" si="22"/>
        <v>0</v>
      </c>
    </row>
    <row r="760" spans="2:6" ht="14.4" x14ac:dyDescent="0.3">
      <c r="B760" s="325" t="s">
        <v>840</v>
      </c>
    </row>
    <row r="761" spans="2:6" ht="14.4" x14ac:dyDescent="0.3">
      <c r="B761" s="327" t="s">
        <v>354</v>
      </c>
    </row>
    <row r="762" spans="2:6" ht="14.4" x14ac:dyDescent="0.3">
      <c r="B762" s="324"/>
    </row>
    <row r="763" spans="2:6" ht="14.4" x14ac:dyDescent="0.3">
      <c r="B763" s="324"/>
    </row>
    <row r="764" spans="2:6" ht="14.4" x14ac:dyDescent="0.3">
      <c r="B764" s="420" t="s">
        <v>841</v>
      </c>
      <c r="C764" s="328" t="s">
        <v>149</v>
      </c>
      <c r="E764" s="385">
        <v>165.6</v>
      </c>
      <c r="F764" s="48">
        <f>E764*D764</f>
        <v>0</v>
      </c>
    </row>
    <row r="765" spans="2:6" ht="14.4" x14ac:dyDescent="0.3">
      <c r="B765" s="420" t="s">
        <v>842</v>
      </c>
      <c r="C765" s="328" t="s">
        <v>149</v>
      </c>
      <c r="E765" s="385">
        <v>89.699999999999989</v>
      </c>
      <c r="F765" s="48">
        <f t="shared" ref="F765:F828" si="23">E765*D765</f>
        <v>0</v>
      </c>
    </row>
    <row r="766" spans="2:6" ht="14.4" x14ac:dyDescent="0.3">
      <c r="B766" s="420" t="s">
        <v>843</v>
      </c>
      <c r="C766" s="328" t="s">
        <v>149</v>
      </c>
      <c r="E766" s="385">
        <v>66.239999999999995</v>
      </c>
      <c r="F766" s="48">
        <f t="shared" si="23"/>
        <v>0</v>
      </c>
    </row>
    <row r="767" spans="2:6" ht="14.4" x14ac:dyDescent="0.3">
      <c r="B767" s="420" t="s">
        <v>844</v>
      </c>
      <c r="C767" s="328" t="s">
        <v>149</v>
      </c>
      <c r="E767" s="385">
        <v>0</v>
      </c>
      <c r="F767" s="48">
        <f t="shared" si="23"/>
        <v>0</v>
      </c>
    </row>
    <row r="768" spans="2:6" ht="14.4" x14ac:dyDescent="0.3">
      <c r="B768" s="420" t="s">
        <v>845</v>
      </c>
      <c r="C768" s="328" t="s">
        <v>149</v>
      </c>
      <c r="E768" s="385">
        <v>85.104599999999991</v>
      </c>
      <c r="F768" s="48">
        <f t="shared" si="23"/>
        <v>0</v>
      </c>
    </row>
    <row r="769" spans="2:6" ht="14.4" x14ac:dyDescent="0.3">
      <c r="B769" s="420" t="s">
        <v>846</v>
      </c>
      <c r="C769" s="328" t="s">
        <v>149</v>
      </c>
      <c r="E769" s="385">
        <v>84.179999999999993</v>
      </c>
      <c r="F769" s="48">
        <f t="shared" si="23"/>
        <v>0</v>
      </c>
    </row>
    <row r="770" spans="2:6" ht="14.4" x14ac:dyDescent="0.3">
      <c r="B770" s="324" t="s">
        <v>847</v>
      </c>
      <c r="C770" s="328" t="s">
        <v>149</v>
      </c>
      <c r="E770" s="385">
        <v>68.77</v>
      </c>
      <c r="F770" s="48">
        <f t="shared" si="23"/>
        <v>0</v>
      </c>
    </row>
    <row r="771" spans="2:6" ht="14.4" x14ac:dyDescent="0.3">
      <c r="B771" s="324" t="s">
        <v>848</v>
      </c>
      <c r="C771" s="328" t="s">
        <v>149</v>
      </c>
      <c r="E771" s="385">
        <v>55.199999999999996</v>
      </c>
      <c r="F771" s="48">
        <f t="shared" si="23"/>
        <v>0</v>
      </c>
    </row>
    <row r="772" spans="2:6" ht="14.4" x14ac:dyDescent="0.3">
      <c r="B772" s="420" t="s">
        <v>849</v>
      </c>
      <c r="C772" s="328" t="s">
        <v>149</v>
      </c>
      <c r="E772" s="385">
        <v>55.199999999999996</v>
      </c>
      <c r="F772" s="48">
        <f t="shared" si="23"/>
        <v>0</v>
      </c>
    </row>
    <row r="773" spans="2:6" ht="14.4" x14ac:dyDescent="0.3">
      <c r="B773" s="420" t="s">
        <v>850</v>
      </c>
      <c r="C773" s="328" t="s">
        <v>149</v>
      </c>
      <c r="E773" s="385">
        <v>42.779999999999994</v>
      </c>
      <c r="F773" s="48">
        <f t="shared" si="23"/>
        <v>0</v>
      </c>
    </row>
    <row r="774" spans="2:6" ht="14.4" x14ac:dyDescent="0.3">
      <c r="B774" s="324" t="s">
        <v>851</v>
      </c>
      <c r="C774" s="328" t="s">
        <v>149</v>
      </c>
      <c r="E774" s="385">
        <v>32.659999999999997</v>
      </c>
      <c r="F774" s="48">
        <f t="shared" si="23"/>
        <v>0</v>
      </c>
    </row>
    <row r="775" spans="2:6" ht="14.4" x14ac:dyDescent="0.3">
      <c r="B775" s="420" t="s">
        <v>852</v>
      </c>
      <c r="C775" s="328" t="s">
        <v>149</v>
      </c>
      <c r="D775" s="40">
        <v>87</v>
      </c>
      <c r="E775" s="385">
        <v>19.549999999999997</v>
      </c>
      <c r="F775" s="48">
        <f t="shared" si="23"/>
        <v>1700.8499999999997</v>
      </c>
    </row>
    <row r="776" spans="2:6" ht="14.4" x14ac:dyDescent="0.3">
      <c r="B776" s="324" t="s">
        <v>853</v>
      </c>
      <c r="C776" s="328" t="s">
        <v>149</v>
      </c>
      <c r="E776" s="385">
        <v>16.099999999999998</v>
      </c>
      <c r="F776" s="48">
        <f t="shared" si="23"/>
        <v>0</v>
      </c>
    </row>
    <row r="777" spans="2:6" ht="14.4" x14ac:dyDescent="0.3">
      <c r="B777" s="324" t="s">
        <v>854</v>
      </c>
      <c r="C777" s="328" t="s">
        <v>149</v>
      </c>
      <c r="E777" s="385">
        <v>19.549999999999997</v>
      </c>
      <c r="F777" s="48">
        <f t="shared" si="23"/>
        <v>0</v>
      </c>
    </row>
    <row r="778" spans="2:6" ht="14.4" x14ac:dyDescent="0.3">
      <c r="B778" s="420" t="s">
        <v>853</v>
      </c>
      <c r="C778" s="419" t="s">
        <v>149</v>
      </c>
      <c r="E778" s="385">
        <v>16.559999999999999</v>
      </c>
      <c r="F778" s="48">
        <f t="shared" si="23"/>
        <v>0</v>
      </c>
    </row>
    <row r="779" spans="2:6" ht="14.4" x14ac:dyDescent="0.3">
      <c r="B779" s="420" t="s">
        <v>764</v>
      </c>
      <c r="C779" s="419" t="s">
        <v>149</v>
      </c>
      <c r="D779" s="40">
        <v>37</v>
      </c>
      <c r="E779" s="385">
        <f>(2415.3/(83*6))*1.38</f>
        <v>6.6930000000000005</v>
      </c>
      <c r="F779" s="48">
        <f t="shared" si="23"/>
        <v>247.64100000000002</v>
      </c>
    </row>
    <row r="780" spans="2:6" ht="14.4" x14ac:dyDescent="0.3">
      <c r="B780" s="420" t="s">
        <v>855</v>
      </c>
      <c r="C780" s="419" t="s">
        <v>149</v>
      </c>
      <c r="E780" s="385">
        <v>6.8999999999999995</v>
      </c>
      <c r="F780" s="48">
        <f t="shared" si="23"/>
        <v>0</v>
      </c>
    </row>
    <row r="781" spans="2:6" ht="14.4" x14ac:dyDescent="0.3">
      <c r="B781" s="420" t="s">
        <v>856</v>
      </c>
      <c r="C781" s="419" t="s">
        <v>149</v>
      </c>
      <c r="E781" s="385">
        <f>(2415.3/(83*6))*1.38</f>
        <v>6.6930000000000005</v>
      </c>
      <c r="F781" s="48">
        <f t="shared" si="23"/>
        <v>0</v>
      </c>
    </row>
    <row r="782" spans="2:6" ht="14.4" x14ac:dyDescent="0.3">
      <c r="B782" s="420"/>
      <c r="C782" s="419"/>
      <c r="E782" s="385">
        <v>0</v>
      </c>
      <c r="F782" s="48">
        <f t="shared" si="23"/>
        <v>0</v>
      </c>
    </row>
    <row r="783" spans="2:6" ht="14.4" x14ac:dyDescent="0.3">
      <c r="B783" s="335" t="s">
        <v>857</v>
      </c>
      <c r="C783" s="328"/>
      <c r="E783" s="385">
        <v>0</v>
      </c>
      <c r="F783" s="48">
        <f t="shared" si="23"/>
        <v>0</v>
      </c>
    </row>
    <row r="784" spans="2:6" ht="14.4" x14ac:dyDescent="0.3">
      <c r="B784" s="420"/>
      <c r="C784" s="328" t="s">
        <v>115</v>
      </c>
      <c r="E784" s="385">
        <v>0</v>
      </c>
      <c r="F784" s="48">
        <f t="shared" si="23"/>
        <v>0</v>
      </c>
    </row>
    <row r="785" spans="2:6" ht="14.4" x14ac:dyDescent="0.3">
      <c r="B785" t="s">
        <v>858</v>
      </c>
      <c r="C785" s="328" t="s">
        <v>115</v>
      </c>
      <c r="E785" s="385">
        <v>676.19999999999993</v>
      </c>
      <c r="F785" s="48">
        <f t="shared" si="23"/>
        <v>0</v>
      </c>
    </row>
    <row r="786" spans="2:6" ht="14.4" x14ac:dyDescent="0.3">
      <c r="B786" t="s">
        <v>859</v>
      </c>
      <c r="C786" s="328" t="s">
        <v>115</v>
      </c>
      <c r="E786" s="385">
        <v>896.99999999999989</v>
      </c>
      <c r="F786" s="48">
        <f t="shared" si="23"/>
        <v>0</v>
      </c>
    </row>
    <row r="787" spans="2:6" ht="14.4" x14ac:dyDescent="0.3">
      <c r="B787" t="s">
        <v>860</v>
      </c>
      <c r="C787" s="328" t="s">
        <v>115</v>
      </c>
      <c r="E787" s="385">
        <v>1517.9999999999998</v>
      </c>
      <c r="F787" s="48">
        <f t="shared" si="23"/>
        <v>0</v>
      </c>
    </row>
    <row r="788" spans="2:6" ht="14.4" x14ac:dyDescent="0.3">
      <c r="B788" t="s">
        <v>861</v>
      </c>
      <c r="C788" s="328" t="s">
        <v>115</v>
      </c>
      <c r="E788" s="385">
        <v>634.79999999999995</v>
      </c>
      <c r="F788" s="48">
        <f t="shared" si="23"/>
        <v>0</v>
      </c>
    </row>
    <row r="789" spans="2:6" ht="14.4" x14ac:dyDescent="0.3">
      <c r="B789" t="s">
        <v>862</v>
      </c>
      <c r="C789" s="328" t="s">
        <v>115</v>
      </c>
      <c r="E789" s="385">
        <v>800.4</v>
      </c>
      <c r="F789" s="48">
        <f t="shared" si="23"/>
        <v>0</v>
      </c>
    </row>
    <row r="790" spans="2:6" ht="14.4" x14ac:dyDescent="0.3">
      <c r="B790" t="s">
        <v>863</v>
      </c>
      <c r="C790" s="328" t="s">
        <v>115</v>
      </c>
      <c r="E790" s="385">
        <v>441.59999999999997</v>
      </c>
      <c r="F790" s="48">
        <f t="shared" si="23"/>
        <v>0</v>
      </c>
    </row>
    <row r="791" spans="2:6" ht="14.4" x14ac:dyDescent="0.3">
      <c r="B791" s="420" t="s">
        <v>864</v>
      </c>
      <c r="C791" s="328" t="s">
        <v>115</v>
      </c>
      <c r="E791" s="385">
        <v>579.59999999999991</v>
      </c>
      <c r="F791" s="48">
        <f t="shared" si="23"/>
        <v>0</v>
      </c>
    </row>
    <row r="792" spans="2:6" ht="14.4" x14ac:dyDescent="0.3">
      <c r="B792" s="420" t="s">
        <v>865</v>
      </c>
      <c r="C792" s="328" t="s">
        <v>115</v>
      </c>
      <c r="E792" s="385">
        <v>776.09819999999991</v>
      </c>
      <c r="F792" s="48">
        <f t="shared" si="23"/>
        <v>0</v>
      </c>
    </row>
    <row r="793" spans="2:6" ht="14.4" x14ac:dyDescent="0.3">
      <c r="B793" s="420" t="s">
        <v>866</v>
      </c>
      <c r="C793" s="328" t="s">
        <v>115</v>
      </c>
      <c r="E793" s="385">
        <v>777.4781999999999</v>
      </c>
      <c r="F793" s="48">
        <f t="shared" si="23"/>
        <v>0</v>
      </c>
    </row>
    <row r="794" spans="2:6" ht="14.4" x14ac:dyDescent="0.3">
      <c r="B794" s="420" t="s">
        <v>867</v>
      </c>
      <c r="C794" s="328" t="s">
        <v>115</v>
      </c>
      <c r="E794" s="385">
        <v>524.4</v>
      </c>
      <c r="F794" s="48">
        <f t="shared" si="23"/>
        <v>0</v>
      </c>
    </row>
    <row r="795" spans="2:6" ht="14.4" x14ac:dyDescent="0.3">
      <c r="B795" s="420" t="s">
        <v>868</v>
      </c>
      <c r="C795" s="328" t="s">
        <v>115</v>
      </c>
      <c r="E795" s="385">
        <v>496.79999999999995</v>
      </c>
      <c r="F795" s="48">
        <f t="shared" si="23"/>
        <v>0</v>
      </c>
    </row>
    <row r="796" spans="2:6" ht="14.4" x14ac:dyDescent="0.3">
      <c r="B796" s="420" t="s">
        <v>869</v>
      </c>
      <c r="C796" s="328" t="s">
        <v>115</v>
      </c>
      <c r="E796" s="385">
        <v>745.19999999999993</v>
      </c>
      <c r="F796" s="48">
        <f t="shared" si="23"/>
        <v>0</v>
      </c>
    </row>
    <row r="797" spans="2:6" ht="14.4" x14ac:dyDescent="0.3">
      <c r="B797" s="420" t="s">
        <v>870</v>
      </c>
      <c r="C797" s="328" t="s">
        <v>115</v>
      </c>
      <c r="E797" s="385">
        <v>621</v>
      </c>
      <c r="F797" s="48">
        <f t="shared" si="23"/>
        <v>0</v>
      </c>
    </row>
    <row r="798" spans="2:6" ht="14.4" x14ac:dyDescent="0.3">
      <c r="B798" s="420" t="s">
        <v>871</v>
      </c>
      <c r="C798" s="328" t="s">
        <v>115</v>
      </c>
      <c r="E798" s="385">
        <v>496.79999999999995</v>
      </c>
      <c r="F798" s="48">
        <f t="shared" si="23"/>
        <v>0</v>
      </c>
    </row>
    <row r="799" spans="2:6" ht="14.4" x14ac:dyDescent="0.3">
      <c r="B799" s="420" t="s">
        <v>872</v>
      </c>
      <c r="C799" s="328" t="s">
        <v>115</v>
      </c>
      <c r="E799" s="385">
        <v>441.59999999999997</v>
      </c>
      <c r="F799" s="48">
        <f t="shared" si="23"/>
        <v>0</v>
      </c>
    </row>
    <row r="800" spans="2:6" ht="14.4" x14ac:dyDescent="0.3">
      <c r="B800" s="420" t="s">
        <v>873</v>
      </c>
      <c r="C800" s="328" t="s">
        <v>115</v>
      </c>
      <c r="E800" s="385">
        <v>262.2</v>
      </c>
      <c r="F800" s="48">
        <f t="shared" si="23"/>
        <v>0</v>
      </c>
    </row>
    <row r="801" spans="2:6" ht="14.4" x14ac:dyDescent="0.3">
      <c r="B801" s="420" t="s">
        <v>874</v>
      </c>
      <c r="C801" s="328" t="s">
        <v>115</v>
      </c>
      <c r="E801" s="385">
        <v>345</v>
      </c>
      <c r="F801" s="48">
        <f t="shared" si="23"/>
        <v>0</v>
      </c>
    </row>
    <row r="802" spans="2:6" ht="14.4" x14ac:dyDescent="0.3">
      <c r="B802" s="420" t="s">
        <v>875</v>
      </c>
      <c r="C802" s="328" t="s">
        <v>115</v>
      </c>
      <c r="E802" s="385">
        <v>262.2</v>
      </c>
      <c r="F802" s="48">
        <f t="shared" si="23"/>
        <v>0</v>
      </c>
    </row>
    <row r="803" spans="2:6" ht="14.4" x14ac:dyDescent="0.3">
      <c r="B803" s="420" t="s">
        <v>876</v>
      </c>
      <c r="C803" s="328" t="s">
        <v>115</v>
      </c>
      <c r="E803" s="385">
        <v>455.4</v>
      </c>
      <c r="F803" s="48">
        <f t="shared" si="23"/>
        <v>0</v>
      </c>
    </row>
    <row r="804" spans="2:6" ht="14.4" x14ac:dyDescent="0.3">
      <c r="B804" s="420" t="s">
        <v>877</v>
      </c>
      <c r="C804" s="328" t="s">
        <v>115</v>
      </c>
      <c r="E804" s="385">
        <v>117.645</v>
      </c>
      <c r="F804" s="48">
        <f t="shared" si="23"/>
        <v>0</v>
      </c>
    </row>
    <row r="805" spans="2:6" ht="14.4" x14ac:dyDescent="0.3">
      <c r="B805" s="420" t="s">
        <v>878</v>
      </c>
      <c r="C805" s="328" t="s">
        <v>115</v>
      </c>
      <c r="E805" s="385">
        <v>289.79999999999995</v>
      </c>
      <c r="F805" s="48">
        <f t="shared" si="23"/>
        <v>0</v>
      </c>
    </row>
    <row r="806" spans="2:6" ht="14.4" x14ac:dyDescent="0.3">
      <c r="B806" s="420" t="s">
        <v>879</v>
      </c>
      <c r="C806" s="328" t="s">
        <v>115</v>
      </c>
      <c r="E806" s="385">
        <v>85.559999999999988</v>
      </c>
      <c r="F806" s="48">
        <f t="shared" si="23"/>
        <v>0</v>
      </c>
    </row>
    <row r="807" spans="2:6" ht="14.4" x14ac:dyDescent="0.3">
      <c r="B807" s="420" t="s">
        <v>880</v>
      </c>
      <c r="C807" s="328" t="s">
        <v>115</v>
      </c>
      <c r="E807" s="385">
        <v>84.179999999999993</v>
      </c>
      <c r="F807" s="48">
        <f t="shared" si="23"/>
        <v>0</v>
      </c>
    </row>
    <row r="808" spans="2:6" ht="14.4" x14ac:dyDescent="0.3">
      <c r="B808" s="420" t="s">
        <v>881</v>
      </c>
      <c r="C808" s="419" t="s">
        <v>115</v>
      </c>
      <c r="E808" s="385">
        <v>62.099999999999994</v>
      </c>
      <c r="F808" s="48">
        <f t="shared" si="23"/>
        <v>0</v>
      </c>
    </row>
    <row r="809" spans="2:6" ht="14.4" x14ac:dyDescent="0.3">
      <c r="B809" s="420" t="s">
        <v>882</v>
      </c>
      <c r="C809" s="328" t="s">
        <v>115</v>
      </c>
      <c r="E809" s="385">
        <v>24.839999999999996</v>
      </c>
      <c r="F809" s="48">
        <f t="shared" si="23"/>
        <v>0</v>
      </c>
    </row>
    <row r="810" spans="2:6" ht="14.4" x14ac:dyDescent="0.3">
      <c r="B810" s="420" t="s">
        <v>883</v>
      </c>
      <c r="C810" s="328" t="s">
        <v>115</v>
      </c>
      <c r="D810" s="40">
        <v>41</v>
      </c>
      <c r="E810" s="385">
        <v>22.08</v>
      </c>
      <c r="F810" s="48">
        <f t="shared" si="23"/>
        <v>905.28</v>
      </c>
    </row>
    <row r="811" spans="2:6" ht="14.4" x14ac:dyDescent="0.3">
      <c r="B811" s="420" t="s">
        <v>884</v>
      </c>
      <c r="C811" s="328" t="s">
        <v>115</v>
      </c>
      <c r="D811" s="40">
        <v>2</v>
      </c>
      <c r="E811" s="385">
        <v>16.559999999999999</v>
      </c>
      <c r="F811" s="48">
        <f t="shared" si="23"/>
        <v>33.119999999999997</v>
      </c>
    </row>
    <row r="812" spans="2:6" ht="14.4" x14ac:dyDescent="0.3">
      <c r="B812" s="420" t="s">
        <v>885</v>
      </c>
      <c r="C812" s="419" t="s">
        <v>115</v>
      </c>
      <c r="E812" s="385">
        <v>22.08</v>
      </c>
      <c r="F812" s="48">
        <f t="shared" si="23"/>
        <v>0</v>
      </c>
    </row>
    <row r="813" spans="2:6" ht="14.4" x14ac:dyDescent="0.3">
      <c r="B813" s="420" t="s">
        <v>886</v>
      </c>
      <c r="C813" s="419" t="s">
        <v>115</v>
      </c>
      <c r="E813" s="385">
        <v>22.08</v>
      </c>
      <c r="F813" s="48">
        <f t="shared" si="23"/>
        <v>0</v>
      </c>
    </row>
    <row r="814" spans="2:6" ht="14.4" x14ac:dyDescent="0.3">
      <c r="B814" s="420" t="s">
        <v>766</v>
      </c>
      <c r="C814" s="419" t="s">
        <v>115</v>
      </c>
      <c r="D814" s="40">
        <v>1</v>
      </c>
      <c r="E814" s="385">
        <v>6.4859999999999998</v>
      </c>
      <c r="F814" s="48">
        <f t="shared" si="23"/>
        <v>6.4859999999999998</v>
      </c>
    </row>
    <row r="815" spans="2:6" ht="14.4" x14ac:dyDescent="0.3">
      <c r="B815" s="420" t="s">
        <v>887</v>
      </c>
      <c r="C815" s="419" t="s">
        <v>115</v>
      </c>
      <c r="E815" s="385">
        <v>22.08</v>
      </c>
      <c r="F815" s="48">
        <f t="shared" si="23"/>
        <v>0</v>
      </c>
    </row>
    <row r="816" spans="2:6" ht="14.4" x14ac:dyDescent="0.3">
      <c r="B816" s="420" t="s">
        <v>888</v>
      </c>
      <c r="C816" s="419" t="s">
        <v>115</v>
      </c>
      <c r="E816" s="385">
        <v>22.08</v>
      </c>
      <c r="F816" s="48">
        <f t="shared" si="23"/>
        <v>0</v>
      </c>
    </row>
    <row r="817" spans="2:6" ht="14.4" x14ac:dyDescent="0.3">
      <c r="B817" s="420" t="s">
        <v>772</v>
      </c>
      <c r="C817" s="419" t="s">
        <v>115</v>
      </c>
      <c r="D817" s="40">
        <v>12</v>
      </c>
      <c r="E817" s="385">
        <v>16.559999999999999</v>
      </c>
      <c r="F817" s="48">
        <f t="shared" si="23"/>
        <v>198.71999999999997</v>
      </c>
    </row>
    <row r="818" spans="2:6" ht="14.4" x14ac:dyDescent="0.3">
      <c r="B818" s="420" t="s">
        <v>773</v>
      </c>
      <c r="C818" s="419" t="s">
        <v>115</v>
      </c>
      <c r="D818" s="40">
        <v>5</v>
      </c>
      <c r="E818" s="385">
        <v>16.559999999999999</v>
      </c>
      <c r="F818" s="48">
        <f t="shared" si="23"/>
        <v>82.8</v>
      </c>
    </row>
    <row r="819" spans="2:6" ht="14.4" x14ac:dyDescent="0.3">
      <c r="B819" s="420" t="s">
        <v>889</v>
      </c>
      <c r="C819" s="419" t="s">
        <v>115</v>
      </c>
      <c r="E819" s="385">
        <v>19.32</v>
      </c>
      <c r="F819" s="48">
        <f t="shared" si="23"/>
        <v>0</v>
      </c>
    </row>
    <row r="820" spans="2:6" ht="14.4" x14ac:dyDescent="0.3">
      <c r="B820" s="420" t="s">
        <v>890</v>
      </c>
      <c r="C820" s="419" t="s">
        <v>115</v>
      </c>
      <c r="E820" s="385">
        <v>0.89699999999999991</v>
      </c>
      <c r="F820" s="48">
        <f t="shared" si="23"/>
        <v>0</v>
      </c>
    </row>
    <row r="821" spans="2:6" ht="14.4" x14ac:dyDescent="0.3">
      <c r="B821" s="420" t="s">
        <v>891</v>
      </c>
      <c r="C821" s="419" t="s">
        <v>115</v>
      </c>
      <c r="E821" s="385">
        <v>0.89699999999999991</v>
      </c>
      <c r="F821" s="48">
        <f t="shared" si="23"/>
        <v>0</v>
      </c>
    </row>
    <row r="822" spans="2:6" ht="14.4" x14ac:dyDescent="0.3">
      <c r="B822" s="420"/>
      <c r="C822" s="419"/>
      <c r="E822" s="385">
        <v>0</v>
      </c>
      <c r="F822" s="48">
        <f t="shared" si="23"/>
        <v>0</v>
      </c>
    </row>
    <row r="823" spans="2:6" ht="14.4" x14ac:dyDescent="0.3">
      <c r="B823" s="420"/>
      <c r="C823" s="419"/>
      <c r="E823" s="385">
        <v>0</v>
      </c>
      <c r="F823" s="48">
        <f t="shared" si="23"/>
        <v>0</v>
      </c>
    </row>
    <row r="824" spans="2:6" ht="14.4" x14ac:dyDescent="0.3">
      <c r="B824" s="324" t="s">
        <v>892</v>
      </c>
      <c r="C824" s="328" t="s">
        <v>115</v>
      </c>
      <c r="E824" s="385">
        <v>2.6219999999999999</v>
      </c>
      <c r="F824" s="48">
        <f t="shared" si="23"/>
        <v>0</v>
      </c>
    </row>
    <row r="825" spans="2:6" ht="14.4" x14ac:dyDescent="0.3">
      <c r="B825" s="324" t="s">
        <v>491</v>
      </c>
      <c r="C825" s="328" t="s">
        <v>149</v>
      </c>
      <c r="E825" s="385">
        <v>2.76</v>
      </c>
      <c r="F825" s="48">
        <f t="shared" si="23"/>
        <v>0</v>
      </c>
    </row>
    <row r="826" spans="2:6" ht="14.4" x14ac:dyDescent="0.3">
      <c r="B826" s="324" t="s">
        <v>801</v>
      </c>
      <c r="C826" s="328" t="s">
        <v>115</v>
      </c>
      <c r="E826" s="385">
        <v>36.431999999999995</v>
      </c>
      <c r="F826" s="48">
        <f t="shared" si="23"/>
        <v>0</v>
      </c>
    </row>
    <row r="827" spans="2:6" ht="14.4" x14ac:dyDescent="0.3">
      <c r="B827" s="324" t="s">
        <v>802</v>
      </c>
      <c r="C827" s="328" t="s">
        <v>115</v>
      </c>
      <c r="E827" s="385">
        <v>31.74</v>
      </c>
      <c r="F827" s="48">
        <f t="shared" si="23"/>
        <v>0</v>
      </c>
    </row>
    <row r="828" spans="2:6" ht="14.4" x14ac:dyDescent="0.3">
      <c r="B828" s="324"/>
      <c r="C828" s="328"/>
      <c r="E828" s="385">
        <v>0</v>
      </c>
      <c r="F828" s="48">
        <f t="shared" si="23"/>
        <v>0</v>
      </c>
    </row>
    <row r="829" spans="2:6" ht="14.4" x14ac:dyDescent="0.3">
      <c r="B829" s="426" t="s">
        <v>893</v>
      </c>
      <c r="C829" s="328"/>
      <c r="E829" s="385">
        <v>0</v>
      </c>
      <c r="F829" s="48">
        <f t="shared" ref="F829:F843" si="24">E829*D829</f>
        <v>0</v>
      </c>
    </row>
    <row r="830" spans="2:6" ht="14.4" x14ac:dyDescent="0.3">
      <c r="B830" s="324"/>
      <c r="C830" s="328"/>
      <c r="E830" s="385">
        <v>0</v>
      </c>
      <c r="F830" s="48">
        <f t="shared" si="24"/>
        <v>0</v>
      </c>
    </row>
    <row r="831" spans="2:6" ht="14.4" x14ac:dyDescent="0.3">
      <c r="B831" s="420" t="s">
        <v>894</v>
      </c>
      <c r="C831" s="328" t="s">
        <v>115</v>
      </c>
      <c r="E831" s="385">
        <v>362.13959999999997</v>
      </c>
      <c r="F831" s="48">
        <f t="shared" si="24"/>
        <v>0</v>
      </c>
    </row>
    <row r="832" spans="2:6" ht="14.4" x14ac:dyDescent="0.3">
      <c r="B832" s="420" t="s">
        <v>895</v>
      </c>
      <c r="C832" s="328" t="s">
        <v>115</v>
      </c>
      <c r="E832" s="385">
        <v>827.99999999999989</v>
      </c>
      <c r="F832" s="48">
        <f t="shared" si="24"/>
        <v>0</v>
      </c>
    </row>
    <row r="833" spans="2:6" ht="14.4" x14ac:dyDescent="0.3">
      <c r="B833" s="420" t="s">
        <v>896</v>
      </c>
      <c r="C833" s="328" t="s">
        <v>115</v>
      </c>
      <c r="E833" s="385">
        <v>552</v>
      </c>
      <c r="F833" s="48">
        <f t="shared" si="24"/>
        <v>0</v>
      </c>
    </row>
    <row r="834" spans="2:6" ht="14.4" x14ac:dyDescent="0.3">
      <c r="B834" s="420"/>
      <c r="C834" s="328"/>
      <c r="E834" s="385">
        <v>0</v>
      </c>
      <c r="F834" s="48">
        <f t="shared" si="24"/>
        <v>0</v>
      </c>
    </row>
    <row r="835" spans="2:6" ht="14.4" x14ac:dyDescent="0.3">
      <c r="B835" s="420" t="s">
        <v>897</v>
      </c>
      <c r="C835" s="328" t="s">
        <v>115</v>
      </c>
      <c r="E835" s="385">
        <v>690</v>
      </c>
      <c r="F835" s="48">
        <f t="shared" si="24"/>
        <v>0</v>
      </c>
    </row>
    <row r="836" spans="2:6" ht="14.4" x14ac:dyDescent="0.3">
      <c r="B836" s="420" t="s">
        <v>898</v>
      </c>
      <c r="C836" s="328" t="s">
        <v>115</v>
      </c>
      <c r="E836" s="385">
        <v>413.99999999999994</v>
      </c>
      <c r="F836" s="48">
        <f t="shared" si="24"/>
        <v>0</v>
      </c>
    </row>
    <row r="837" spans="2:6" ht="14.4" x14ac:dyDescent="0.3">
      <c r="B837" s="420" t="s">
        <v>899</v>
      </c>
      <c r="C837" s="328" t="s">
        <v>115</v>
      </c>
      <c r="E837" s="385">
        <v>413.99999999999994</v>
      </c>
      <c r="F837" s="48">
        <f t="shared" si="24"/>
        <v>0</v>
      </c>
    </row>
    <row r="838" spans="2:6" ht="14.4" x14ac:dyDescent="0.3">
      <c r="B838" s="420" t="s">
        <v>898</v>
      </c>
      <c r="C838" s="328" t="s">
        <v>115</v>
      </c>
      <c r="E838" s="385">
        <v>413.99999999999994</v>
      </c>
      <c r="F838" s="48">
        <f t="shared" si="24"/>
        <v>0</v>
      </c>
    </row>
    <row r="839" spans="2:6" ht="14.4" x14ac:dyDescent="0.3">
      <c r="B839" s="420"/>
      <c r="C839" s="328" t="s">
        <v>115</v>
      </c>
      <c r="E839" s="385">
        <v>0</v>
      </c>
      <c r="F839" s="48">
        <f t="shared" si="24"/>
        <v>0</v>
      </c>
    </row>
    <row r="840" spans="2:6" ht="14.4" x14ac:dyDescent="0.3">
      <c r="B840" s="420" t="s">
        <v>905</v>
      </c>
      <c r="C840" s="328" t="s">
        <v>115</v>
      </c>
      <c r="E840" s="385">
        <v>20.7</v>
      </c>
      <c r="F840" s="48">
        <f t="shared" si="24"/>
        <v>0</v>
      </c>
    </row>
    <row r="841" spans="2:6" ht="14.4" x14ac:dyDescent="0.3">
      <c r="B841" s="420" t="s">
        <v>906</v>
      </c>
      <c r="C841" s="419" t="s">
        <v>115</v>
      </c>
      <c r="E841" s="385">
        <v>110.39999999999999</v>
      </c>
      <c r="F841" s="48">
        <f t="shared" si="24"/>
        <v>0</v>
      </c>
    </row>
    <row r="842" spans="2:6" ht="14.4" x14ac:dyDescent="0.3">
      <c r="B842" s="420" t="s">
        <v>907</v>
      </c>
      <c r="C842" s="419" t="s">
        <v>115</v>
      </c>
      <c r="E842" s="326">
        <v>180</v>
      </c>
      <c r="F842" s="48">
        <f t="shared" si="24"/>
        <v>0</v>
      </c>
    </row>
    <row r="843" spans="2:6" x14ac:dyDescent="0.2">
      <c r="B843" s="38" t="s">
        <v>900</v>
      </c>
      <c r="C843" s="40" t="s">
        <v>971</v>
      </c>
      <c r="D843" s="40">
        <v>1</v>
      </c>
      <c r="E843" s="41">
        <v>80</v>
      </c>
      <c r="F843" s="41">
        <f t="shared" si="24"/>
        <v>80</v>
      </c>
    </row>
    <row r="845" spans="2:6" ht="14.4" x14ac:dyDescent="0.3">
      <c r="B845" s="325" t="s">
        <v>908</v>
      </c>
    </row>
    <row r="847" spans="2:6" ht="14.4" x14ac:dyDescent="0.3">
      <c r="B847" t="s">
        <v>909</v>
      </c>
      <c r="C847" s="419" t="s">
        <v>115</v>
      </c>
      <c r="D847" s="40">
        <v>20</v>
      </c>
      <c r="E847" s="326">
        <v>180</v>
      </c>
      <c r="F847" s="48">
        <f t="shared" ref="F847:F848" si="25">E847*D847</f>
        <v>3600</v>
      </c>
    </row>
    <row r="848" spans="2:6" ht="14.4" x14ac:dyDescent="0.3">
      <c r="B848" t="s">
        <v>1234</v>
      </c>
      <c r="C848" s="419" t="s">
        <v>115</v>
      </c>
      <c r="D848" s="40">
        <v>12</v>
      </c>
      <c r="E848" s="326">
        <v>180</v>
      </c>
      <c r="F848" s="48">
        <f t="shared" si="25"/>
        <v>2160</v>
      </c>
    </row>
    <row r="849" spans="2:6" x14ac:dyDescent="0.2">
      <c r="B849" s="38" t="s">
        <v>1235</v>
      </c>
    </row>
    <row r="852" spans="2:6" x14ac:dyDescent="0.2">
      <c r="C852" s="548" t="s">
        <v>910</v>
      </c>
      <c r="D852" s="548"/>
      <c r="E852" s="548"/>
    </row>
    <row r="853" spans="2:6" x14ac:dyDescent="0.2">
      <c r="C853" s="548"/>
      <c r="D853" s="548"/>
      <c r="E853" s="548"/>
      <c r="F853" s="41">
        <f>SUM(F15:F852)</f>
        <v>221403.91841092982</v>
      </c>
    </row>
    <row r="854" spans="2:6" x14ac:dyDescent="0.2">
      <c r="C854" s="548"/>
      <c r="D854" s="548"/>
      <c r="E854" s="548"/>
    </row>
    <row r="856" spans="2:6" x14ac:dyDescent="0.2">
      <c r="E856" s="392" t="s">
        <v>911</v>
      </c>
      <c r="F856" s="393">
        <v>1.18</v>
      </c>
    </row>
    <row r="857" spans="2:6" x14ac:dyDescent="0.2">
      <c r="E857" s="392" t="s">
        <v>912</v>
      </c>
      <c r="F857" s="41">
        <v>3650</v>
      </c>
    </row>
    <row r="859" spans="2:6" x14ac:dyDescent="0.2">
      <c r="C859" s="548" t="s">
        <v>14</v>
      </c>
      <c r="D859" s="548"/>
      <c r="E859" s="548"/>
    </row>
    <row r="860" spans="2:6" x14ac:dyDescent="0.2">
      <c r="C860" s="548"/>
      <c r="D860" s="548"/>
      <c r="E860" s="548"/>
      <c r="F860" s="41">
        <f>F853*F856+F857</f>
        <v>264906.62372489716</v>
      </c>
    </row>
    <row r="861" spans="2:6" x14ac:dyDescent="0.2">
      <c r="C861" s="548"/>
      <c r="D861" s="548"/>
      <c r="E861" s="548"/>
    </row>
    <row r="865" spans="2:12" ht="10.8" thickBot="1" x14ac:dyDescent="0.25"/>
    <row r="866" spans="2:12" s="120" customFormat="1" ht="15" thickBot="1" x14ac:dyDescent="0.35">
      <c r="B866" s="173" t="s">
        <v>913</v>
      </c>
      <c r="C866" s="121"/>
      <c r="D866" s="122"/>
      <c r="E866" s="125"/>
      <c r="F866" s="125"/>
      <c r="G866" s="125"/>
      <c r="H866" s="124"/>
      <c r="K866" s="196"/>
    </row>
    <row r="867" spans="2:12" s="120" customFormat="1" ht="14.4" x14ac:dyDescent="0.3">
      <c r="B867" s="126"/>
      <c r="C867" s="193" t="s">
        <v>914</v>
      </c>
      <c r="D867" s="193" t="s">
        <v>102</v>
      </c>
      <c r="E867" s="194"/>
      <c r="F867" s="194"/>
      <c r="G867" s="125"/>
      <c r="H867" s="124"/>
      <c r="K867" s="196"/>
    </row>
    <row r="868" spans="2:12" s="120" customFormat="1" ht="14.4" x14ac:dyDescent="0.3">
      <c r="B868" s="427" t="s">
        <v>915</v>
      </c>
      <c r="C868" s="196">
        <f>C872</f>
        <v>291</v>
      </c>
      <c r="D868" s="196" t="s">
        <v>149</v>
      </c>
      <c r="E868" s="125"/>
      <c r="F868" s="125"/>
      <c r="G868" s="125"/>
      <c r="H868" s="124"/>
      <c r="K868" s="196"/>
    </row>
    <row r="869" spans="2:12" s="120" customFormat="1" ht="14.4" x14ac:dyDescent="0.3">
      <c r="B869" s="336" t="s">
        <v>916</v>
      </c>
      <c r="C869" s="196">
        <v>0</v>
      </c>
      <c r="D869" s="196" t="s">
        <v>149</v>
      </c>
      <c r="E869" s="125"/>
      <c r="F869" s="125"/>
      <c r="G869" s="125"/>
      <c r="H869" s="124"/>
      <c r="K869" s="196"/>
    </row>
    <row r="870" spans="2:12" s="120" customFormat="1" ht="14.4" x14ac:dyDescent="0.3">
      <c r="B870" s="336" t="s">
        <v>917</v>
      </c>
      <c r="C870" s="196">
        <v>0</v>
      </c>
      <c r="D870" s="196" t="s">
        <v>154</v>
      </c>
      <c r="E870" s="125"/>
      <c r="F870" s="125"/>
      <c r="G870" s="125"/>
      <c r="H870" s="124"/>
      <c r="K870" s="196"/>
    </row>
    <row r="871" spans="2:12" s="120" customFormat="1" ht="14.4" x14ac:dyDescent="0.3">
      <c r="B871" s="336" t="s">
        <v>918</v>
      </c>
      <c r="C871" s="196">
        <v>0</v>
      </c>
      <c r="D871" s="196" t="s">
        <v>149</v>
      </c>
      <c r="E871" s="125"/>
      <c r="F871" s="125"/>
      <c r="G871" s="125"/>
      <c r="H871" s="124"/>
      <c r="K871" s="196"/>
    </row>
    <row r="872" spans="2:12" s="120" customFormat="1" ht="14.4" x14ac:dyDescent="0.3">
      <c r="B872" s="427" t="s">
        <v>919</v>
      </c>
      <c r="C872" s="428">
        <f>SUM(D171:D174)+SUM(D347:D356)+D695+D709+D707+D708+SUM(D764:D781)</f>
        <v>291</v>
      </c>
      <c r="D872" s="196" t="s">
        <v>149</v>
      </c>
      <c r="E872" s="125"/>
      <c r="F872" s="125"/>
      <c r="G872" s="125"/>
      <c r="H872" s="124"/>
      <c r="K872" s="196"/>
    </row>
    <row r="873" spans="2:12" s="120" customFormat="1" ht="14.4" x14ac:dyDescent="0.3">
      <c r="B873" s="427" t="s">
        <v>920</v>
      </c>
      <c r="C873" s="338"/>
      <c r="D873" s="196" t="s">
        <v>149</v>
      </c>
      <c r="E873" s="125"/>
      <c r="F873" s="125"/>
      <c r="G873" s="125"/>
      <c r="H873" s="124"/>
      <c r="K873" s="196"/>
    </row>
    <row r="874" spans="2:12" s="120" customFormat="1" ht="14.4" x14ac:dyDescent="0.3">
      <c r="B874" s="427" t="s">
        <v>921</v>
      </c>
      <c r="C874" s="339">
        <v>0.1</v>
      </c>
      <c r="D874" s="196" t="s">
        <v>149</v>
      </c>
      <c r="F874" s="125"/>
      <c r="G874" s="125"/>
      <c r="H874" s="124"/>
      <c r="K874" s="196"/>
    </row>
    <row r="875" spans="2:12" s="120" customFormat="1" ht="14.4" x14ac:dyDescent="0.3">
      <c r="B875" s="427" t="s">
        <v>922</v>
      </c>
      <c r="C875" s="339"/>
      <c r="D875" s="196" t="s">
        <v>149</v>
      </c>
      <c r="E875" s="429">
        <f>C875/(C872+C873)</f>
        <v>0</v>
      </c>
      <c r="F875" s="125"/>
      <c r="G875" s="125"/>
      <c r="H875" s="124"/>
      <c r="K875" s="196"/>
    </row>
    <row r="876" spans="2:12" s="120" customFormat="1" ht="14.4" x14ac:dyDescent="0.3">
      <c r="B876" s="427" t="s">
        <v>923</v>
      </c>
      <c r="C876" s="339"/>
      <c r="D876" s="196" t="s">
        <v>149</v>
      </c>
      <c r="E876" s="429">
        <f>C876/(C872+C873)</f>
        <v>0</v>
      </c>
      <c r="F876" s="125"/>
      <c r="G876" s="125"/>
      <c r="H876" s="124"/>
      <c r="K876" s="196"/>
    </row>
    <row r="877" spans="2:12" s="120" customFormat="1" ht="14.4" x14ac:dyDescent="0.3">
      <c r="B877" s="427" t="s">
        <v>924</v>
      </c>
      <c r="C877" s="339"/>
      <c r="D877" s="196" t="s">
        <v>149</v>
      </c>
      <c r="E877" s="429">
        <f>C877/(C872+C873)</f>
        <v>0</v>
      </c>
      <c r="F877" s="125"/>
      <c r="G877" s="125"/>
      <c r="H877" s="124"/>
      <c r="K877" s="196"/>
    </row>
    <row r="878" spans="2:12" s="120" customFormat="1" ht="14.4" x14ac:dyDescent="0.3">
      <c r="B878" s="336"/>
      <c r="F878" s="125"/>
      <c r="G878" s="125"/>
      <c r="H878" s="124"/>
      <c r="K878" s="196"/>
    </row>
    <row r="879" spans="2:12" s="120" customFormat="1" ht="14.4" x14ac:dyDescent="0.3">
      <c r="B879" s="126"/>
      <c r="E879" s="125"/>
      <c r="F879" s="125"/>
      <c r="G879" s="125"/>
      <c r="H879" s="124"/>
      <c r="K879" s="196"/>
    </row>
    <row r="880" spans="2:12" s="340" customFormat="1" ht="72" x14ac:dyDescent="0.25">
      <c r="B880" s="341"/>
      <c r="C880" s="342" t="s">
        <v>32</v>
      </c>
      <c r="D880" s="342" t="s">
        <v>925</v>
      </c>
      <c r="E880" s="125" t="s">
        <v>926</v>
      </c>
      <c r="F880" s="430" t="s">
        <v>927</v>
      </c>
      <c r="G880" s="431" t="s">
        <v>928</v>
      </c>
      <c r="H880" s="343" t="s">
        <v>929</v>
      </c>
      <c r="I880" s="344" t="s">
        <v>930</v>
      </c>
      <c r="J880" s="344" t="s">
        <v>931</v>
      </c>
      <c r="K880" s="344" t="s">
        <v>932</v>
      </c>
      <c r="L880" s="431" t="s">
        <v>933</v>
      </c>
    </row>
    <row r="881" spans="2:15" s="120" customFormat="1" ht="14.4" x14ac:dyDescent="0.3">
      <c r="B881" s="336" t="str">
        <f>B872</f>
        <v>L/M of Inground Pipe (Average Depth)</v>
      </c>
      <c r="C881" s="345">
        <v>0.95</v>
      </c>
      <c r="D881" s="345">
        <v>0.6</v>
      </c>
      <c r="E881" s="337">
        <f>C872</f>
        <v>291</v>
      </c>
      <c r="F881" s="432">
        <v>1.3</v>
      </c>
      <c r="G881" s="346">
        <f>C874</f>
        <v>0.1</v>
      </c>
      <c r="H881" s="199">
        <f>(C881*D881*E881)*F881-(C881*D881*E881*G881)</f>
        <v>199.04399999999998</v>
      </c>
      <c r="I881" s="347"/>
      <c r="J881" s="347"/>
      <c r="K881" s="348"/>
    </row>
    <row r="882" spans="2:15" s="120" customFormat="1" ht="14.4" x14ac:dyDescent="0.3">
      <c r="B882" s="427" t="str">
        <f>B873</f>
        <v>L/M of Inground Pipe (Deeper Than Average Depth)</v>
      </c>
      <c r="C882" s="345">
        <v>1.1000000000000001</v>
      </c>
      <c r="D882" s="345">
        <v>0.5</v>
      </c>
      <c r="E882" s="337">
        <f>C873</f>
        <v>0</v>
      </c>
      <c r="F882" s="432">
        <v>1.3</v>
      </c>
      <c r="G882" s="345">
        <v>0</v>
      </c>
      <c r="H882" s="199">
        <f>(C882*D882*E882)*F882</f>
        <v>0</v>
      </c>
      <c r="I882" s="347"/>
      <c r="J882" s="347"/>
      <c r="K882" s="348"/>
    </row>
    <row r="883" spans="2:15" s="120" customFormat="1" ht="14.4" x14ac:dyDescent="0.3">
      <c r="B883" s="427" t="s">
        <v>934</v>
      </c>
      <c r="C883" s="345">
        <v>0.35</v>
      </c>
      <c r="D883" s="346">
        <f>D881</f>
        <v>0.6</v>
      </c>
      <c r="E883" s="346">
        <f>E881</f>
        <v>291</v>
      </c>
      <c r="F883" s="432">
        <v>0</v>
      </c>
      <c r="G883" s="346">
        <f>C874</f>
        <v>0.1</v>
      </c>
      <c r="H883" s="199"/>
      <c r="I883" s="199">
        <f>(C883*D883*E883)-(C883*D883*E883*G883)</f>
        <v>54.998999999999995</v>
      </c>
      <c r="J883" s="199"/>
      <c r="K883" s="348"/>
    </row>
    <row r="884" spans="2:15" s="120" customFormat="1" ht="14.4" x14ac:dyDescent="0.3">
      <c r="B884" s="427" t="s">
        <v>935</v>
      </c>
      <c r="C884" s="345">
        <v>0.2</v>
      </c>
      <c r="D884" s="346">
        <f>D882</f>
        <v>0.5</v>
      </c>
      <c r="E884" s="349">
        <f>E882</f>
        <v>0</v>
      </c>
      <c r="F884" s="432">
        <v>0</v>
      </c>
      <c r="G884" s="346">
        <f>G882</f>
        <v>0</v>
      </c>
      <c r="H884" s="199"/>
      <c r="I884" s="199">
        <f>(C884*D884*E884)-(C884*D884*E884*G884)</f>
        <v>0</v>
      </c>
      <c r="J884" s="199"/>
      <c r="K884" s="348"/>
    </row>
    <row r="885" spans="2:15" s="120" customFormat="1" ht="14.4" x14ac:dyDescent="0.3">
      <c r="B885" s="427" t="s">
        <v>936</v>
      </c>
      <c r="C885" s="346">
        <f>C881</f>
        <v>0.95</v>
      </c>
      <c r="D885" s="346">
        <f>D881</f>
        <v>0.6</v>
      </c>
      <c r="E885" s="349">
        <f>E881</f>
        <v>291</v>
      </c>
      <c r="F885" s="432">
        <v>1.3</v>
      </c>
      <c r="G885" s="346">
        <f>C874</f>
        <v>0.1</v>
      </c>
      <c r="H885" s="199"/>
      <c r="I885" s="199"/>
      <c r="J885" s="199">
        <f>(C885*D885*E885*F885)-(C885*D885*E885*G885)-I883</f>
        <v>144.04499999999999</v>
      </c>
      <c r="K885" s="348"/>
    </row>
    <row r="886" spans="2:15" s="120" customFormat="1" ht="14.4" x14ac:dyDescent="0.3">
      <c r="B886" s="427" t="s">
        <v>937</v>
      </c>
      <c r="C886" s="346">
        <f>C882</f>
        <v>1.1000000000000001</v>
      </c>
      <c r="D886" s="346">
        <f t="shared" ref="D886:E886" si="26">D882</f>
        <v>0.5</v>
      </c>
      <c r="E886" s="346">
        <f t="shared" si="26"/>
        <v>0</v>
      </c>
      <c r="F886" s="432">
        <v>1.3</v>
      </c>
      <c r="G886" s="346">
        <f>G882</f>
        <v>0</v>
      </c>
      <c r="H886" s="199"/>
      <c r="I886" s="199"/>
      <c r="J886" s="199">
        <f>(C886*D886*E886*F886)-(C886*D886*E886*G886)-I884</f>
        <v>0</v>
      </c>
      <c r="K886" s="348"/>
    </row>
    <row r="887" spans="2:15" s="120" customFormat="1" ht="15" thickBot="1" x14ac:dyDescent="0.35">
      <c r="B887" s="336"/>
      <c r="C887" s="348"/>
      <c r="D887" s="348"/>
      <c r="E887" s="348"/>
      <c r="F887" s="433"/>
      <c r="G887" s="199"/>
      <c r="H887" s="348"/>
      <c r="I887" s="347"/>
      <c r="J887" s="347"/>
      <c r="K887" s="199" t="s">
        <v>938</v>
      </c>
      <c r="L887" s="350" t="s">
        <v>939</v>
      </c>
      <c r="M887" s="350" t="s">
        <v>940</v>
      </c>
    </row>
    <row r="888" spans="2:15" s="120" customFormat="1" ht="15" thickBot="1" x14ac:dyDescent="0.35">
      <c r="B888" s="336"/>
      <c r="C888" s="348"/>
      <c r="D888" s="348"/>
      <c r="E888" s="348"/>
      <c r="F888" s="433"/>
      <c r="G888" s="199"/>
      <c r="H888" s="351">
        <f>SUM(H881:H887)</f>
        <v>199.04399999999998</v>
      </c>
      <c r="I888" s="351">
        <f>SUM(I881:I887)</f>
        <v>54.998999999999995</v>
      </c>
      <c r="J888" s="351">
        <f>SUM(J881:J887)</f>
        <v>144.04499999999999</v>
      </c>
      <c r="K888" s="352">
        <f>H888-J888</f>
        <v>54.998999999999995</v>
      </c>
      <c r="L888" s="353">
        <v>15</v>
      </c>
      <c r="M888" s="354">
        <f>K888*L888</f>
        <v>824.9849999999999</v>
      </c>
      <c r="O888" s="192"/>
    </row>
    <row r="889" spans="2:15" s="120" customFormat="1" ht="14.4" x14ac:dyDescent="0.3">
      <c r="B889" s="336"/>
      <c r="C889" s="196"/>
      <c r="D889" s="196"/>
      <c r="E889" s="196"/>
      <c r="F889" s="433"/>
      <c r="G889" s="199"/>
      <c r="H889" s="124"/>
      <c r="K889" s="196"/>
      <c r="O889" s="347"/>
    </row>
    <row r="890" spans="2:15" s="120" customFormat="1" ht="14.4" x14ac:dyDescent="0.3">
      <c r="B890" s="336"/>
      <c r="C890" s="196"/>
      <c r="D890" s="196"/>
      <c r="E890" s="196"/>
      <c r="F890" s="433"/>
      <c r="G890" s="199"/>
      <c r="H890" s="124"/>
      <c r="K890" s="196"/>
      <c r="O890" s="347"/>
    </row>
    <row r="891" spans="2:15" s="120" customFormat="1" ht="14.4" x14ac:dyDescent="0.3">
      <c r="B891" s="336"/>
      <c r="C891" s="196"/>
      <c r="D891" s="196"/>
      <c r="E891" s="196"/>
      <c r="F891" s="433"/>
      <c r="G891" s="199"/>
      <c r="H891" s="124"/>
      <c r="K891" s="196"/>
      <c r="O891" s="347"/>
    </row>
    <row r="892" spans="2:15" s="120" customFormat="1" ht="14.4" x14ac:dyDescent="0.3">
      <c r="B892" s="336"/>
      <c r="C892" s="196"/>
      <c r="D892" s="196"/>
      <c r="E892" s="196"/>
      <c r="F892" s="433"/>
      <c r="G892" s="199"/>
      <c r="H892" s="124"/>
      <c r="K892" s="196"/>
      <c r="O892" s="347"/>
    </row>
    <row r="893" spans="2:15" s="120" customFormat="1" ht="7.2" customHeight="1" x14ac:dyDescent="0.3">
      <c r="B893" s="355"/>
      <c r="C893" s="232"/>
      <c r="D893" s="232"/>
      <c r="E893" s="232"/>
      <c r="F893" s="233"/>
      <c r="G893" s="233"/>
      <c r="H893" s="234"/>
      <c r="I893" s="232"/>
      <c r="K893" s="196"/>
    </row>
    <row r="894" spans="2:15" s="120" customFormat="1" ht="14.4" x14ac:dyDescent="0.3">
      <c r="B894" s="126" t="s">
        <v>941</v>
      </c>
      <c r="C894" s="196" t="s">
        <v>942</v>
      </c>
      <c r="D894" s="196" t="s">
        <v>914</v>
      </c>
      <c r="E894" s="125" t="s">
        <v>943</v>
      </c>
      <c r="F894" s="120" t="s">
        <v>911</v>
      </c>
      <c r="G894" s="194" t="s">
        <v>943</v>
      </c>
      <c r="H894" s="200" t="s">
        <v>944</v>
      </c>
      <c r="K894" s="196"/>
    </row>
    <row r="895" spans="2:15" s="120" customFormat="1" ht="14.4" x14ac:dyDescent="0.3">
      <c r="B895" s="336"/>
      <c r="C895" s="196">
        <v>0.1</v>
      </c>
      <c r="D895" s="339"/>
      <c r="E895" s="196">
        <f>D895*C895</f>
        <v>0</v>
      </c>
      <c r="F895" s="433">
        <v>1.1000000000000001</v>
      </c>
      <c r="G895" s="198">
        <f>E895*F895</f>
        <v>0</v>
      </c>
      <c r="H895" s="124">
        <f>G895*E920</f>
        <v>0</v>
      </c>
      <c r="I895" s="195"/>
      <c r="K895" s="196"/>
    </row>
    <row r="896" spans="2:15" s="324" customFormat="1" ht="14.4" x14ac:dyDescent="0.3">
      <c r="C896" s="328"/>
      <c r="D896" s="328"/>
      <c r="E896" s="326"/>
      <c r="F896" s="326"/>
    </row>
    <row r="897" spans="2:18" s="324" customFormat="1" ht="15" thickBot="1" x14ac:dyDescent="0.35">
      <c r="C897" s="328"/>
      <c r="D897" s="328"/>
      <c r="E897" s="326"/>
      <c r="F897" s="326"/>
    </row>
    <row r="898" spans="2:18" s="324" customFormat="1" ht="15" thickBot="1" x14ac:dyDescent="0.35">
      <c r="B898" s="173" t="s">
        <v>945</v>
      </c>
      <c r="C898" s="121"/>
      <c r="D898" s="122"/>
      <c r="E898" s="125"/>
      <c r="F898" s="125"/>
      <c r="G898" s="125"/>
      <c r="H898" s="124"/>
      <c r="I898" s="120"/>
      <c r="J898" s="120"/>
      <c r="K898" s="120"/>
      <c r="L898" s="120"/>
      <c r="M898" s="120"/>
      <c r="N898" s="120"/>
      <c r="O898" s="120"/>
      <c r="P898" s="120"/>
    </row>
    <row r="899" spans="2:18" s="324" customFormat="1" ht="15" thickBot="1" x14ac:dyDescent="0.35">
      <c r="B899" s="192"/>
      <c r="C899" s="120"/>
      <c r="D899" s="120"/>
      <c r="E899" s="125"/>
      <c r="F899" s="125"/>
      <c r="G899" s="125"/>
      <c r="H899" s="124"/>
      <c r="I899" s="120"/>
      <c r="J899" s="120"/>
      <c r="K899" s="120"/>
      <c r="L899" s="120"/>
      <c r="M899" s="342">
        <v>1.4</v>
      </c>
      <c r="N899" s="120"/>
      <c r="O899" s="120"/>
      <c r="P899" s="120"/>
    </row>
    <row r="900" spans="2:18" s="356" customFormat="1" ht="29.4" thickBot="1" x14ac:dyDescent="0.3">
      <c r="B900" s="357" t="s">
        <v>354</v>
      </c>
      <c r="C900" s="350" t="s">
        <v>946</v>
      </c>
      <c r="D900" s="350" t="s">
        <v>102</v>
      </c>
      <c r="E900" s="194" t="s">
        <v>939</v>
      </c>
      <c r="F900" s="194" t="s">
        <v>947</v>
      </c>
      <c r="G900" s="125"/>
      <c r="H900" s="125"/>
      <c r="I900" s="350" t="s">
        <v>938</v>
      </c>
      <c r="J900" s="344" t="s">
        <v>928</v>
      </c>
      <c r="K900" s="350" t="s">
        <v>948</v>
      </c>
      <c r="L900" s="350" t="s">
        <v>940</v>
      </c>
      <c r="M900" s="350" t="s">
        <v>911</v>
      </c>
      <c r="N900" s="358" t="s">
        <v>23</v>
      </c>
      <c r="O900" s="434" t="s">
        <v>949</v>
      </c>
      <c r="P900" s="431" t="s">
        <v>950</v>
      </c>
      <c r="Q900" s="435" t="s">
        <v>951</v>
      </c>
    </row>
    <row r="901" spans="2:18" s="324" customFormat="1" ht="15" thickBot="1" x14ac:dyDescent="0.35">
      <c r="B901" s="120" t="s">
        <v>952</v>
      </c>
      <c r="C901" s="359">
        <v>0.20300000000000001</v>
      </c>
      <c r="D901" s="360" t="s">
        <v>953</v>
      </c>
      <c r="E901" s="361">
        <f>E913</f>
        <v>62</v>
      </c>
      <c r="F901" s="361">
        <f>E901*C901</f>
        <v>12.586</v>
      </c>
      <c r="G901" s="125"/>
      <c r="H901" s="124"/>
      <c r="I901" s="362">
        <f>C901*(C872+C873)</f>
        <v>59.073000000000008</v>
      </c>
      <c r="J901" s="346">
        <f>C874</f>
        <v>0.1</v>
      </c>
      <c r="K901" s="363">
        <f>I901-(I901*J901)</f>
        <v>53.165700000000008</v>
      </c>
      <c r="L901" s="195">
        <f>K901*E901</f>
        <v>3296.2734000000005</v>
      </c>
      <c r="M901" s="326">
        <f>(L901*M899)-L901</f>
        <v>1318.5093599999996</v>
      </c>
      <c r="N901" s="364">
        <f>L901*M899</f>
        <v>4614.7827600000001</v>
      </c>
      <c r="O901" s="195">
        <f>N901*E875</f>
        <v>0</v>
      </c>
      <c r="P901" s="120"/>
      <c r="Q901" s="326"/>
      <c r="R901" s="326"/>
    </row>
    <row r="902" spans="2:18" s="324" customFormat="1" ht="14.4" x14ac:dyDescent="0.3">
      <c r="B902" s="120" t="s">
        <v>952</v>
      </c>
      <c r="C902" s="359">
        <v>0.14000000000000001</v>
      </c>
      <c r="D902" s="196" t="s">
        <v>954</v>
      </c>
      <c r="E902" s="125">
        <f>E913</f>
        <v>62</v>
      </c>
      <c r="F902" s="125">
        <f>(E902*C902)*1.95</f>
        <v>16.926000000000002</v>
      </c>
      <c r="G902" s="125"/>
      <c r="H902" s="124"/>
      <c r="I902" s="120"/>
      <c r="J902" s="120"/>
      <c r="L902" s="195"/>
      <c r="N902" s="365"/>
      <c r="O902" s="120"/>
      <c r="P902" s="120"/>
    </row>
    <row r="903" spans="2:18" s="324" customFormat="1" ht="14.4" x14ac:dyDescent="0.3">
      <c r="B903" s="120" t="s">
        <v>955</v>
      </c>
      <c r="C903" s="359">
        <v>0.45</v>
      </c>
      <c r="D903" s="196" t="s">
        <v>953</v>
      </c>
      <c r="E903" s="125">
        <f>E914</f>
        <v>62</v>
      </c>
      <c r="F903" s="125">
        <f>E903*C903</f>
        <v>27.900000000000002</v>
      </c>
      <c r="G903" s="125"/>
      <c r="H903" s="124"/>
      <c r="I903" s="120">
        <v>0</v>
      </c>
      <c r="J903" s="120"/>
      <c r="L903" s="195">
        <f>I903*E903</f>
        <v>0</v>
      </c>
      <c r="N903" s="366">
        <f>L903*$L$289</f>
        <v>0</v>
      </c>
      <c r="O903" s="120"/>
      <c r="P903" s="120"/>
    </row>
    <row r="904" spans="2:18" s="324" customFormat="1" ht="15" thickBot="1" x14ac:dyDescent="0.35">
      <c r="B904" s="120" t="s">
        <v>956</v>
      </c>
      <c r="C904" s="120">
        <v>0</v>
      </c>
      <c r="D904" s="196" t="s">
        <v>953</v>
      </c>
      <c r="E904" s="125">
        <f>E915</f>
        <v>25</v>
      </c>
      <c r="F904" s="125">
        <f t="shared" ref="F904:F909" si="27">E904*C904</f>
        <v>0</v>
      </c>
      <c r="G904" s="125"/>
      <c r="H904" s="124"/>
      <c r="I904" s="120">
        <v>0</v>
      </c>
      <c r="J904" s="120"/>
      <c r="L904" s="195">
        <f>I904*E904</f>
        <v>0</v>
      </c>
      <c r="N904" s="366">
        <f>L904*$L$289</f>
        <v>0</v>
      </c>
      <c r="O904" s="120"/>
      <c r="P904" s="120"/>
    </row>
    <row r="905" spans="2:18" s="324" customFormat="1" ht="15" thickBot="1" x14ac:dyDescent="0.35">
      <c r="B905" s="120" t="s">
        <v>957</v>
      </c>
      <c r="C905" s="359">
        <v>0.22500000000000001</v>
      </c>
      <c r="D905" s="360" t="s">
        <v>953</v>
      </c>
      <c r="E905" s="361">
        <f>E916</f>
        <v>62</v>
      </c>
      <c r="F905" s="361">
        <f t="shared" si="27"/>
        <v>13.950000000000001</v>
      </c>
      <c r="G905" s="125"/>
      <c r="H905" s="124"/>
      <c r="I905" s="362">
        <f>C905*(C872+C873)</f>
        <v>65.475000000000009</v>
      </c>
      <c r="J905" s="346">
        <f>C874</f>
        <v>0.1</v>
      </c>
      <c r="K905" s="363">
        <f>I905-(I905*J905)</f>
        <v>58.927500000000009</v>
      </c>
      <c r="L905" s="195">
        <f>K905*E905</f>
        <v>3653.5050000000006</v>
      </c>
      <c r="M905" s="326">
        <f>(L905*M899)-L905</f>
        <v>1461.4019999999996</v>
      </c>
      <c r="N905" s="364">
        <f>L905*M899</f>
        <v>5114.9070000000002</v>
      </c>
      <c r="O905" s="120"/>
      <c r="P905" s="195">
        <f>N905*E876</f>
        <v>0</v>
      </c>
      <c r="Q905" s="326">
        <f>N905*E877</f>
        <v>0</v>
      </c>
    </row>
    <row r="906" spans="2:18" s="324" customFormat="1" ht="14.4" x14ac:dyDescent="0.3">
      <c r="B906" s="120" t="s">
        <v>957</v>
      </c>
      <c r="C906" s="359">
        <v>0.14000000000000001</v>
      </c>
      <c r="D906" s="196" t="s">
        <v>954</v>
      </c>
      <c r="E906" s="125">
        <f>E916</f>
        <v>62</v>
      </c>
      <c r="F906" s="125">
        <f>(E906*C906)*1.5</f>
        <v>13.020000000000003</v>
      </c>
      <c r="G906" s="125"/>
      <c r="H906" s="124"/>
      <c r="I906" s="120"/>
      <c r="J906" s="120"/>
      <c r="L906" s="195"/>
      <c r="N906" s="365"/>
      <c r="O906" s="120"/>
      <c r="P906" s="120"/>
    </row>
    <row r="907" spans="2:18" s="324" customFormat="1" ht="14.4" x14ac:dyDescent="0.3">
      <c r="B907" s="120" t="s">
        <v>958</v>
      </c>
      <c r="C907" s="359">
        <v>0.36</v>
      </c>
      <c r="D907" s="196" t="s">
        <v>953</v>
      </c>
      <c r="E907" s="125">
        <f>F917</f>
        <v>27</v>
      </c>
      <c r="F907" s="125">
        <f t="shared" si="27"/>
        <v>9.7199999999999989</v>
      </c>
      <c r="G907" s="125"/>
      <c r="H907" s="124"/>
      <c r="I907" s="120">
        <f>C871*C907</f>
        <v>0</v>
      </c>
      <c r="J907" s="120"/>
      <c r="L907" s="195">
        <f>I907*E907</f>
        <v>0</v>
      </c>
      <c r="N907" s="366">
        <f>L907*$L$289</f>
        <v>0</v>
      </c>
      <c r="O907" s="120"/>
      <c r="P907" s="120"/>
    </row>
    <row r="908" spans="2:18" s="324" customFormat="1" ht="14.4" x14ac:dyDescent="0.3">
      <c r="B908" s="120" t="s">
        <v>959</v>
      </c>
      <c r="C908" s="359">
        <v>0.36</v>
      </c>
      <c r="D908" s="196" t="s">
        <v>953</v>
      </c>
      <c r="E908" s="125">
        <f>F918</f>
        <v>30</v>
      </c>
      <c r="F908" s="125">
        <f t="shared" si="27"/>
        <v>10.799999999999999</v>
      </c>
      <c r="G908" s="125"/>
      <c r="H908" s="124"/>
      <c r="I908" s="120">
        <f>C908*C871</f>
        <v>0</v>
      </c>
      <c r="J908" s="120"/>
      <c r="L908" s="195">
        <f>I908*E908</f>
        <v>0</v>
      </c>
      <c r="N908" s="366">
        <f>L908*$L$289</f>
        <v>0</v>
      </c>
      <c r="O908" s="120"/>
      <c r="P908" s="120"/>
    </row>
    <row r="909" spans="2:18" s="324" customFormat="1" ht="15" thickBot="1" x14ac:dyDescent="0.35">
      <c r="B909" s="120" t="s">
        <v>960</v>
      </c>
      <c r="C909" s="359">
        <v>0.3</v>
      </c>
      <c r="D909" s="196" t="s">
        <v>954</v>
      </c>
      <c r="E909" s="125">
        <f>N919</f>
        <v>0</v>
      </c>
      <c r="F909" s="125">
        <f t="shared" si="27"/>
        <v>0</v>
      </c>
      <c r="G909" s="125"/>
      <c r="H909" s="124"/>
      <c r="I909" s="120">
        <f>C909*C869</f>
        <v>0</v>
      </c>
      <c r="J909" s="120"/>
      <c r="L909" s="195">
        <f>E909*I909</f>
        <v>0</v>
      </c>
      <c r="N909" s="367">
        <f>L909*$L$289</f>
        <v>0</v>
      </c>
      <c r="O909" s="120"/>
      <c r="P909" s="120"/>
    </row>
    <row r="910" spans="2:18" s="324" customFormat="1" ht="15" thickBot="1" x14ac:dyDescent="0.35">
      <c r="B910" s="120"/>
      <c r="C910" s="120"/>
      <c r="D910" s="196"/>
      <c r="E910" s="368"/>
      <c r="F910" s="368"/>
      <c r="G910" s="125"/>
      <c r="H910" s="124"/>
      <c r="I910" s="120"/>
      <c r="J910" s="120"/>
      <c r="K910" s="120"/>
      <c r="L910" s="120"/>
      <c r="M910" s="120"/>
      <c r="N910" s="120"/>
      <c r="O910" s="120"/>
      <c r="P910" s="120"/>
    </row>
    <row r="911" spans="2:18" s="324" customFormat="1" ht="14.4" x14ac:dyDescent="0.3">
      <c r="B911" s="123"/>
      <c r="C911" s="369"/>
      <c r="D911" s="370"/>
      <c r="E911" s="371" t="s">
        <v>961</v>
      </c>
      <c r="F911" s="372" t="s">
        <v>962</v>
      </c>
      <c r="G911" s="124"/>
      <c r="H911" s="125"/>
      <c r="I911" s="125"/>
      <c r="J911" s="125"/>
      <c r="K911" s="125"/>
      <c r="L911" s="125"/>
      <c r="M911" s="125"/>
      <c r="N911" s="125"/>
      <c r="O911" s="125"/>
    </row>
    <row r="912" spans="2:18" s="324" customFormat="1" ht="15" thickBot="1" x14ac:dyDescent="0.35">
      <c r="B912" s="373" t="s">
        <v>354</v>
      </c>
      <c r="C912" s="374"/>
      <c r="D912" s="375" t="s">
        <v>102</v>
      </c>
      <c r="E912" s="376" t="s">
        <v>939</v>
      </c>
      <c r="F912" s="376" t="s">
        <v>939</v>
      </c>
      <c r="G912" s="377"/>
      <c r="H912" s="125"/>
      <c r="I912" s="124"/>
      <c r="J912" s="125"/>
      <c r="K912" s="124"/>
      <c r="L912" s="125"/>
      <c r="M912" s="124"/>
      <c r="N912" s="125"/>
      <c r="O912" s="124"/>
    </row>
    <row r="913" spans="2:15" s="324" customFormat="1" ht="14.4" x14ac:dyDescent="0.3">
      <c r="B913" s="120" t="s">
        <v>952</v>
      </c>
      <c r="C913" s="196"/>
      <c r="D913" s="378" t="s">
        <v>963</v>
      </c>
      <c r="E913" s="379">
        <v>62</v>
      </c>
      <c r="F913" s="380">
        <v>31</v>
      </c>
      <c r="G913" s="124"/>
      <c r="H913" s="125"/>
      <c r="I913" s="124"/>
      <c r="J913" s="125"/>
      <c r="K913" s="124"/>
      <c r="L913" s="125"/>
      <c r="M913" s="124"/>
      <c r="N913" s="125"/>
      <c r="O913" s="124"/>
    </row>
    <row r="914" spans="2:15" s="324" customFormat="1" ht="14.4" x14ac:dyDescent="0.3">
      <c r="B914" s="120" t="s">
        <v>955</v>
      </c>
      <c r="C914" s="196"/>
      <c r="D914" s="378" t="s">
        <v>963</v>
      </c>
      <c r="E914" s="379">
        <v>62</v>
      </c>
      <c r="F914" s="381">
        <v>39</v>
      </c>
      <c r="G914" s="124"/>
      <c r="H914" s="125"/>
      <c r="I914" s="124"/>
      <c r="J914" s="125"/>
      <c r="K914" s="124"/>
      <c r="L914" s="125"/>
      <c r="M914" s="124"/>
      <c r="N914" s="125"/>
      <c r="O914" s="124"/>
    </row>
    <row r="915" spans="2:15" s="324" customFormat="1" ht="14.4" x14ac:dyDescent="0.3">
      <c r="B915" s="120" t="s">
        <v>956</v>
      </c>
      <c r="C915" s="196"/>
      <c r="D915" s="378" t="s">
        <v>963</v>
      </c>
      <c r="E915" s="382">
        <v>25</v>
      </c>
      <c r="F915" s="381">
        <v>29</v>
      </c>
      <c r="G915" s="124"/>
      <c r="H915" s="125"/>
      <c r="I915" s="124"/>
      <c r="J915" s="436"/>
      <c r="K915" s="124"/>
      <c r="L915" s="125"/>
      <c r="M915" s="124"/>
      <c r="N915" s="125"/>
      <c r="O915" s="124"/>
    </row>
    <row r="916" spans="2:15" s="324" customFormat="1" ht="14.4" x14ac:dyDescent="0.3">
      <c r="B916" s="120" t="s">
        <v>957</v>
      </c>
      <c r="C916" s="196"/>
      <c r="D916" s="378" t="s">
        <v>963</v>
      </c>
      <c r="E916" s="379">
        <v>62</v>
      </c>
      <c r="F916" s="381">
        <v>26</v>
      </c>
      <c r="G916" s="124"/>
      <c r="H916" s="125"/>
      <c r="I916" s="124"/>
      <c r="J916" s="125"/>
      <c r="K916" s="348"/>
      <c r="L916" s="436"/>
      <c r="M916" s="124"/>
      <c r="N916" s="125"/>
      <c r="O916" s="124"/>
    </row>
    <row r="917" spans="2:15" s="324" customFormat="1" ht="14.4" x14ac:dyDescent="0.3">
      <c r="B917" s="120" t="s">
        <v>958</v>
      </c>
      <c r="C917" s="196"/>
      <c r="D917" s="378" t="s">
        <v>963</v>
      </c>
      <c r="E917" s="382">
        <v>48</v>
      </c>
      <c r="F917" s="381">
        <v>27</v>
      </c>
      <c r="G917" s="124"/>
      <c r="H917" s="125"/>
      <c r="I917" s="124"/>
      <c r="J917" s="125"/>
      <c r="K917" s="348"/>
      <c r="L917" s="436"/>
      <c r="M917" s="124"/>
      <c r="N917" s="125"/>
      <c r="O917" s="124"/>
    </row>
    <row r="918" spans="2:15" s="324" customFormat="1" ht="14.4" x14ac:dyDescent="0.3">
      <c r="B918" s="120" t="s">
        <v>959</v>
      </c>
      <c r="C918" s="196"/>
      <c r="D918" s="378" t="s">
        <v>963</v>
      </c>
      <c r="E918" s="382">
        <v>50</v>
      </c>
      <c r="F918" s="381">
        <v>30</v>
      </c>
      <c r="G918" s="124"/>
      <c r="H918" s="125"/>
      <c r="I918" s="124"/>
      <c r="J918" s="125"/>
      <c r="K918" s="348"/>
      <c r="L918" s="436"/>
      <c r="M918" s="124"/>
      <c r="N918" s="125"/>
      <c r="O918" s="124"/>
    </row>
    <row r="919" spans="2:15" s="324" customFormat="1" ht="14.4" x14ac:dyDescent="0.3">
      <c r="B919" s="120" t="s">
        <v>964</v>
      </c>
      <c r="C919" s="196"/>
      <c r="D919" s="378" t="s">
        <v>965</v>
      </c>
      <c r="E919" s="383">
        <v>168</v>
      </c>
      <c r="F919" s="381">
        <v>0</v>
      </c>
      <c r="G919" s="124"/>
      <c r="H919" s="125"/>
      <c r="I919" s="124"/>
      <c r="J919" s="125"/>
      <c r="K919" s="124"/>
      <c r="L919" s="125"/>
      <c r="M919" s="124"/>
      <c r="N919" s="125"/>
      <c r="O919" s="124"/>
    </row>
    <row r="920" spans="2:15" s="324" customFormat="1" ht="15" thickBot="1" x14ac:dyDescent="0.35">
      <c r="B920" s="120" t="s">
        <v>966</v>
      </c>
      <c r="C920" s="348"/>
      <c r="D920" s="378" t="s">
        <v>965</v>
      </c>
      <c r="E920" s="384">
        <v>153</v>
      </c>
      <c r="F920" s="384">
        <v>0</v>
      </c>
      <c r="G920" s="124"/>
      <c r="H920" s="125"/>
      <c r="I920" s="124"/>
      <c r="J920" s="125"/>
      <c r="K920" s="348"/>
      <c r="L920" s="436"/>
      <c r="M920" s="124"/>
      <c r="N920" s="125"/>
      <c r="O920" s="124"/>
    </row>
  </sheetData>
  <mergeCells count="6">
    <mergeCell ref="C859:E861"/>
    <mergeCell ref="A6:F6"/>
    <mergeCell ref="B9:G9"/>
    <mergeCell ref="D14:E14"/>
    <mergeCell ref="J14:P14"/>
    <mergeCell ref="C852:E854"/>
  </mergeCells>
  <printOptions gridLines="1"/>
  <pageMargins left="0.46" right="0.42" top="0.37" bottom="0.4" header="0.39" footer="0.38"/>
  <pageSetup paperSize="8" scale="80" orientation="portrait" horizontalDpi="1200" vertic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F1A2-63FA-4A16-ABF4-C8EBAC08570F}">
  <sheetPr>
    <tabColor theme="7"/>
  </sheetPr>
  <dimension ref="A1:R912"/>
  <sheetViews>
    <sheetView topLeftCell="A869" zoomScale="130" zoomScaleNormal="130" workbookViewId="0">
      <selection activeCell="D840" sqref="D840"/>
    </sheetView>
  </sheetViews>
  <sheetFormatPr defaultColWidth="9.109375" defaultRowHeight="10.199999999999999" x14ac:dyDescent="0.2"/>
  <cols>
    <col min="1" max="1" width="8.109375" style="38" customWidth="1"/>
    <col min="2" max="2" width="72.109375" style="38" customWidth="1"/>
    <col min="3" max="3" width="23.5546875" style="40" customWidth="1"/>
    <col min="4" max="4" width="10.44140625" style="40" customWidth="1"/>
    <col min="5" max="5" width="17.33203125" style="41" customWidth="1"/>
    <col min="6" max="6" width="14.109375" style="41" customWidth="1"/>
    <col min="7"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23"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c r="E18" s="48">
        <f>'LabourProject Rates_Master'!$E$37</f>
        <v>2650.394536340852</v>
      </c>
      <c r="F18" s="48">
        <f t="shared" si="0"/>
        <v>0</v>
      </c>
      <c r="K18" s="149" t="s">
        <v>143</v>
      </c>
      <c r="L18" s="189">
        <v>0.15</v>
      </c>
      <c r="M18" s="40">
        <v>1.1499999999999999</v>
      </c>
    </row>
    <row r="19" spans="1:13" s="40" customFormat="1" x14ac:dyDescent="0.2">
      <c r="A19" s="42"/>
      <c r="B19" s="38" t="str">
        <f>'LabourProject Rates_Master'!$B$43</f>
        <v>Crew #2 - InGround Water/Fire</v>
      </c>
      <c r="C19" s="40" t="s">
        <v>93</v>
      </c>
      <c r="D19" s="333">
        <v>2</v>
      </c>
      <c r="E19" s="48">
        <f>'LabourProject Rates_Master'!$E$44</f>
        <v>2650.394536340852</v>
      </c>
      <c r="F19" s="48">
        <f t="shared" si="0"/>
        <v>5300.7890726817041</v>
      </c>
      <c r="K19" s="149" t="s">
        <v>144</v>
      </c>
      <c r="L19" s="189">
        <v>0.2</v>
      </c>
      <c r="M19" s="40">
        <v>1.2</v>
      </c>
    </row>
    <row r="20" spans="1:13" s="40" customFormat="1" x14ac:dyDescent="0.2">
      <c r="A20" s="42"/>
      <c r="B20" s="38" t="str">
        <f>'LabourProject Rates_Master'!B51</f>
        <v>Crew #3 - Above Ground Drainage</v>
      </c>
      <c r="C20" s="40" t="s">
        <v>93</v>
      </c>
      <c r="D20" s="333">
        <v>2</v>
      </c>
      <c r="E20" s="48">
        <f>'LabourProject Rates_Master'!E52</f>
        <v>2650.394536340852</v>
      </c>
      <c r="F20" s="48">
        <f t="shared" si="0"/>
        <v>5300.7890726817041</v>
      </c>
      <c r="K20" s="149"/>
      <c r="L20" s="189"/>
    </row>
    <row r="21" spans="1:13" s="40" customFormat="1" x14ac:dyDescent="0.2">
      <c r="A21" s="42"/>
      <c r="B21" s="38" t="str">
        <f>'LabourProject Rates_Master'!B59</f>
        <v>Crew #4 - Above Ground WATER/FIRE</v>
      </c>
      <c r="C21" s="40" t="s">
        <v>93</v>
      </c>
      <c r="D21" s="333">
        <v>4</v>
      </c>
      <c r="E21" s="48">
        <f>'LabourProject Rates_Master'!E60</f>
        <v>2650.394536340852</v>
      </c>
      <c r="F21" s="48">
        <f t="shared" si="0"/>
        <v>10601.578145363408</v>
      </c>
      <c r="K21" s="149"/>
      <c r="L21" s="189"/>
    </row>
    <row r="22" spans="1:13" s="40" customFormat="1" x14ac:dyDescent="0.2">
      <c r="A22" s="42"/>
      <c r="B22" s="38" t="str">
        <f>'LabourProject Rates_Master'!B67</f>
        <v>Crew #5 - Above Ground FitOff / Misc</v>
      </c>
      <c r="C22" s="40" t="s">
        <v>93</v>
      </c>
      <c r="D22" s="333">
        <v>5</v>
      </c>
      <c r="E22" s="48">
        <f>'LabourProject Rates_Master'!E68</f>
        <v>2650.394536340852</v>
      </c>
      <c r="F22" s="48">
        <f t="shared" si="0"/>
        <v>13251.972681704261</v>
      </c>
      <c r="K22" s="149"/>
      <c r="L22" s="189"/>
    </row>
    <row r="23" spans="1:13" s="40" customFormat="1" x14ac:dyDescent="0.2">
      <c r="A23" s="42"/>
      <c r="B23" s="38" t="str">
        <f>'LabourProject Rates_Master'!B75</f>
        <v>Crew #6 - DEMO</v>
      </c>
      <c r="C23" s="40" t="s">
        <v>93</v>
      </c>
      <c r="D23" s="333"/>
      <c r="E23" s="48">
        <f>'LabourProject Rates_Master'!E76</f>
        <v>1709.2298078529657</v>
      </c>
      <c r="F23" s="48">
        <f t="shared" si="0"/>
        <v>0</v>
      </c>
      <c r="K23" s="149"/>
      <c r="L23" s="189"/>
    </row>
    <row r="24" spans="1:13" s="40" customFormat="1" ht="6.6" customHeight="1" x14ac:dyDescent="0.2">
      <c r="A24" s="42"/>
      <c r="B24" s="38"/>
      <c r="E24" s="311"/>
      <c r="F24" s="41"/>
    </row>
    <row r="25" spans="1:13" s="40" customFormat="1" x14ac:dyDescent="0.2">
      <c r="A25" s="38"/>
      <c r="B25" s="191" t="s">
        <v>145</v>
      </c>
      <c r="C25" s="42"/>
      <c r="D25" s="42"/>
      <c r="E25" s="45"/>
      <c r="F25" s="48"/>
    </row>
    <row r="26" spans="1:13" s="40" customFormat="1" x14ac:dyDescent="0.2">
      <c r="A26" s="38"/>
      <c r="B26" s="38" t="str">
        <f>'LabourProject Rates_Master'!$B$14</f>
        <v>TRADESMAN_LEADING HAND</v>
      </c>
      <c r="C26" s="40" t="s">
        <v>146</v>
      </c>
      <c r="D26" s="40">
        <v>0</v>
      </c>
      <c r="E26" s="48">
        <f>'LabourProject Rates_Master'!$E$14</f>
        <v>123.11428571428571</v>
      </c>
      <c r="F26" s="48">
        <f t="shared" ref="F26:F30" si="1">E26*D26</f>
        <v>0</v>
      </c>
    </row>
    <row r="27" spans="1:13" s="40" customFormat="1" ht="11.4" customHeight="1" x14ac:dyDescent="0.2">
      <c r="A27" s="38"/>
      <c r="B27" s="38" t="str">
        <f>'LabourProject Rates_Master'!$B$23</f>
        <v>TRADESMAN_PLUMBER_OPERATOR</v>
      </c>
      <c r="C27" s="40" t="s">
        <v>146</v>
      </c>
      <c r="D27" s="40">
        <v>0</v>
      </c>
      <c r="E27" s="48">
        <f>'LabourProject Rates_Master'!$E$21</f>
        <v>94.116472848788632</v>
      </c>
      <c r="F27" s="48">
        <f t="shared" si="1"/>
        <v>0</v>
      </c>
    </row>
    <row r="28" spans="1:13" s="40" customFormat="1" ht="11.4" customHeight="1" x14ac:dyDescent="0.2">
      <c r="A28" s="42"/>
      <c r="B28" s="38" t="str">
        <f>'LabourProject Rates_Master'!$B$30</f>
        <v>T/A &amp; Apprentice</v>
      </c>
      <c r="C28" s="40" t="s">
        <v>146</v>
      </c>
      <c r="D28" s="40">
        <v>0</v>
      </c>
      <c r="E28" s="48">
        <f>'LabourProject Rates_Master'!$E$28</f>
        <v>76.806507936507941</v>
      </c>
      <c r="F28" s="48">
        <f t="shared" si="1"/>
        <v>0</v>
      </c>
    </row>
    <row r="29" spans="1:13" s="40" customFormat="1" ht="11.4" customHeight="1" x14ac:dyDescent="0.2">
      <c r="A29" s="42"/>
      <c r="B29" s="38" t="str">
        <f>'LabourProject Rates_Master'!$B$36</f>
        <v>Crew #1 - InGround Drainage</v>
      </c>
      <c r="C29" s="40" t="s">
        <v>146</v>
      </c>
      <c r="D29" s="40">
        <v>0</v>
      </c>
      <c r="E29" s="48">
        <f>'LabourProject Rates_Master'!$E$36</f>
        <v>265.03945363408519</v>
      </c>
      <c r="F29" s="48">
        <f t="shared" si="1"/>
        <v>0</v>
      </c>
    </row>
    <row r="30" spans="1:13" s="40" customFormat="1" x14ac:dyDescent="0.2">
      <c r="A30" s="42"/>
      <c r="B30" s="38" t="str">
        <f>'LabourProject Rates_Master'!$B$43</f>
        <v>Crew #2 - InGround Water/Fire</v>
      </c>
      <c r="C30" s="40" t="s">
        <v>146</v>
      </c>
      <c r="D30" s="40">
        <v>0</v>
      </c>
      <c r="E30" s="48">
        <f>'LabourProject Rates_Master'!$E$43</f>
        <v>265.03945363408519</v>
      </c>
      <c r="F30" s="48">
        <f t="shared" si="1"/>
        <v>0</v>
      </c>
    </row>
    <row r="31" spans="1:13" ht="7.5" customHeight="1" x14ac:dyDescent="0.2">
      <c r="E31" s="48"/>
    </row>
    <row r="32" spans="1:13" ht="10.8" thickBot="1" x14ac:dyDescent="0.25">
      <c r="A32" s="40"/>
      <c r="E32" s="48"/>
      <c r="F32" s="48"/>
    </row>
    <row r="33" spans="1:6" ht="10.8" thickBot="1" x14ac:dyDescent="0.25">
      <c r="A33" s="42"/>
      <c r="B33" s="386" t="s">
        <v>147</v>
      </c>
      <c r="C33" s="387"/>
      <c r="D33" s="387"/>
      <c r="E33" s="388"/>
      <c r="F33" s="388"/>
    </row>
    <row r="34" spans="1:6" x14ac:dyDescent="0.2">
      <c r="A34" s="40"/>
      <c r="B34" s="389" t="s">
        <v>148</v>
      </c>
      <c r="C34" s="387"/>
      <c r="D34" s="387"/>
      <c r="E34" s="388"/>
      <c r="F34" s="388"/>
    </row>
    <row r="35" spans="1:6" x14ac:dyDescent="0.2">
      <c r="A35" s="40"/>
      <c r="B35" s="390" t="str">
        <f>'Misc Subbie Rates_Master'!A49</f>
        <v>Asphalt Cutting</v>
      </c>
      <c r="C35" s="387" t="s">
        <v>149</v>
      </c>
      <c r="D35" s="391"/>
      <c r="E35" s="388">
        <f>'Misc Subbie Rates_Master'!D49+('Misc Subbie Rates_Master'!D49*$L$18)</f>
        <v>15.525</v>
      </c>
      <c r="F35" s="388">
        <f>E35*D35</f>
        <v>0</v>
      </c>
    </row>
    <row r="36" spans="1:6" x14ac:dyDescent="0.2">
      <c r="A36" s="40"/>
      <c r="B36" s="390" t="str">
        <f>'Misc Subbie Rates_Master'!A50</f>
        <v>Concrete Cutting</v>
      </c>
      <c r="C36" s="387" t="s">
        <v>149</v>
      </c>
      <c r="D36" s="387"/>
      <c r="E36" s="388">
        <f>'Misc Subbie Rates_Master'!D50+('Misc Subbie Rates_Master'!D50*$L$18)</f>
        <v>18.399999999999999</v>
      </c>
      <c r="F36" s="388">
        <f t="shared" ref="F36:F46" si="2">E36*D36</f>
        <v>0</v>
      </c>
    </row>
    <row r="37" spans="1:6" x14ac:dyDescent="0.2">
      <c r="A37" s="40"/>
      <c r="B37" s="390" t="s">
        <v>150</v>
      </c>
      <c r="C37" s="387" t="s">
        <v>115</v>
      </c>
      <c r="D37" s="387"/>
      <c r="E37" s="388">
        <f>'Misc Subbie Rates_Master'!D51+('Misc Subbie Rates_Master'!D51*$L$18)</f>
        <v>92</v>
      </c>
      <c r="F37" s="388">
        <f t="shared" si="2"/>
        <v>0</v>
      </c>
    </row>
    <row r="38" spans="1:6" x14ac:dyDescent="0.2">
      <c r="A38" s="40"/>
      <c r="B38" s="389" t="s">
        <v>151</v>
      </c>
      <c r="C38" s="387"/>
      <c r="D38" s="387"/>
      <c r="E38" s="388"/>
      <c r="F38" s="388"/>
    </row>
    <row r="39" spans="1:6" x14ac:dyDescent="0.2">
      <c r="A39" s="40"/>
      <c r="B39" s="390" t="str">
        <f>'Misc Subbie Rates_Master'!A56</f>
        <v>Road/Drveway Reinstate; 1mW x 150 Thck, N25/20/80, Incl Reinforcement</v>
      </c>
      <c r="C39" s="387" t="s">
        <v>149</v>
      </c>
      <c r="D39" s="387"/>
      <c r="E39" s="388">
        <f>'Misc Subbie Rates_Master'!D56</f>
        <v>145</v>
      </c>
      <c r="F39" s="388">
        <f t="shared" si="2"/>
        <v>0</v>
      </c>
    </row>
    <row r="40" spans="1:6" x14ac:dyDescent="0.2">
      <c r="A40" s="40"/>
      <c r="B40" s="390" t="str">
        <f>'Misc Subbie Rates_Master'!A57</f>
        <v>Kerb &amp; Channel - 1m Wide</v>
      </c>
      <c r="C40" s="387" t="s">
        <v>115</v>
      </c>
      <c r="D40" s="387"/>
      <c r="E40" s="388">
        <f>'Misc Subbie Rates_Master'!D57</f>
        <v>155</v>
      </c>
      <c r="F40" s="388">
        <f t="shared" si="2"/>
        <v>0</v>
      </c>
    </row>
    <row r="41" spans="1:6" x14ac:dyDescent="0.2">
      <c r="A41" s="40"/>
      <c r="B41" s="390" t="str">
        <f>'Misc Subbie Rates_Master'!A58</f>
        <v>Footpath - 1.5mW, N25/20/80, Incl Reinforcement</v>
      </c>
      <c r="C41" s="387" t="s">
        <v>152</v>
      </c>
      <c r="D41" s="387"/>
      <c r="E41" s="388">
        <f>'Misc Subbie Rates_Master'!D58</f>
        <v>180</v>
      </c>
      <c r="F41" s="388">
        <f t="shared" si="2"/>
        <v>0</v>
      </c>
    </row>
    <row r="42" spans="1:6" x14ac:dyDescent="0.2">
      <c r="A42" s="40"/>
      <c r="B42" s="390" t="str">
        <f>'Misc Subbie Rates_Master'!A59</f>
        <v>Footpath - 1.5mW, EXPOSED AGG, N25/20/80, Incl Reinforcement</v>
      </c>
      <c r="C42" s="387" t="s">
        <v>152</v>
      </c>
      <c r="D42" s="387"/>
      <c r="E42" s="388">
        <f>'Misc Subbie Rates_Master'!D59</f>
        <v>185</v>
      </c>
      <c r="F42" s="388">
        <f t="shared" si="2"/>
        <v>0</v>
      </c>
    </row>
    <row r="43" spans="1:6" x14ac:dyDescent="0.2">
      <c r="A43" s="40"/>
      <c r="B43" s="389" t="s">
        <v>153</v>
      </c>
      <c r="C43" s="387"/>
      <c r="D43" s="387"/>
      <c r="E43" s="388"/>
      <c r="F43" s="388"/>
    </row>
    <row r="44" spans="1:6" x14ac:dyDescent="0.2">
      <c r="A44" s="40"/>
      <c r="B44" s="390" t="str">
        <f>'Misc Subbie Rates_Master'!A64</f>
        <v xml:space="preserve">50mm Thck - Trench Reinstatement Through Road/Driveway </v>
      </c>
      <c r="C44" s="387" t="s">
        <v>154</v>
      </c>
      <c r="D44" s="387"/>
      <c r="E44" s="388">
        <f>'Misc Subbie Rates_Master'!D64</f>
        <v>97</v>
      </c>
      <c r="F44" s="388">
        <f t="shared" si="2"/>
        <v>0</v>
      </c>
    </row>
    <row r="45" spans="1:6" x14ac:dyDescent="0.2">
      <c r="A45" s="40"/>
      <c r="B45" s="390" t="str">
        <f>'Misc Subbie Rates_Master'!A65</f>
        <v xml:space="preserve">50mm Thck - 1.5-2m Wide Footpath reinstatements </v>
      </c>
      <c r="C45" s="387" t="s">
        <v>154</v>
      </c>
      <c r="D45" s="387"/>
      <c r="E45" s="388">
        <f>'Misc Subbie Rates_Master'!D65</f>
        <v>97</v>
      </c>
      <c r="F45" s="388">
        <f t="shared" si="2"/>
        <v>0</v>
      </c>
    </row>
    <row r="46" spans="1:6" x14ac:dyDescent="0.2">
      <c r="A46" s="40"/>
      <c r="B46" s="390" t="str">
        <f>'Misc Subbie Rates_Master'!A66</f>
        <v>Establishment Fee (1 per stage)</v>
      </c>
      <c r="C46" s="387" t="s">
        <v>155</v>
      </c>
      <c r="D46" s="387"/>
      <c r="E46" s="388">
        <f>'Misc Subbie Rates_Master'!D66</f>
        <v>5500</v>
      </c>
      <c r="F46" s="388">
        <f t="shared" si="2"/>
        <v>0</v>
      </c>
    </row>
    <row r="47" spans="1:6" ht="10.8" thickBot="1" x14ac:dyDescent="0.25">
      <c r="A47" s="40"/>
      <c r="E47" s="48"/>
      <c r="F47" s="48"/>
    </row>
    <row r="48" spans="1:6" ht="10.8" thickBot="1" x14ac:dyDescent="0.25">
      <c r="A48" s="42"/>
      <c r="B48" s="49" t="s">
        <v>156</v>
      </c>
      <c r="E48" s="48"/>
      <c r="F48" s="48"/>
    </row>
    <row r="49" spans="1:6" x14ac:dyDescent="0.2">
      <c r="A49" s="40"/>
      <c r="E49" s="48"/>
      <c r="F49" s="48"/>
    </row>
    <row r="50" spans="1:6" x14ac:dyDescent="0.2">
      <c r="B50" s="284" t="s">
        <v>157</v>
      </c>
      <c r="E50" s="48"/>
      <c r="F50" s="48"/>
    </row>
    <row r="51" spans="1:6" x14ac:dyDescent="0.2">
      <c r="B51" s="38" t="s">
        <v>158</v>
      </c>
      <c r="C51" s="40" t="s">
        <v>159</v>
      </c>
      <c r="E51" s="48">
        <f>'Misc Subbie Rates_Master'!D10</f>
        <v>100</v>
      </c>
      <c r="F51" s="48">
        <f>E51*D51</f>
        <v>0</v>
      </c>
    </row>
    <row r="52" spans="1:6" x14ac:dyDescent="0.2">
      <c r="B52" s="38" t="s">
        <v>160</v>
      </c>
      <c r="C52" s="40" t="s">
        <v>159</v>
      </c>
      <c r="E52" s="48">
        <f>'Misc Subbie Rates_Master'!D11</f>
        <v>115</v>
      </c>
      <c r="F52" s="48">
        <f t="shared" ref="F52:F69" si="3">E52*D52</f>
        <v>0</v>
      </c>
    </row>
    <row r="53" spans="1:6" x14ac:dyDescent="0.2">
      <c r="B53" s="38" t="s">
        <v>161</v>
      </c>
      <c r="C53" s="40" t="s">
        <v>159</v>
      </c>
      <c r="E53" s="48">
        <f>'Misc Subbie Rates_Master'!D12</f>
        <v>154</v>
      </c>
      <c r="F53" s="48">
        <f t="shared" si="3"/>
        <v>0</v>
      </c>
    </row>
    <row r="54" spans="1:6" x14ac:dyDescent="0.2">
      <c r="B54" s="38" t="s">
        <v>162</v>
      </c>
      <c r="C54" s="40" t="s">
        <v>159</v>
      </c>
      <c r="E54" s="48">
        <f>'Misc Subbie Rates_Master'!D13</f>
        <v>21</v>
      </c>
      <c r="F54" s="48">
        <f t="shared" si="3"/>
        <v>0</v>
      </c>
    </row>
    <row r="55" spans="1:6" x14ac:dyDescent="0.2">
      <c r="B55" s="38" t="s">
        <v>163</v>
      </c>
      <c r="C55" s="40" t="s">
        <v>159</v>
      </c>
      <c r="E55" s="48">
        <f>'Misc Subbie Rates_Master'!D14</f>
        <v>10</v>
      </c>
      <c r="F55" s="48">
        <f t="shared" si="3"/>
        <v>0</v>
      </c>
    </row>
    <row r="56" spans="1:6" x14ac:dyDescent="0.2">
      <c r="B56" s="38" t="s">
        <v>164</v>
      </c>
      <c r="C56" s="40" t="s">
        <v>159</v>
      </c>
      <c r="E56" s="48">
        <f>'Misc Subbie Rates_Master'!D15</f>
        <v>150</v>
      </c>
      <c r="F56" s="48">
        <f t="shared" si="3"/>
        <v>0</v>
      </c>
    </row>
    <row r="57" spans="1:6" x14ac:dyDescent="0.2">
      <c r="B57" s="38" t="s">
        <v>165</v>
      </c>
      <c r="C57" s="40" t="s">
        <v>159</v>
      </c>
      <c r="E57" s="48">
        <f>'Misc Subbie Rates_Master'!D16</f>
        <v>50</v>
      </c>
      <c r="F57" s="48">
        <f t="shared" si="3"/>
        <v>0</v>
      </c>
    </row>
    <row r="58" spans="1:6" x14ac:dyDescent="0.2">
      <c r="B58" s="38" t="s">
        <v>166</v>
      </c>
      <c r="C58" s="40" t="s">
        <v>159</v>
      </c>
      <c r="E58" s="48">
        <f>'Misc Subbie Rates_Master'!D17</f>
        <v>140</v>
      </c>
      <c r="F58" s="48">
        <f t="shared" si="3"/>
        <v>0</v>
      </c>
    </row>
    <row r="59" spans="1:6" x14ac:dyDescent="0.2">
      <c r="B59" s="38" t="s">
        <v>167</v>
      </c>
      <c r="C59" s="40" t="s">
        <v>159</v>
      </c>
      <c r="E59" s="48">
        <f>'Misc Subbie Rates_Master'!D18</f>
        <v>128</v>
      </c>
      <c r="F59" s="48">
        <f t="shared" si="3"/>
        <v>0</v>
      </c>
    </row>
    <row r="60" spans="1:6" x14ac:dyDescent="0.2">
      <c r="B60" s="38" t="s">
        <v>168</v>
      </c>
      <c r="C60" s="40" t="s">
        <v>159</v>
      </c>
      <c r="E60" s="48">
        <f>'Misc Subbie Rates_Master'!D19</f>
        <v>26</v>
      </c>
      <c r="F60" s="48">
        <f t="shared" si="3"/>
        <v>0</v>
      </c>
    </row>
    <row r="61" spans="1:6" x14ac:dyDescent="0.2">
      <c r="B61" s="38" t="s">
        <v>169</v>
      </c>
      <c r="C61" s="40" t="s">
        <v>159</v>
      </c>
      <c r="E61" s="48">
        <f>'Misc Subbie Rates_Master'!D20</f>
        <v>10</v>
      </c>
      <c r="F61" s="48">
        <f t="shared" si="3"/>
        <v>0</v>
      </c>
    </row>
    <row r="62" spans="1:6" x14ac:dyDescent="0.2">
      <c r="B62" s="38" t="s">
        <v>170</v>
      </c>
      <c r="C62" s="40" t="s">
        <v>159</v>
      </c>
      <c r="E62" s="48">
        <f>'Misc Subbie Rates_Master'!D21</f>
        <v>153</v>
      </c>
      <c r="F62" s="48">
        <f t="shared" si="3"/>
        <v>0</v>
      </c>
    </row>
    <row r="63" spans="1:6" x14ac:dyDescent="0.2">
      <c r="B63" s="38" t="s">
        <v>171</v>
      </c>
      <c r="C63" s="40" t="s">
        <v>159</v>
      </c>
      <c r="E63" s="48">
        <f>'Misc Subbie Rates_Master'!D22</f>
        <v>36</v>
      </c>
      <c r="F63" s="48">
        <f t="shared" si="3"/>
        <v>0</v>
      </c>
    </row>
    <row r="64" spans="1:6" x14ac:dyDescent="0.2">
      <c r="B64" s="38" t="s">
        <v>172</v>
      </c>
      <c r="C64" s="40" t="s">
        <v>159</v>
      </c>
      <c r="E64" s="48">
        <f>'Misc Subbie Rates_Master'!D23</f>
        <v>10</v>
      </c>
      <c r="F64" s="48">
        <f t="shared" si="3"/>
        <v>0</v>
      </c>
    </row>
    <row r="65" spans="1:6" x14ac:dyDescent="0.2">
      <c r="B65" s="38" t="s">
        <v>173</v>
      </c>
      <c r="C65" s="40" t="s">
        <v>159</v>
      </c>
      <c r="E65" s="48">
        <f>'Misc Subbie Rates_Master'!D24</f>
        <v>190</v>
      </c>
      <c r="F65" s="48">
        <f t="shared" si="3"/>
        <v>0</v>
      </c>
    </row>
    <row r="66" spans="1:6" x14ac:dyDescent="0.2">
      <c r="B66" s="38" t="s">
        <v>174</v>
      </c>
      <c r="C66" s="40" t="s">
        <v>159</v>
      </c>
      <c r="E66" s="48">
        <f>'Misc Subbie Rates_Master'!D25</f>
        <v>220</v>
      </c>
      <c r="F66" s="48">
        <f t="shared" si="3"/>
        <v>0</v>
      </c>
    </row>
    <row r="67" spans="1:6" x14ac:dyDescent="0.2">
      <c r="B67" s="38" t="s">
        <v>175</v>
      </c>
      <c r="C67" s="40" t="s">
        <v>159</v>
      </c>
      <c r="E67" s="48">
        <f>'Misc Subbie Rates_Master'!D26</f>
        <v>250</v>
      </c>
      <c r="F67" s="48">
        <f t="shared" si="3"/>
        <v>0</v>
      </c>
    </row>
    <row r="68" spans="1:6" x14ac:dyDescent="0.2">
      <c r="B68" s="38" t="s">
        <v>176</v>
      </c>
      <c r="C68" s="40" t="s">
        <v>159</v>
      </c>
      <c r="E68" s="48">
        <f>'Misc Subbie Rates_Master'!D27</f>
        <v>110</v>
      </c>
      <c r="F68" s="48">
        <f t="shared" si="3"/>
        <v>0</v>
      </c>
    </row>
    <row r="69" spans="1:6" x14ac:dyDescent="0.2">
      <c r="B69" s="38" t="s">
        <v>177</v>
      </c>
      <c r="C69" s="40" t="s">
        <v>159</v>
      </c>
      <c r="E69" s="48">
        <f>'Misc Subbie Rates_Master'!D28</f>
        <v>110</v>
      </c>
      <c r="F69" s="48">
        <f t="shared" si="3"/>
        <v>0</v>
      </c>
    </row>
    <row r="70" spans="1:6" x14ac:dyDescent="0.2">
      <c r="E70" s="48"/>
      <c r="F70" s="48"/>
    </row>
    <row r="71" spans="1:6" x14ac:dyDescent="0.2">
      <c r="B71" s="284" t="s">
        <v>178</v>
      </c>
      <c r="E71" s="48"/>
      <c r="F71" s="48"/>
    </row>
    <row r="72" spans="1:6" x14ac:dyDescent="0.2">
      <c r="A72" s="40"/>
      <c r="B72" s="201" t="s">
        <v>179</v>
      </c>
      <c r="C72" s="40" t="s">
        <v>93</v>
      </c>
      <c r="D72" s="40">
        <v>2</v>
      </c>
      <c r="E72" s="48">
        <f>'Equip&amp;HIRE_Master'!D4</f>
        <v>225.43333333333334</v>
      </c>
      <c r="F72" s="48">
        <f>E72*D72</f>
        <v>450.86666666666667</v>
      </c>
    </row>
    <row r="73" spans="1:6" x14ac:dyDescent="0.2">
      <c r="A73" s="40"/>
      <c r="B73" s="201" t="s">
        <v>180</v>
      </c>
      <c r="C73" s="40" t="s">
        <v>93</v>
      </c>
      <c r="D73" s="40">
        <v>0</v>
      </c>
      <c r="E73" s="48">
        <f>'Equip&amp;HIRE_Master'!D5</f>
        <v>163.96666666666667</v>
      </c>
      <c r="F73" s="48">
        <f t="shared" ref="F73:F136" si="4">E73*D73</f>
        <v>0</v>
      </c>
    </row>
    <row r="74" spans="1:6" x14ac:dyDescent="0.2">
      <c r="A74" s="40"/>
      <c r="B74" s="201" t="s">
        <v>181</v>
      </c>
      <c r="C74" s="40" t="s">
        <v>93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182</v>
      </c>
      <c r="C76" s="40" t="s">
        <v>93</v>
      </c>
      <c r="E76" s="48">
        <f>'Equip&amp;HIRE_Master'!D8</f>
        <v>137.14285714285714</v>
      </c>
      <c r="F76" s="48">
        <f t="shared" si="4"/>
        <v>0</v>
      </c>
    </row>
    <row r="77" spans="1:6" x14ac:dyDescent="0.2">
      <c r="A77" s="40"/>
      <c r="B77" s="201" t="s">
        <v>183</v>
      </c>
      <c r="C77" s="40" t="s">
        <v>93</v>
      </c>
      <c r="E77" s="48">
        <f>'Equip&amp;HIRE_Master'!D9</f>
        <v>0</v>
      </c>
      <c r="F77" s="48">
        <f t="shared" si="4"/>
        <v>0</v>
      </c>
    </row>
    <row r="78" spans="1:6" x14ac:dyDescent="0.2">
      <c r="A78" s="40"/>
      <c r="B78" s="201" t="s">
        <v>184</v>
      </c>
      <c r="C78" s="40" t="s">
        <v>93</v>
      </c>
      <c r="D78" s="40">
        <v>2</v>
      </c>
      <c r="E78" s="48">
        <f>'Equip&amp;HIRE_Master'!D10</f>
        <v>238.66666666666666</v>
      </c>
      <c r="F78" s="48">
        <f t="shared" si="4"/>
        <v>477.33333333333331</v>
      </c>
    </row>
    <row r="79" spans="1:6" x14ac:dyDescent="0.2">
      <c r="A79" s="40"/>
      <c r="B79" s="201" t="s">
        <v>185</v>
      </c>
      <c r="C79" s="40" t="s">
        <v>93</v>
      </c>
      <c r="E79" s="48">
        <f>'Equip&amp;HIRE_Master'!D11</f>
        <v>261.16666666666669</v>
      </c>
      <c r="F79" s="48">
        <f t="shared" si="4"/>
        <v>0</v>
      </c>
    </row>
    <row r="80" spans="1:6" x14ac:dyDescent="0.2">
      <c r="A80" s="40"/>
      <c r="B80" s="201" t="s">
        <v>186</v>
      </c>
      <c r="C80" s="40" t="s">
        <v>93</v>
      </c>
      <c r="E80" s="48">
        <f>'Equip&amp;HIRE_Master'!D12</f>
        <v>0</v>
      </c>
      <c r="F80" s="48">
        <f t="shared" si="4"/>
        <v>0</v>
      </c>
    </row>
    <row r="81" spans="1:6" x14ac:dyDescent="0.2">
      <c r="A81" s="40"/>
      <c r="B81" s="201" t="s">
        <v>187</v>
      </c>
      <c r="C81" s="40" t="s">
        <v>93</v>
      </c>
      <c r="E81" s="48">
        <f>'Equip&amp;HIRE_Master'!D13</f>
        <v>317.2</v>
      </c>
      <c r="F81" s="48">
        <f t="shared" si="4"/>
        <v>0</v>
      </c>
    </row>
    <row r="82" spans="1:6" x14ac:dyDescent="0.2">
      <c r="A82" s="40"/>
      <c r="B82" s="201" t="s">
        <v>188</v>
      </c>
      <c r="C82" s="40" t="s">
        <v>93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189</v>
      </c>
      <c r="C84" s="40" t="s">
        <v>93</v>
      </c>
      <c r="E84" s="48">
        <f>'Equip&amp;HIRE_Master'!D16</f>
        <v>0</v>
      </c>
      <c r="F84" s="48">
        <f t="shared" si="4"/>
        <v>0</v>
      </c>
    </row>
    <row r="85" spans="1:6" x14ac:dyDescent="0.2">
      <c r="A85" s="40"/>
      <c r="B85" s="201" t="s">
        <v>190</v>
      </c>
      <c r="C85" s="40" t="s">
        <v>93</v>
      </c>
      <c r="E85" s="48">
        <f>'Equip&amp;HIRE_Master'!D17</f>
        <v>32.74</v>
      </c>
      <c r="F85" s="48">
        <f t="shared" si="4"/>
        <v>0</v>
      </c>
    </row>
    <row r="86" spans="1:6" x14ac:dyDescent="0.2">
      <c r="A86" s="40"/>
      <c r="B86" s="201" t="s">
        <v>191</v>
      </c>
      <c r="C86" s="40" t="s">
        <v>93</v>
      </c>
      <c r="E86" s="48">
        <f>'Equip&amp;HIRE_Master'!D18</f>
        <v>0</v>
      </c>
      <c r="F86" s="48">
        <f t="shared" si="4"/>
        <v>0</v>
      </c>
    </row>
    <row r="87" spans="1:6" x14ac:dyDescent="0.2">
      <c r="A87" s="40"/>
      <c r="B87" s="201" t="s">
        <v>192</v>
      </c>
      <c r="C87" s="40" t="s">
        <v>93</v>
      </c>
      <c r="E87" s="48">
        <f>'Equip&amp;HIRE_Master'!D19</f>
        <v>40.380000000000003</v>
      </c>
      <c r="F87" s="48">
        <f t="shared" si="4"/>
        <v>0</v>
      </c>
    </row>
    <row r="88" spans="1:6" x14ac:dyDescent="0.2">
      <c r="A88" s="40"/>
      <c r="B88" s="201" t="s">
        <v>193</v>
      </c>
      <c r="C88" s="40" t="s">
        <v>93</v>
      </c>
      <c r="E88" s="48">
        <f>'Equip&amp;HIRE_Master'!D20</f>
        <v>123.33</v>
      </c>
      <c r="F88" s="48">
        <f t="shared" si="4"/>
        <v>0</v>
      </c>
    </row>
    <row r="89" spans="1:6" x14ac:dyDescent="0.2">
      <c r="A89" s="40"/>
      <c r="B89" s="201" t="s">
        <v>194</v>
      </c>
      <c r="C89" s="40" t="s">
        <v>93</v>
      </c>
      <c r="E89" s="48">
        <f>'Equip&amp;HIRE_Master'!D21</f>
        <v>165.89</v>
      </c>
      <c r="F89" s="48">
        <f t="shared" si="4"/>
        <v>0</v>
      </c>
    </row>
    <row r="90" spans="1:6" x14ac:dyDescent="0.2">
      <c r="A90" s="40"/>
      <c r="B90" s="201" t="s">
        <v>195</v>
      </c>
      <c r="C90" s="40" t="s">
        <v>93</v>
      </c>
      <c r="E90" s="48">
        <f>'Equip&amp;HIRE_Master'!D22</f>
        <v>165.89</v>
      </c>
      <c r="F90" s="48">
        <f t="shared" si="4"/>
        <v>0</v>
      </c>
    </row>
    <row r="91" spans="1:6" x14ac:dyDescent="0.2">
      <c r="A91" s="40"/>
      <c r="B91" s="201" t="s">
        <v>196</v>
      </c>
      <c r="C91" s="40" t="s">
        <v>93</v>
      </c>
      <c r="E91" s="48">
        <f>'Equip&amp;HIRE_Master'!D23</f>
        <v>0</v>
      </c>
      <c r="F91" s="48">
        <f t="shared" si="4"/>
        <v>0</v>
      </c>
    </row>
    <row r="92" spans="1:6" x14ac:dyDescent="0.2">
      <c r="A92" s="40"/>
      <c r="B92" s="201" t="s">
        <v>197</v>
      </c>
      <c r="C92" s="40" t="s">
        <v>93</v>
      </c>
      <c r="E92" s="48">
        <f>'Equip&amp;HIRE_Master'!D24</f>
        <v>203</v>
      </c>
      <c r="F92" s="48">
        <f t="shared" si="4"/>
        <v>0</v>
      </c>
    </row>
    <row r="93" spans="1:6" x14ac:dyDescent="0.2">
      <c r="A93" s="40"/>
      <c r="B93" s="201" t="s">
        <v>198</v>
      </c>
      <c r="E93" s="48">
        <f>'Equip&amp;HIRE_Master'!D25</f>
        <v>0</v>
      </c>
      <c r="F93" s="48">
        <f t="shared" si="4"/>
        <v>0</v>
      </c>
    </row>
    <row r="94" spans="1:6" x14ac:dyDescent="0.2">
      <c r="A94" s="40"/>
      <c r="B94" s="201" t="s">
        <v>199</v>
      </c>
      <c r="E94" s="48">
        <f>'Equip&amp;HIRE_Master'!D26</f>
        <v>0</v>
      </c>
      <c r="F94" s="48">
        <f t="shared" si="4"/>
        <v>0</v>
      </c>
    </row>
    <row r="95" spans="1:6" ht="4.95" customHeight="1" x14ac:dyDescent="0.2">
      <c r="A95" s="40"/>
      <c r="B95" s="201"/>
      <c r="E95" s="48">
        <f>'Equip&amp;HIRE_Master'!D27</f>
        <v>0</v>
      </c>
      <c r="F95" s="48">
        <f t="shared" si="4"/>
        <v>0</v>
      </c>
    </row>
    <row r="96" spans="1:6" x14ac:dyDescent="0.2">
      <c r="A96" s="40"/>
      <c r="B96" s="201" t="s">
        <v>200</v>
      </c>
      <c r="C96" s="40" t="s">
        <v>93</v>
      </c>
      <c r="E96" s="48">
        <f>'Equip&amp;HIRE_Master'!D28</f>
        <v>205</v>
      </c>
      <c r="F96" s="48">
        <f t="shared" si="4"/>
        <v>0</v>
      </c>
    </row>
    <row r="97" spans="1:6" x14ac:dyDescent="0.2">
      <c r="A97" s="40"/>
      <c r="B97" s="201" t="s">
        <v>201</v>
      </c>
      <c r="C97" s="40" t="s">
        <v>93</v>
      </c>
      <c r="D97" s="40">
        <v>1</v>
      </c>
      <c r="E97" s="48">
        <f>'Equip&amp;HIRE_Master'!D29</f>
        <v>166.98</v>
      </c>
      <c r="F97" s="48">
        <f t="shared" si="4"/>
        <v>166.98</v>
      </c>
    </row>
    <row r="98" spans="1:6" x14ac:dyDescent="0.2">
      <c r="A98" s="40"/>
      <c r="B98" s="201" t="s">
        <v>202</v>
      </c>
      <c r="C98" s="40" t="s">
        <v>93</v>
      </c>
      <c r="E98" s="48">
        <f>'Equip&amp;HIRE_Master'!D30</f>
        <v>171.42857142857142</v>
      </c>
      <c r="F98" s="48">
        <f t="shared" si="4"/>
        <v>0</v>
      </c>
    </row>
    <row r="99" spans="1:6" ht="4.2" customHeight="1" x14ac:dyDescent="0.2">
      <c r="A99" s="40"/>
      <c r="B99" s="201"/>
      <c r="E99" s="48">
        <f>'Equip&amp;HIRE_Master'!D31</f>
        <v>0</v>
      </c>
      <c r="F99" s="48">
        <f t="shared" si="4"/>
        <v>0</v>
      </c>
    </row>
    <row r="100" spans="1:6" x14ac:dyDescent="0.2">
      <c r="A100" s="40"/>
      <c r="B100" s="201" t="s">
        <v>203</v>
      </c>
      <c r="C100" s="40" t="s">
        <v>93</v>
      </c>
      <c r="D100" s="40">
        <v>0</v>
      </c>
      <c r="E100" s="48">
        <f>'Equip&amp;HIRE_Master'!D32</f>
        <v>0</v>
      </c>
      <c r="F100" s="48">
        <f t="shared" si="4"/>
        <v>0</v>
      </c>
    </row>
    <row r="101" spans="1:6" x14ac:dyDescent="0.2">
      <c r="A101" s="40"/>
      <c r="B101" s="201" t="s">
        <v>204</v>
      </c>
      <c r="C101" s="40" t="s">
        <v>93</v>
      </c>
      <c r="D101" s="40">
        <v>2</v>
      </c>
      <c r="E101" s="48">
        <f>'Equip&amp;HIRE_Master'!D33</f>
        <v>34.285714285714285</v>
      </c>
      <c r="F101" s="48">
        <f t="shared" si="4"/>
        <v>68.571428571428569</v>
      </c>
    </row>
    <row r="102" spans="1:6" x14ac:dyDescent="0.2">
      <c r="A102" s="40"/>
      <c r="B102" s="201" t="s">
        <v>205</v>
      </c>
      <c r="C102" s="40" t="s">
        <v>93</v>
      </c>
      <c r="E102" s="48">
        <f>'Equip&amp;HIRE_Master'!D34</f>
        <v>165</v>
      </c>
      <c r="F102" s="48">
        <f t="shared" si="4"/>
        <v>0</v>
      </c>
    </row>
    <row r="103" spans="1:6" x14ac:dyDescent="0.2">
      <c r="A103" s="40"/>
      <c r="B103" s="201" t="s">
        <v>206</v>
      </c>
      <c r="C103" s="40" t="s">
        <v>93</v>
      </c>
      <c r="E103" s="48">
        <f>'Equip&amp;HIRE_Master'!D35</f>
        <v>0</v>
      </c>
      <c r="F103" s="48">
        <f t="shared" si="4"/>
        <v>0</v>
      </c>
    </row>
    <row r="104" spans="1:6" x14ac:dyDescent="0.2">
      <c r="A104" s="40"/>
      <c r="B104" s="201" t="s">
        <v>207</v>
      </c>
      <c r="C104" s="40" t="s">
        <v>93</v>
      </c>
      <c r="E104" s="48">
        <f>'Equip&amp;HIRE_Master'!D36</f>
        <v>0</v>
      </c>
      <c r="F104" s="48">
        <f t="shared" si="4"/>
        <v>0</v>
      </c>
    </row>
    <row r="105" spans="1:6" x14ac:dyDescent="0.2">
      <c r="A105" s="40"/>
      <c r="B105" s="201" t="s">
        <v>208</v>
      </c>
      <c r="C105" s="40" t="s">
        <v>93</v>
      </c>
      <c r="E105" s="48">
        <f>'Equip&amp;HIRE_Master'!D37</f>
        <v>0</v>
      </c>
      <c r="F105" s="48">
        <f t="shared" si="4"/>
        <v>0</v>
      </c>
    </row>
    <row r="106" spans="1:6" x14ac:dyDescent="0.2">
      <c r="A106" s="40"/>
      <c r="B106" s="201" t="s">
        <v>209</v>
      </c>
      <c r="C106" s="40" t="s">
        <v>93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210</v>
      </c>
      <c r="C108" s="40" t="s">
        <v>93</v>
      </c>
      <c r="E108" s="48">
        <f>'Equip&amp;HIRE_Master'!D40</f>
        <v>5.46</v>
      </c>
      <c r="F108" s="48">
        <f t="shared" si="4"/>
        <v>0</v>
      </c>
    </row>
    <row r="109" spans="1:6" x14ac:dyDescent="0.2">
      <c r="A109" s="40"/>
      <c r="B109" s="201" t="s">
        <v>211</v>
      </c>
      <c r="C109" s="40" t="s">
        <v>93</v>
      </c>
      <c r="E109" s="48">
        <f>'Equip&amp;HIRE_Master'!D41</f>
        <v>23</v>
      </c>
      <c r="F109" s="48">
        <f t="shared" si="4"/>
        <v>0</v>
      </c>
    </row>
    <row r="110" spans="1:6" x14ac:dyDescent="0.2">
      <c r="A110" s="40"/>
      <c r="B110" s="201" t="s">
        <v>212</v>
      </c>
      <c r="C110" s="40" t="s">
        <v>93</v>
      </c>
      <c r="E110" s="48">
        <f>'Equip&amp;HIRE_Master'!D42</f>
        <v>23</v>
      </c>
      <c r="F110" s="48">
        <f t="shared" si="4"/>
        <v>0</v>
      </c>
    </row>
    <row r="111" spans="1:6" hidden="1" x14ac:dyDescent="0.2">
      <c r="A111" s="40"/>
      <c r="B111" s="201" t="s">
        <v>213</v>
      </c>
      <c r="C111" s="40" t="s">
        <v>93</v>
      </c>
      <c r="E111" s="48">
        <f>'Equip&amp;HIRE_Master'!D43</f>
        <v>0</v>
      </c>
      <c r="F111" s="48">
        <f t="shared" si="4"/>
        <v>0</v>
      </c>
    </row>
    <row r="112" spans="1:6" hidden="1" x14ac:dyDescent="0.2">
      <c r="A112" s="40"/>
      <c r="B112" s="201" t="s">
        <v>214</v>
      </c>
      <c r="C112" s="40" t="s">
        <v>93</v>
      </c>
      <c r="E112" s="48">
        <f>'Equip&amp;HIRE_Master'!D44</f>
        <v>0</v>
      </c>
      <c r="F112" s="48">
        <f t="shared" si="4"/>
        <v>0</v>
      </c>
    </row>
    <row r="113" spans="1:6" hidden="1" x14ac:dyDescent="0.2">
      <c r="A113" s="40"/>
      <c r="B113" s="201" t="s">
        <v>215</v>
      </c>
      <c r="C113" s="40" t="s">
        <v>93</v>
      </c>
      <c r="E113" s="48">
        <f>'Equip&amp;HIRE_Master'!D45</f>
        <v>0</v>
      </c>
      <c r="F113" s="48">
        <f t="shared" si="4"/>
        <v>0</v>
      </c>
    </row>
    <row r="114" spans="1:6" hidden="1" x14ac:dyDescent="0.2">
      <c r="A114" s="40"/>
      <c r="B114" s="201" t="s">
        <v>216</v>
      </c>
      <c r="C114" s="40" t="s">
        <v>93</v>
      </c>
      <c r="E114" s="48">
        <f>'Equip&amp;HIRE_Master'!D46</f>
        <v>0</v>
      </c>
      <c r="F114" s="48">
        <f t="shared" si="4"/>
        <v>0</v>
      </c>
    </row>
    <row r="115" spans="1:6" hidden="1" x14ac:dyDescent="0.2">
      <c r="A115" s="40"/>
      <c r="B115" s="201" t="s">
        <v>217</v>
      </c>
      <c r="C115" s="40" t="s">
        <v>93</v>
      </c>
      <c r="E115" s="48">
        <f>'Equip&amp;HIRE_Master'!D47</f>
        <v>0</v>
      </c>
      <c r="F115" s="48">
        <f t="shared" si="4"/>
        <v>0</v>
      </c>
    </row>
    <row r="116" spans="1:6" hidden="1" x14ac:dyDescent="0.2">
      <c r="A116" s="40"/>
      <c r="B116" s="201" t="s">
        <v>218</v>
      </c>
      <c r="C116" s="40" t="s">
        <v>93</v>
      </c>
      <c r="E116" s="48">
        <f>'Equip&amp;HIRE_Master'!D48</f>
        <v>0</v>
      </c>
      <c r="F116" s="48">
        <f t="shared" si="4"/>
        <v>0</v>
      </c>
    </row>
    <row r="117" spans="1:6" hidden="1" x14ac:dyDescent="0.2">
      <c r="A117" s="40"/>
      <c r="B117" s="201" t="s">
        <v>219</v>
      </c>
      <c r="C117" s="40" t="s">
        <v>93</v>
      </c>
      <c r="E117" s="48">
        <f>'Equip&amp;HIRE_Master'!D49</f>
        <v>0</v>
      </c>
      <c r="F117" s="48">
        <f t="shared" si="4"/>
        <v>0</v>
      </c>
    </row>
    <row r="118" spans="1:6" hidden="1" x14ac:dyDescent="0.2">
      <c r="A118" s="40"/>
      <c r="B118" s="201" t="s">
        <v>220</v>
      </c>
      <c r="C118" s="40" t="s">
        <v>93</v>
      </c>
      <c r="E118" s="48">
        <f>'Equip&amp;HIRE_Master'!D50</f>
        <v>0</v>
      </c>
      <c r="F118" s="48">
        <f t="shared" si="4"/>
        <v>0</v>
      </c>
    </row>
    <row r="119" spans="1:6" hidden="1" x14ac:dyDescent="0.2">
      <c r="A119" s="40"/>
      <c r="B119" s="201" t="s">
        <v>221</v>
      </c>
      <c r="C119" s="40" t="s">
        <v>93</v>
      </c>
      <c r="E119" s="48">
        <f>'Equip&amp;HIRE_Master'!D51</f>
        <v>0</v>
      </c>
      <c r="F119" s="48">
        <f t="shared" si="4"/>
        <v>0</v>
      </c>
    </row>
    <row r="120" spans="1:6" hidden="1" x14ac:dyDescent="0.2">
      <c r="A120" s="40"/>
      <c r="B120" s="201" t="s">
        <v>222</v>
      </c>
      <c r="C120" s="40" t="s">
        <v>93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223</v>
      </c>
      <c r="C122" s="40" t="s">
        <v>93</v>
      </c>
      <c r="E122" s="48">
        <f>'Equip&amp;HIRE_Master'!D54</f>
        <v>0</v>
      </c>
      <c r="F122" s="48">
        <f t="shared" si="4"/>
        <v>0</v>
      </c>
    </row>
    <row r="123" spans="1:6" x14ac:dyDescent="0.2">
      <c r="A123" s="40"/>
      <c r="B123" s="201" t="s">
        <v>224</v>
      </c>
      <c r="C123" s="40" t="s">
        <v>225</v>
      </c>
      <c r="E123" s="48">
        <f>'Equip&amp;HIRE_Master'!D55</f>
        <v>230</v>
      </c>
      <c r="F123" s="48">
        <f t="shared" si="4"/>
        <v>0</v>
      </c>
    </row>
    <row r="124" spans="1:6" x14ac:dyDescent="0.2">
      <c r="A124" s="40"/>
      <c r="B124" s="201" t="s">
        <v>226</v>
      </c>
      <c r="C124" s="40" t="s">
        <v>227</v>
      </c>
      <c r="E124" s="48">
        <f>'Equip&amp;HIRE_Master'!D56</f>
        <v>309</v>
      </c>
      <c r="F124" s="48">
        <f t="shared" si="4"/>
        <v>0</v>
      </c>
    </row>
    <row r="125" spans="1:6" x14ac:dyDescent="0.2">
      <c r="A125" s="40"/>
      <c r="B125" s="201" t="s">
        <v>228</v>
      </c>
      <c r="C125" s="40" t="s">
        <v>229</v>
      </c>
      <c r="E125" s="48">
        <f>'Equip&amp;HIRE_Master'!D57</f>
        <v>35</v>
      </c>
      <c r="F125" s="48">
        <f t="shared" si="4"/>
        <v>0</v>
      </c>
    </row>
    <row r="126" spans="1:6" x14ac:dyDescent="0.2">
      <c r="A126" s="40"/>
      <c r="B126" s="201" t="s">
        <v>230</v>
      </c>
      <c r="C126" s="40" t="s">
        <v>231</v>
      </c>
      <c r="E126" s="48">
        <f>'Equip&amp;HIRE_Master'!D58</f>
        <v>229.9</v>
      </c>
      <c r="F126" s="48">
        <f t="shared" si="4"/>
        <v>0</v>
      </c>
    </row>
    <row r="127" spans="1:6" x14ac:dyDescent="0.2">
      <c r="A127" s="40"/>
      <c r="B127" s="201" t="s">
        <v>232</v>
      </c>
      <c r="C127" s="40" t="s">
        <v>231</v>
      </c>
      <c r="E127" s="48">
        <f>'Equip&amp;HIRE_Master'!D59</f>
        <v>239.8</v>
      </c>
      <c r="F127" s="48">
        <f t="shared" si="4"/>
        <v>0</v>
      </c>
    </row>
    <row r="128" spans="1:6" x14ac:dyDescent="0.2">
      <c r="A128" s="40"/>
      <c r="B128" s="201" t="s">
        <v>233</v>
      </c>
      <c r="C128" s="40" t="s">
        <v>227</v>
      </c>
      <c r="E128" s="48">
        <f>'Equip&amp;HIRE_Master'!D60</f>
        <v>309</v>
      </c>
      <c r="F128" s="48">
        <f t="shared" si="4"/>
        <v>0</v>
      </c>
    </row>
    <row r="129" spans="1:6" x14ac:dyDescent="0.2">
      <c r="A129" s="40"/>
      <c r="B129" s="201" t="s">
        <v>234</v>
      </c>
      <c r="C129" s="40" t="s">
        <v>229</v>
      </c>
      <c r="E129" s="48">
        <f>'Equip&amp;HIRE_Master'!D61</f>
        <v>35</v>
      </c>
      <c r="F129" s="48">
        <f t="shared" si="4"/>
        <v>0</v>
      </c>
    </row>
    <row r="130" spans="1:6" x14ac:dyDescent="0.2">
      <c r="A130" s="40"/>
      <c r="B130" s="201" t="s">
        <v>235</v>
      </c>
      <c r="C130" s="40" t="s">
        <v>93</v>
      </c>
      <c r="E130" s="48">
        <f>'Equip&amp;HIRE_Master'!D62</f>
        <v>295.77</v>
      </c>
      <c r="F130" s="48">
        <f t="shared" si="4"/>
        <v>0</v>
      </c>
    </row>
    <row r="131" spans="1:6" x14ac:dyDescent="0.2">
      <c r="A131" s="40"/>
      <c r="B131" s="201" t="s">
        <v>236</v>
      </c>
      <c r="C131" s="40" t="s">
        <v>93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237</v>
      </c>
      <c r="C133" s="40" t="s">
        <v>93</v>
      </c>
      <c r="E133" s="48">
        <f>'Equip&amp;HIRE_Master'!D65</f>
        <v>0</v>
      </c>
      <c r="F133" s="48">
        <f t="shared" si="4"/>
        <v>0</v>
      </c>
    </row>
    <row r="134" spans="1:6" x14ac:dyDescent="0.2">
      <c r="A134" s="40"/>
      <c r="B134" s="201" t="s">
        <v>238</v>
      </c>
      <c r="C134" s="40" t="s">
        <v>239</v>
      </c>
      <c r="E134" s="48">
        <f>'Equip&amp;HIRE_Master'!D66</f>
        <v>180</v>
      </c>
      <c r="F134" s="48">
        <f t="shared" si="4"/>
        <v>0</v>
      </c>
    </row>
    <row r="135" spans="1:6" x14ac:dyDescent="0.2">
      <c r="A135" s="40"/>
      <c r="B135" s="201" t="s">
        <v>240</v>
      </c>
      <c r="C135" s="40" t="s">
        <v>239</v>
      </c>
      <c r="E135" s="48">
        <f>'Equip&amp;HIRE_Master'!D67</f>
        <v>125</v>
      </c>
      <c r="F135" s="48">
        <f t="shared" si="4"/>
        <v>0</v>
      </c>
    </row>
    <row r="136" spans="1:6" x14ac:dyDescent="0.2">
      <c r="A136" s="40"/>
      <c r="B136" s="201" t="s">
        <v>241</v>
      </c>
      <c r="C136" s="40" t="s">
        <v>239</v>
      </c>
      <c r="E136" s="48">
        <f>'Equip&amp;HIRE_Master'!D68</f>
        <v>160</v>
      </c>
      <c r="F136" s="48">
        <f t="shared" si="4"/>
        <v>0</v>
      </c>
    </row>
    <row r="137" spans="1:6" x14ac:dyDescent="0.2">
      <c r="A137" s="40"/>
      <c r="B137" s="201" t="s">
        <v>242</v>
      </c>
      <c r="C137" s="40" t="s">
        <v>239</v>
      </c>
      <c r="E137" s="48">
        <f>'Equip&amp;HIRE_Master'!D69</f>
        <v>200</v>
      </c>
      <c r="F137" s="48">
        <f t="shared" ref="F137" si="5">E137*D137</f>
        <v>0</v>
      </c>
    </row>
    <row r="138" spans="1:6" x14ac:dyDescent="0.2">
      <c r="A138" s="40"/>
      <c r="E138" s="48"/>
      <c r="F138" s="48"/>
    </row>
    <row r="139" spans="1:6" x14ac:dyDescent="0.2">
      <c r="A139" s="40"/>
      <c r="B139" s="201" t="s">
        <v>244</v>
      </c>
      <c r="C139" s="40" t="s">
        <v>229</v>
      </c>
      <c r="D139" s="40">
        <v>0.2</v>
      </c>
      <c r="E139" s="48">
        <v>1850</v>
      </c>
      <c r="F139" s="48">
        <f t="shared" ref="F139" si="6">E139*D139</f>
        <v>370</v>
      </c>
    </row>
    <row r="140" spans="1:6" ht="10.8" thickBot="1" x14ac:dyDescent="0.25">
      <c r="A140" s="40"/>
      <c r="E140" s="48"/>
      <c r="F140" s="48"/>
    </row>
    <row r="141" spans="1:6" ht="10.8" thickBot="1" x14ac:dyDescent="0.25">
      <c r="A141" s="42"/>
      <c r="B141" s="49" t="s">
        <v>245</v>
      </c>
      <c r="E141" s="48"/>
      <c r="F141" s="48"/>
    </row>
    <row r="142" spans="1:6" x14ac:dyDescent="0.2">
      <c r="E142" s="48"/>
      <c r="F142" s="48"/>
    </row>
    <row r="143" spans="1:6" x14ac:dyDescent="0.2">
      <c r="B143" s="38" t="s">
        <v>246</v>
      </c>
      <c r="C143" s="40" t="s">
        <v>115</v>
      </c>
      <c r="E143" s="48">
        <f>'Misc Subbie Rates_Master'!D35</f>
        <v>180</v>
      </c>
      <c r="F143" s="48">
        <f>E143*D143</f>
        <v>0</v>
      </c>
    </row>
    <row r="144" spans="1:6" x14ac:dyDescent="0.2">
      <c r="B144" s="38" t="s">
        <v>247</v>
      </c>
      <c r="C144" s="40" t="s">
        <v>115</v>
      </c>
      <c r="E144" s="48">
        <f>'Misc Subbie Rates_Master'!D42</f>
        <v>130</v>
      </c>
      <c r="F144" s="48">
        <f t="shared" ref="F144:F151" si="7">E144*D144</f>
        <v>0</v>
      </c>
    </row>
    <row r="145" spans="1:6" x14ac:dyDescent="0.2">
      <c r="B145" s="38" t="s">
        <v>248</v>
      </c>
      <c r="C145" s="40" t="s">
        <v>115</v>
      </c>
      <c r="D145" s="40">
        <v>1</v>
      </c>
      <c r="E145" s="48">
        <f>'Misc Subbie Rates_Master'!D72</f>
        <v>115</v>
      </c>
      <c r="F145" s="48">
        <f t="shared" si="7"/>
        <v>115</v>
      </c>
    </row>
    <row r="146" spans="1:6" x14ac:dyDescent="0.2">
      <c r="B146" s="38" t="s">
        <v>249</v>
      </c>
      <c r="C146" s="40" t="s">
        <v>115</v>
      </c>
      <c r="D146" s="40">
        <v>1</v>
      </c>
      <c r="E146" s="48">
        <f>'Misc Subbie Rates_Master'!D73</f>
        <v>90</v>
      </c>
      <c r="F146" s="48">
        <f t="shared" si="7"/>
        <v>90</v>
      </c>
    </row>
    <row r="147" spans="1:6" x14ac:dyDescent="0.2">
      <c r="C147" s="40" t="s">
        <v>115</v>
      </c>
      <c r="E147" s="48"/>
      <c r="F147" s="48">
        <f t="shared" si="7"/>
        <v>0</v>
      </c>
    </row>
    <row r="148" spans="1:6" x14ac:dyDescent="0.2">
      <c r="C148" s="40" t="s">
        <v>115</v>
      </c>
      <c r="E148" s="48"/>
      <c r="F148" s="48">
        <f t="shared" si="7"/>
        <v>0</v>
      </c>
    </row>
    <row r="149" spans="1:6" x14ac:dyDescent="0.2">
      <c r="B149" s="284" t="s">
        <v>250</v>
      </c>
      <c r="C149" s="40" t="s">
        <v>115</v>
      </c>
      <c r="E149" s="48"/>
      <c r="F149" s="48">
        <f t="shared" si="7"/>
        <v>0</v>
      </c>
    </row>
    <row r="150" spans="1:6" x14ac:dyDescent="0.2">
      <c r="B150" s="1" t="s">
        <v>251</v>
      </c>
      <c r="C150" s="40" t="s">
        <v>115</v>
      </c>
      <c r="E150" s="48">
        <f>'Misc Subbie Rates_Master'!D84</f>
        <v>1945</v>
      </c>
      <c r="F150" s="48">
        <f t="shared" si="7"/>
        <v>0</v>
      </c>
    </row>
    <row r="151" spans="1:6" x14ac:dyDescent="0.2">
      <c r="B151" s="38" t="s">
        <v>252</v>
      </c>
      <c r="C151" s="40" t="s">
        <v>115</v>
      </c>
      <c r="E151" s="48">
        <f>'Misc Subbie Rates_Master'!D86</f>
        <v>350</v>
      </c>
      <c r="F151" s="48">
        <f t="shared" si="7"/>
        <v>0</v>
      </c>
    </row>
    <row r="152" spans="1:6" x14ac:dyDescent="0.2">
      <c r="E152" s="48"/>
      <c r="F152" s="48"/>
    </row>
    <row r="153" spans="1:6" ht="10.8" thickBot="1" x14ac:dyDescent="0.25">
      <c r="E153" s="48"/>
      <c r="F153" s="48"/>
    </row>
    <row r="154" spans="1:6" ht="10.8" thickBot="1" x14ac:dyDescent="0.25">
      <c r="A154" s="42"/>
      <c r="B154" s="49" t="s">
        <v>253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8">E157*D157</f>
        <v>0</v>
      </c>
    </row>
    <row r="158" spans="1:6" x14ac:dyDescent="0.2">
      <c r="B158" s="38" t="str">
        <f>'Material Rates_Master'!A187</f>
        <v>Turf Underlay/Topsoil</v>
      </c>
      <c r="C158" s="40" t="str">
        <f>'Material Rates_Master'!B187</f>
        <v>m3</v>
      </c>
      <c r="E158" s="48">
        <f>'Material Rates_Master'!D187</f>
        <v>45.25</v>
      </c>
      <c r="F158" s="48">
        <f t="shared" si="8"/>
        <v>0</v>
      </c>
    </row>
    <row r="159" spans="1:6" x14ac:dyDescent="0.2">
      <c r="B159" s="38" t="str">
        <f>'Material Rates_Master'!A188</f>
        <v>Standard Garden Woodchip</v>
      </c>
      <c r="C159" s="40" t="str">
        <f>'Material Rates_Master'!B188</f>
        <v>m3</v>
      </c>
      <c r="E159" s="48">
        <f>'Material Rates_Master'!D188</f>
        <v>87</v>
      </c>
      <c r="F159" s="48">
        <f t="shared" si="8"/>
        <v>0</v>
      </c>
    </row>
    <row r="160" spans="1:6" x14ac:dyDescent="0.2">
      <c r="B160" s="38" t="str">
        <f>'Material Rates_Master'!A189</f>
        <v>Turf - Standard Couch or Similar</v>
      </c>
      <c r="C160" s="40" t="str">
        <f>'Material Rates_Master'!B189</f>
        <v>Slab (.5m2)</v>
      </c>
      <c r="E160" s="48">
        <f>'Material Rates_Master'!D189</f>
        <v>6.48</v>
      </c>
      <c r="F160" s="48">
        <f t="shared" si="8"/>
        <v>0</v>
      </c>
    </row>
    <row r="161" spans="1:10" ht="4.2"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8"/>
        <v>0</v>
      </c>
    </row>
    <row r="163" spans="1:10" x14ac:dyDescent="0.2">
      <c r="B163" s="38" t="str">
        <f>'Material Rates_Master'!A194</f>
        <v>Exposed Agg Concrete - Standard/Cheapest Exposed Agg Stone</v>
      </c>
      <c r="C163" s="40" t="str">
        <f>'Material Rates_Master'!B194</f>
        <v>m3</v>
      </c>
      <c r="E163" s="48">
        <f>'Material Rates_Master'!D194</f>
        <v>252</v>
      </c>
      <c r="F163" s="48">
        <f t="shared" si="8"/>
        <v>0</v>
      </c>
    </row>
    <row r="164" spans="1:10" x14ac:dyDescent="0.2">
      <c r="B164" s="38" t="str">
        <f>'Material Rates_Master'!A195</f>
        <v>N25 20mm 80 Slump Concrete</v>
      </c>
      <c r="C164" s="40" t="str">
        <f>'Material Rates_Master'!B195</f>
        <v>m3</v>
      </c>
      <c r="E164" s="48">
        <f>'Material Rates_Master'!D195</f>
        <v>263</v>
      </c>
      <c r="F164" s="48">
        <f t="shared" si="8"/>
        <v>0</v>
      </c>
    </row>
    <row r="165" spans="1:10" x14ac:dyDescent="0.2">
      <c r="E165" s="48"/>
      <c r="F165" s="48"/>
    </row>
    <row r="166" spans="1:10" x14ac:dyDescent="0.2">
      <c r="B166" s="38" t="s">
        <v>254</v>
      </c>
      <c r="C166" s="40" t="s">
        <v>115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255</v>
      </c>
      <c r="E169" s="48"/>
      <c r="F169" s="48"/>
    </row>
    <row r="170" spans="1:10" x14ac:dyDescent="0.2">
      <c r="E170" s="48"/>
      <c r="F170" s="48"/>
    </row>
    <row r="171" spans="1:10" ht="13.2" x14ac:dyDescent="0.2">
      <c r="A171" s="40"/>
      <c r="B171" s="300" t="s">
        <v>256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257</v>
      </c>
      <c r="C172" s="40" t="str">
        <f>'Material Rates_Master'!B6</f>
        <v>m</v>
      </c>
      <c r="D172" s="240"/>
      <c r="E172" s="48">
        <f>'Material Rates_Master'!D6*$M$16</f>
        <v>35.143999999999998</v>
      </c>
      <c r="F172" s="48">
        <f t="shared" si="10"/>
        <v>0</v>
      </c>
      <c r="H172" s="20"/>
    </row>
    <row r="173" spans="1:10" x14ac:dyDescent="0.2">
      <c r="A173" s="40"/>
      <c r="B173" s="300" t="s">
        <v>258</v>
      </c>
      <c r="C173" s="40" t="str">
        <f>'Material Rates_Master'!B7</f>
        <v>m</v>
      </c>
      <c r="D173" s="37"/>
      <c r="E173" s="48">
        <f>'Material Rates_Master'!D7*$M$16</f>
        <v>16.993549999999999</v>
      </c>
      <c r="F173" s="48">
        <f t="shared" si="10"/>
        <v>0</v>
      </c>
      <c r="H173" s="20"/>
    </row>
    <row r="174" spans="1:10" x14ac:dyDescent="0.2">
      <c r="A174" s="40"/>
      <c r="B174" s="300" t="s">
        <v>260</v>
      </c>
      <c r="C174" s="40" t="str">
        <f>'Material Rates_Master'!B8</f>
        <v>m</v>
      </c>
      <c r="D174" s="37"/>
      <c r="E174" s="48">
        <f>'Material Rates_Master'!D8*$M$16</f>
        <v>1.6779419999999998</v>
      </c>
      <c r="F174" s="48">
        <f t="shared" si="10"/>
        <v>0</v>
      </c>
      <c r="H174" s="20"/>
    </row>
    <row r="175" spans="1:10" ht="4.2" customHeight="1" x14ac:dyDescent="0.2">
      <c r="A175" s="40"/>
      <c r="B175" s="300"/>
      <c r="E175" s="48">
        <f>'Material Rates_Master'!D9*$M$16</f>
        <v>0</v>
      </c>
      <c r="F175" s="48"/>
      <c r="H175" s="20"/>
    </row>
    <row r="176" spans="1:10" x14ac:dyDescent="0.2">
      <c r="A176" s="40"/>
      <c r="B176" s="300" t="s">
        <v>261</v>
      </c>
      <c r="C176" s="40" t="str">
        <f>'Material Rates_Master'!B10</f>
        <v>ea</v>
      </c>
      <c r="D176" s="240"/>
      <c r="E176" s="48">
        <f>'Material Rates_Master'!D10*$M$16</f>
        <v>60.802799999999998</v>
      </c>
      <c r="F176" s="48">
        <f t="shared" si="10"/>
        <v>0</v>
      </c>
      <c r="H176" s="20"/>
    </row>
    <row r="177" spans="1:8" x14ac:dyDescent="0.2">
      <c r="A177" s="40"/>
      <c r="B177" s="300" t="s">
        <v>262</v>
      </c>
      <c r="C177" s="40" t="str">
        <f>'Material Rates_Master'!B11</f>
        <v>ea</v>
      </c>
      <c r="D177" s="37"/>
      <c r="E177" s="48">
        <f>'Material Rates_Master'!D11*$M$16</f>
        <v>35.493599999999994</v>
      </c>
      <c r="F177" s="48">
        <f t="shared" si="10"/>
        <v>0</v>
      </c>
      <c r="H177" s="20"/>
    </row>
    <row r="178" spans="1:8" x14ac:dyDescent="0.2">
      <c r="A178" s="40"/>
      <c r="B178" s="300" t="s">
        <v>263</v>
      </c>
      <c r="C178" s="40" t="str">
        <f>'Material Rates_Master'!B12</f>
        <v>ea</v>
      </c>
      <c r="D178" s="240"/>
      <c r="E178" s="48">
        <f>'Material Rates_Master'!D12*$M$16</f>
        <v>19.471799999999998</v>
      </c>
      <c r="F178" s="48">
        <f t="shared" si="10"/>
        <v>0</v>
      </c>
      <c r="H178" s="20"/>
    </row>
    <row r="179" spans="1:8" x14ac:dyDescent="0.2">
      <c r="A179" s="40"/>
      <c r="B179" s="300" t="s">
        <v>264</v>
      </c>
      <c r="C179" s="40" t="str">
        <f>'Material Rates_Master'!B13</f>
        <v>ea</v>
      </c>
      <c r="D179" s="240"/>
      <c r="E179" s="48">
        <f>'Material Rates_Master'!D13*$M$16</f>
        <v>150.64079999999998</v>
      </c>
      <c r="F179" s="48">
        <f t="shared" si="10"/>
        <v>0</v>
      </c>
      <c r="H179" s="20"/>
    </row>
    <row r="180" spans="1:8" x14ac:dyDescent="0.2">
      <c r="A180" s="40"/>
      <c r="B180" s="300" t="s">
        <v>265</v>
      </c>
      <c r="C180" s="40" t="str">
        <f>'Material Rates_Master'!B14</f>
        <v>ea</v>
      </c>
      <c r="D180" s="240"/>
      <c r="E180" s="48">
        <f>'Material Rates_Master'!D14*$M$16</f>
        <v>135.1986</v>
      </c>
      <c r="F180" s="48">
        <f t="shared" si="10"/>
        <v>0</v>
      </c>
      <c r="H180" s="20"/>
    </row>
    <row r="181" spans="1:8" x14ac:dyDescent="0.2">
      <c r="A181" s="40"/>
      <c r="B181" s="300" t="s">
        <v>266</v>
      </c>
      <c r="C181" s="40" t="str">
        <f>'Material Rates_Master'!B15</f>
        <v>ea</v>
      </c>
      <c r="D181" s="240"/>
      <c r="E181" s="48">
        <f>'Material Rates_Master'!D15*$M$16</f>
        <v>61.672199999999989</v>
      </c>
      <c r="F181" s="48">
        <f t="shared" si="10"/>
        <v>0</v>
      </c>
      <c r="H181" s="20"/>
    </row>
    <row r="182" spans="1:8" x14ac:dyDescent="0.2">
      <c r="A182" s="40"/>
      <c r="B182" s="300" t="s">
        <v>267</v>
      </c>
      <c r="C182" s="40" t="str">
        <f>'Material Rates_Master'!B16</f>
        <v>ea</v>
      </c>
      <c r="D182" s="240"/>
      <c r="E182" s="48">
        <f>'Material Rates_Master'!D16*$M$16</f>
        <v>150.64079999999998</v>
      </c>
      <c r="F182" s="48">
        <f t="shared" si="10"/>
        <v>0</v>
      </c>
      <c r="H182" s="20"/>
    </row>
    <row r="183" spans="1:8" x14ac:dyDescent="0.2">
      <c r="A183" s="40"/>
      <c r="B183" s="300" t="s">
        <v>268</v>
      </c>
      <c r="C183" s="40" t="str">
        <f>'Material Rates_Master'!B17</f>
        <v>ea</v>
      </c>
      <c r="D183" s="240"/>
      <c r="E183" s="48">
        <f>'Material Rates_Master'!D17*$M$16</f>
        <v>134.9778</v>
      </c>
      <c r="F183" s="48">
        <f t="shared" si="10"/>
        <v>0</v>
      </c>
      <c r="H183" s="20"/>
    </row>
    <row r="184" spans="1:8" x14ac:dyDescent="0.2">
      <c r="A184" s="40"/>
      <c r="B184" s="300" t="s">
        <v>269</v>
      </c>
      <c r="C184" s="40" t="str">
        <f>'Material Rates_Master'!B18</f>
        <v>ea</v>
      </c>
      <c r="D184" s="240"/>
      <c r="E184" s="48">
        <f>'Material Rates_Master'!D18*$M$16</f>
        <v>61.61699999999999</v>
      </c>
      <c r="F184" s="48">
        <f t="shared" si="10"/>
        <v>0</v>
      </c>
      <c r="H184" s="20"/>
    </row>
    <row r="185" spans="1:8" x14ac:dyDescent="0.2">
      <c r="A185" s="40"/>
      <c r="B185" s="300" t="s">
        <v>270</v>
      </c>
      <c r="C185" s="40" t="str">
        <f>'Material Rates_Master'!B19</f>
        <v>ea</v>
      </c>
      <c r="D185" s="240"/>
      <c r="E185" s="48">
        <f>'Material Rates_Master'!D19*$M$16</f>
        <v>151.45499999999998</v>
      </c>
      <c r="F185" s="48">
        <f t="shared" si="10"/>
        <v>0</v>
      </c>
      <c r="H185" s="20"/>
    </row>
    <row r="186" spans="1:8" x14ac:dyDescent="0.2">
      <c r="A186" s="40"/>
      <c r="B186" s="300" t="s">
        <v>271</v>
      </c>
      <c r="C186" s="40" t="str">
        <f>'Material Rates_Master'!B20</f>
        <v>ea</v>
      </c>
      <c r="D186" s="240"/>
      <c r="E186" s="48">
        <f>'Material Rates_Master'!D20*$M$16</f>
        <v>157.7064</v>
      </c>
      <c r="F186" s="48">
        <f t="shared" si="10"/>
        <v>0</v>
      </c>
      <c r="H186" s="20"/>
    </row>
    <row r="187" spans="1:8" x14ac:dyDescent="0.2">
      <c r="A187" s="40"/>
      <c r="B187" s="300" t="s">
        <v>272</v>
      </c>
      <c r="C187" s="40" t="str">
        <f>'Material Rates_Master'!B21</f>
        <v>ea</v>
      </c>
      <c r="D187" s="240"/>
      <c r="E187" s="48">
        <f>'Material Rates_Master'!D21*$M$16</f>
        <v>67.964999999999989</v>
      </c>
      <c r="F187" s="48">
        <f t="shared" si="10"/>
        <v>0</v>
      </c>
      <c r="H187" s="20"/>
    </row>
    <row r="188" spans="1:8" x14ac:dyDescent="0.2">
      <c r="A188" s="40"/>
      <c r="B188" s="300" t="s">
        <v>273</v>
      </c>
      <c r="C188" s="40" t="str">
        <f>'Material Rates_Master'!B22</f>
        <v>ea</v>
      </c>
      <c r="D188" s="240"/>
      <c r="E188" s="48">
        <f>'Material Rates_Master'!D22*$M$16</f>
        <v>289.0686</v>
      </c>
      <c r="F188" s="48">
        <f t="shared" si="10"/>
        <v>0</v>
      </c>
      <c r="H188" s="20"/>
    </row>
    <row r="189" spans="1:8" x14ac:dyDescent="0.2">
      <c r="A189" s="40"/>
      <c r="B189" s="300" t="s">
        <v>274</v>
      </c>
      <c r="C189" s="40" t="str">
        <f>'Material Rates_Master'!B23</f>
        <v>ea</v>
      </c>
      <c r="D189" s="240"/>
      <c r="E189" s="48">
        <f>'Material Rates_Master'!D23*$M$16</f>
        <v>301.4196</v>
      </c>
      <c r="F189" s="48">
        <f t="shared" si="10"/>
        <v>0</v>
      </c>
      <c r="H189" s="20"/>
    </row>
    <row r="190" spans="1:8" x14ac:dyDescent="0.2">
      <c r="A190" s="40"/>
      <c r="B190" s="300" t="s">
        <v>275</v>
      </c>
      <c r="C190" s="40" t="str">
        <f>'Material Rates_Master'!B24</f>
        <v>ea</v>
      </c>
      <c r="D190" s="240"/>
      <c r="E190" s="48">
        <f>'Material Rates_Master'!D24*$M$16</f>
        <v>168.53939999999997</v>
      </c>
      <c r="F190" s="48">
        <f t="shared" si="10"/>
        <v>0</v>
      </c>
      <c r="H190" s="20"/>
    </row>
    <row r="191" spans="1:8" x14ac:dyDescent="0.2">
      <c r="A191" s="40"/>
      <c r="B191" s="300" t="s">
        <v>276</v>
      </c>
      <c r="C191" s="40" t="str">
        <f>'Material Rates_Master'!B25</f>
        <v>ea</v>
      </c>
      <c r="D191" s="240"/>
      <c r="E191" s="48">
        <f>'Material Rates_Master'!D25*$M$16</f>
        <v>173.35559999999998</v>
      </c>
      <c r="F191" s="48">
        <f t="shared" si="10"/>
        <v>0</v>
      </c>
      <c r="H191" s="20"/>
    </row>
    <row r="192" spans="1:8" x14ac:dyDescent="0.2">
      <c r="A192" s="40"/>
      <c r="B192" s="300" t="s">
        <v>277</v>
      </c>
      <c r="C192" s="40" t="str">
        <f>'Material Rates_Master'!B26</f>
        <v>ea</v>
      </c>
      <c r="D192" s="240"/>
      <c r="E192" s="48">
        <f>'Material Rates_Master'!D26*$M$16</f>
        <v>82.938000000000002</v>
      </c>
      <c r="F192" s="48">
        <f t="shared" si="10"/>
        <v>0</v>
      </c>
      <c r="H192" s="20"/>
    </row>
    <row r="193" spans="1:8" x14ac:dyDescent="0.2">
      <c r="A193" s="40"/>
      <c r="B193" s="300" t="s">
        <v>279</v>
      </c>
      <c r="C193" s="40" t="str">
        <f>'Material Rates_Master'!B27</f>
        <v>ea</v>
      </c>
      <c r="D193" s="240"/>
      <c r="E193" s="48">
        <f>'Material Rates_Master'!D27*$M$16</f>
        <v>472.44299999999998</v>
      </c>
      <c r="F193" s="48">
        <f t="shared" si="10"/>
        <v>0</v>
      </c>
      <c r="H193" s="20"/>
    </row>
    <row r="194" spans="1:8" x14ac:dyDescent="0.2">
      <c r="A194" s="40"/>
      <c r="B194" s="300" t="s">
        <v>280</v>
      </c>
      <c r="C194" s="40" t="str">
        <f>'Material Rates_Master'!B28</f>
        <v>ea</v>
      </c>
      <c r="D194" s="240"/>
      <c r="E194" s="48">
        <f>'Material Rates_Master'!D28*$M$16</f>
        <v>179.08260000000001</v>
      </c>
      <c r="F194" s="48">
        <f t="shared" si="10"/>
        <v>0</v>
      </c>
      <c r="H194" s="20"/>
    </row>
    <row r="195" spans="1:8" x14ac:dyDescent="0.2">
      <c r="A195" s="40"/>
      <c r="B195" s="300" t="s">
        <v>281</v>
      </c>
      <c r="C195" s="40" t="str">
        <f>'Material Rates_Master'!B29</f>
        <v>ea</v>
      </c>
      <c r="D195" s="240"/>
      <c r="E195" s="48">
        <f>'Material Rates_Master'!D29*$M$16</f>
        <v>127.88459999999999</v>
      </c>
      <c r="F195" s="48">
        <f t="shared" si="10"/>
        <v>0</v>
      </c>
      <c r="H195" s="20"/>
    </row>
    <row r="196" spans="1:8" x14ac:dyDescent="0.2">
      <c r="A196" s="40"/>
      <c r="B196" s="300" t="s">
        <v>282</v>
      </c>
      <c r="C196" s="40" t="str">
        <f>'Material Rates_Master'!B30</f>
        <v>ea</v>
      </c>
      <c r="D196" s="240"/>
      <c r="E196" s="48">
        <f>'Material Rates_Master'!D30*$M$16</f>
        <v>432.20219999999995</v>
      </c>
      <c r="F196" s="48">
        <f t="shared" si="10"/>
        <v>0</v>
      </c>
      <c r="H196" s="20"/>
    </row>
    <row r="197" spans="1:8" x14ac:dyDescent="0.2">
      <c r="A197" s="40"/>
      <c r="B197" s="300" t="s">
        <v>283</v>
      </c>
      <c r="C197" s="40" t="str">
        <f>'Material Rates_Master'!B31</f>
        <v>ea</v>
      </c>
      <c r="D197" s="240"/>
      <c r="E197" s="48">
        <f>'Material Rates_Master'!D31*$M$16</f>
        <v>281.67180000000002</v>
      </c>
      <c r="F197" s="48">
        <f t="shared" si="10"/>
        <v>0</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284</v>
      </c>
      <c r="C199" s="40" t="str">
        <f>'Material Rates_Master'!B33</f>
        <v>ea</v>
      </c>
      <c r="E199" s="48">
        <f>'Material Rates_Master'!D33*$M$16</f>
        <v>435.67979999999994</v>
      </c>
      <c r="F199" s="48">
        <f t="shared" si="10"/>
        <v>0</v>
      </c>
      <c r="H199" s="20"/>
    </row>
    <row r="200" spans="1:8" x14ac:dyDescent="0.2">
      <c r="A200" s="40"/>
      <c r="B200" s="1" t="s">
        <v>285</v>
      </c>
      <c r="C200" s="40" t="str">
        <f>'Material Rates_Master'!B34</f>
        <v>ea</v>
      </c>
      <c r="E200" s="48">
        <f>'Material Rates_Master'!D34*$M$16</f>
        <v>277.97339999999997</v>
      </c>
      <c r="F200" s="48">
        <f t="shared" si="10"/>
        <v>0</v>
      </c>
      <c r="H200" s="20"/>
    </row>
    <row r="201" spans="1:8" x14ac:dyDescent="0.2">
      <c r="A201" s="40"/>
      <c r="B201" s="300" t="s">
        <v>286</v>
      </c>
      <c r="C201" s="40" t="str">
        <f>'Material Rates_Master'!B35</f>
        <v>ea</v>
      </c>
      <c r="D201" s="240"/>
      <c r="E201" s="48">
        <f>'Material Rates_Master'!D35*$M$16</f>
        <v>94.5852</v>
      </c>
      <c r="F201" s="48">
        <f t="shared" si="10"/>
        <v>0</v>
      </c>
      <c r="H201" s="20"/>
    </row>
    <row r="202" spans="1:8" x14ac:dyDescent="0.2">
      <c r="A202" s="40"/>
      <c r="B202" s="300" t="s">
        <v>287</v>
      </c>
      <c r="C202" s="40" t="str">
        <f>'Material Rates_Master'!B36</f>
        <v>ea</v>
      </c>
      <c r="D202" s="240"/>
      <c r="E202" s="48">
        <f>'Material Rates_Master'!D36*$M$16</f>
        <v>88.954799999999977</v>
      </c>
      <c r="F202" s="48">
        <f t="shared" si="10"/>
        <v>0</v>
      </c>
      <c r="H202" s="20"/>
    </row>
    <row r="203" spans="1:8" x14ac:dyDescent="0.2">
      <c r="A203" s="40"/>
      <c r="B203" s="300" t="s">
        <v>288</v>
      </c>
      <c r="C203" s="40" t="str">
        <f>'Material Rates_Master'!B37</f>
        <v>ea</v>
      </c>
      <c r="D203" s="240"/>
      <c r="E203" s="48">
        <f>'Material Rates_Master'!D37*$M$16</f>
        <v>53.488799999999991</v>
      </c>
      <c r="F203" s="48">
        <f t="shared" si="10"/>
        <v>0</v>
      </c>
      <c r="H203" s="20"/>
    </row>
    <row r="204" spans="1:8" x14ac:dyDescent="0.2">
      <c r="A204" s="40"/>
      <c r="B204" s="300" t="s">
        <v>289</v>
      </c>
      <c r="C204" s="40" t="str">
        <f>'Material Rates_Master'!B38</f>
        <v>ea</v>
      </c>
      <c r="D204" s="240"/>
      <c r="E204" s="48">
        <f>'Material Rates_Master'!D38*$M$16</f>
        <v>118.91459999999999</v>
      </c>
      <c r="F204" s="48">
        <f t="shared" si="10"/>
        <v>0</v>
      </c>
      <c r="H204" s="20"/>
    </row>
    <row r="205" spans="1:8" x14ac:dyDescent="0.2">
      <c r="A205" s="40"/>
      <c r="B205" s="300" t="s">
        <v>290</v>
      </c>
      <c r="C205" s="40" t="str">
        <f>'Material Rates_Master'!B39</f>
        <v>ea</v>
      </c>
      <c r="D205" s="240"/>
      <c r="E205" s="48">
        <f>'Material Rates_Master'!D39*$M$16</f>
        <v>93.991799999999998</v>
      </c>
      <c r="F205" s="48">
        <f t="shared" si="10"/>
        <v>0</v>
      </c>
      <c r="H205" s="20"/>
    </row>
    <row r="206" spans="1:8" x14ac:dyDescent="0.2">
      <c r="A206" s="40"/>
      <c r="B206" s="300" t="s">
        <v>291</v>
      </c>
      <c r="C206" s="40" t="str">
        <f>'Material Rates_Master'!B40</f>
        <v>ea</v>
      </c>
      <c r="D206" s="240"/>
      <c r="E206" s="48">
        <f>'Material Rates_Master'!D40*$M$16</f>
        <v>43.676999999999992</v>
      </c>
      <c r="F206" s="48">
        <f t="shared" si="10"/>
        <v>0</v>
      </c>
      <c r="H206" s="20"/>
    </row>
    <row r="207" spans="1:8" x14ac:dyDescent="0.2">
      <c r="A207" s="40"/>
      <c r="B207" s="300" t="s">
        <v>292</v>
      </c>
      <c r="C207" s="40" t="str">
        <f>'Material Rates_Master'!B41</f>
        <v>ea</v>
      </c>
      <c r="D207" s="240"/>
      <c r="E207" s="48">
        <f>'Material Rates_Master'!D41*$M$16</f>
        <v>176.14319999999998</v>
      </c>
      <c r="F207" s="48">
        <f t="shared" si="10"/>
        <v>0</v>
      </c>
      <c r="H207" s="20"/>
    </row>
    <row r="208" spans="1:8" x14ac:dyDescent="0.2">
      <c r="A208" s="40"/>
      <c r="B208" s="300" t="s">
        <v>293</v>
      </c>
      <c r="C208" s="40" t="str">
        <f>'Material Rates_Master'!B42</f>
        <v>ea</v>
      </c>
      <c r="D208" s="240"/>
      <c r="E208" s="48">
        <f>'Material Rates_Master'!D42*$M$16</f>
        <v>157.62359999999998</v>
      </c>
      <c r="F208" s="48">
        <f t="shared" si="10"/>
        <v>0</v>
      </c>
      <c r="H208" s="20"/>
    </row>
    <row r="209" spans="1:8" x14ac:dyDescent="0.2">
      <c r="A209" s="40"/>
      <c r="B209" s="300" t="s">
        <v>294</v>
      </c>
      <c r="C209" s="40" t="str">
        <f>'Material Rates_Master'!B43</f>
        <v>ea</v>
      </c>
      <c r="D209" s="240"/>
      <c r="E209" s="48">
        <f>'Material Rates_Master'!D43*$M$16</f>
        <v>52.798799999999993</v>
      </c>
      <c r="F209" s="48">
        <f t="shared" si="10"/>
        <v>0</v>
      </c>
      <c r="H209" s="20"/>
    </row>
    <row r="210" spans="1:8" x14ac:dyDescent="0.2">
      <c r="A210" s="40"/>
      <c r="B210" s="300" t="s">
        <v>295</v>
      </c>
      <c r="C210" s="40" t="str">
        <f>'Material Rates_Master'!B44</f>
        <v>ea</v>
      </c>
      <c r="D210" s="240"/>
      <c r="E210" s="48">
        <f>'Material Rates_Master'!D44*$M$16</f>
        <v>253.20239999999995</v>
      </c>
      <c r="F210" s="48">
        <f t="shared" si="10"/>
        <v>0</v>
      </c>
      <c r="H210" s="20"/>
    </row>
    <row r="211" spans="1:8" x14ac:dyDescent="0.2">
      <c r="A211" s="40"/>
      <c r="B211" s="300" t="s">
        <v>296</v>
      </c>
      <c r="C211" s="40" t="str">
        <f>'Material Rates_Master'!B45</f>
        <v>ea</v>
      </c>
      <c r="D211" s="240"/>
      <c r="E211" s="48">
        <f>'Material Rates_Master'!D45*$M$16</f>
        <v>265.55340000000001</v>
      </c>
      <c r="F211" s="48">
        <f t="shared" si="10"/>
        <v>0</v>
      </c>
      <c r="H211" s="20"/>
    </row>
    <row r="212" spans="1:8" x14ac:dyDescent="0.2">
      <c r="A212" s="40"/>
      <c r="B212" s="300" t="s">
        <v>297</v>
      </c>
      <c r="C212" s="40" t="str">
        <f>'Material Rates_Master'!B46</f>
        <v>ea</v>
      </c>
      <c r="D212" s="240"/>
      <c r="E212" s="48">
        <f>'Material Rates_Master'!D46*$M$16</f>
        <v>256.27979999999997</v>
      </c>
      <c r="F212" s="48">
        <f t="shared" si="10"/>
        <v>0</v>
      </c>
      <c r="H212" s="20"/>
    </row>
    <row r="213" spans="1:8" x14ac:dyDescent="0.2">
      <c r="A213" s="40"/>
      <c r="B213" s="300" t="s">
        <v>298</v>
      </c>
      <c r="C213" s="40" t="str">
        <f>'Material Rates_Master'!B47</f>
        <v>ea</v>
      </c>
      <c r="D213" s="240"/>
      <c r="E213" s="48">
        <f>'Material Rates_Master'!D47*$M$16</f>
        <v>77.059200000000004</v>
      </c>
      <c r="F213" s="48">
        <f t="shared" si="10"/>
        <v>0</v>
      </c>
      <c r="H213" s="20"/>
    </row>
    <row r="214" spans="1:8" x14ac:dyDescent="0.2">
      <c r="A214" s="40"/>
      <c r="B214" s="300" t="s">
        <v>299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302</v>
      </c>
      <c r="C216" s="40" t="str">
        <f>'Material Rates_Master'!B50</f>
        <v>ea</v>
      </c>
      <c r="D216" s="240"/>
      <c r="E216" s="48">
        <f>'Material Rates_Master'!D50</f>
        <v>679.41</v>
      </c>
      <c r="F216" s="48">
        <f t="shared" si="10"/>
        <v>0</v>
      </c>
    </row>
    <row r="217" spans="1:8" x14ac:dyDescent="0.2">
      <c r="A217" s="40"/>
      <c r="B217" s="300" t="s">
        <v>303</v>
      </c>
      <c r="C217" s="40" t="str">
        <f>'Material Rates_Master'!B51</f>
        <v>ea</v>
      </c>
      <c r="D217" s="240"/>
      <c r="E217" s="48">
        <f>'Material Rates_Master'!D51</f>
        <v>323.52999999999997</v>
      </c>
      <c r="F217" s="48">
        <f t="shared" si="10"/>
        <v>0</v>
      </c>
    </row>
    <row r="218" spans="1:8" x14ac:dyDescent="0.2">
      <c r="A218" s="40"/>
      <c r="B218" s="300" t="s">
        <v>304</v>
      </c>
      <c r="C218" s="40" t="str">
        <f>'Material Rates_Master'!B52</f>
        <v>ea</v>
      </c>
      <c r="D218" s="240"/>
      <c r="E218" s="48">
        <f>'Material Rates_Master'!D52</f>
        <v>202.94</v>
      </c>
      <c r="F218" s="48">
        <f t="shared" si="10"/>
        <v>0</v>
      </c>
    </row>
    <row r="219" spans="1:8" x14ac:dyDescent="0.2">
      <c r="A219" s="40"/>
      <c r="B219" s="300" t="s">
        <v>305</v>
      </c>
      <c r="C219" s="40" t="str">
        <f>'Material Rates_Master'!B53</f>
        <v>ea</v>
      </c>
      <c r="D219" s="240"/>
      <c r="E219" s="48">
        <f>'Material Rates_Master'!D53</f>
        <v>136.94</v>
      </c>
      <c r="F219" s="48">
        <f t="shared" si="10"/>
        <v>0</v>
      </c>
    </row>
    <row r="220" spans="1:8" x14ac:dyDescent="0.2">
      <c r="A220" s="40"/>
      <c r="B220" s="300" t="s">
        <v>306</v>
      </c>
      <c r="C220" s="40" t="str">
        <f>'Material Rates_Master'!B54</f>
        <v>ea</v>
      </c>
      <c r="D220" s="240"/>
      <c r="E220" s="48">
        <f>'Material Rates_Master'!D54</f>
        <v>123.53</v>
      </c>
      <c r="F220" s="48">
        <f t="shared" si="10"/>
        <v>0</v>
      </c>
    </row>
    <row r="221" spans="1:8" x14ac:dyDescent="0.2">
      <c r="A221" s="40"/>
      <c r="B221" s="300" t="s">
        <v>307</v>
      </c>
      <c r="C221" s="40" t="str">
        <f>'Material Rates_Master'!B55</f>
        <v>ea</v>
      </c>
      <c r="D221" s="240"/>
      <c r="E221" s="48">
        <f>'Material Rates_Master'!D55</f>
        <v>98.82</v>
      </c>
      <c r="F221" s="48">
        <f t="shared" si="10"/>
        <v>0</v>
      </c>
    </row>
    <row r="222" spans="1:8" ht="4.95" customHeight="1" x14ac:dyDescent="0.2">
      <c r="A222" s="40"/>
      <c r="B222" s="300"/>
      <c r="C222" s="40">
        <f>'Material Rates_Master'!B56</f>
        <v>0</v>
      </c>
      <c r="E222" s="48">
        <f>'Material Rates_Master'!D56</f>
        <v>0</v>
      </c>
      <c r="F222" s="48">
        <f t="shared" si="10"/>
        <v>0</v>
      </c>
    </row>
    <row r="223" spans="1:8" x14ac:dyDescent="0.2">
      <c r="A223" s="40"/>
      <c r="B223" s="300" t="s">
        <v>308</v>
      </c>
      <c r="C223" s="40" t="str">
        <f>'Material Rates_Master'!B57</f>
        <v>ea</v>
      </c>
      <c r="D223" s="240"/>
      <c r="E223" s="48">
        <f>'Material Rates_Master'!D57</f>
        <v>291.18</v>
      </c>
      <c r="F223" s="48">
        <f t="shared" si="10"/>
        <v>0</v>
      </c>
    </row>
    <row r="224" spans="1:8" x14ac:dyDescent="0.2">
      <c r="A224" s="40"/>
      <c r="B224" s="300" t="s">
        <v>309</v>
      </c>
      <c r="C224" s="40" t="str">
        <f>'Material Rates_Master'!B58</f>
        <v>ea</v>
      </c>
      <c r="D224" s="240"/>
      <c r="E224" s="48">
        <f>'Material Rates_Master'!D58</f>
        <v>330</v>
      </c>
      <c r="F224" s="48">
        <f t="shared" si="10"/>
        <v>0</v>
      </c>
    </row>
    <row r="225" spans="1:6" x14ac:dyDescent="0.2">
      <c r="A225" s="40"/>
      <c r="B225" s="300" t="s">
        <v>310</v>
      </c>
      <c r="C225" s="40" t="str">
        <f>'Material Rates_Master'!B59</f>
        <v>ea</v>
      </c>
      <c r="D225" s="240"/>
      <c r="E225" s="48">
        <f>'Material Rates_Master'!D59</f>
        <v>156</v>
      </c>
      <c r="F225" s="48">
        <f t="shared" si="10"/>
        <v>0</v>
      </c>
    </row>
    <row r="226" spans="1:6" x14ac:dyDescent="0.2">
      <c r="A226" s="40"/>
      <c r="B226" s="300" t="s">
        <v>311</v>
      </c>
      <c r="C226" s="40" t="str">
        <f>'Material Rates_Master'!B60</f>
        <v>ea</v>
      </c>
      <c r="D226" s="240"/>
      <c r="E226" s="48">
        <f>'Material Rates_Master'!D60</f>
        <v>106.24</v>
      </c>
      <c r="F226" s="48">
        <f t="shared" si="10"/>
        <v>0</v>
      </c>
    </row>
    <row r="227" spans="1:6" x14ac:dyDescent="0.2">
      <c r="A227" s="40"/>
      <c r="B227" s="300" t="s">
        <v>312</v>
      </c>
      <c r="C227" s="40" t="str">
        <f>'Material Rates_Master'!B61</f>
        <v>ea</v>
      </c>
      <c r="D227" s="240"/>
      <c r="E227" s="48">
        <f>'Material Rates_Master'!D61</f>
        <v>70.59</v>
      </c>
      <c r="F227" s="48">
        <f t="shared" si="10"/>
        <v>0</v>
      </c>
    </row>
    <row r="228" spans="1:6" x14ac:dyDescent="0.2">
      <c r="A228" s="40"/>
      <c r="B228" s="300" t="s">
        <v>313</v>
      </c>
      <c r="C228" s="40" t="str">
        <f>'Material Rates_Master'!B62</f>
        <v>ea</v>
      </c>
      <c r="D228" s="240"/>
      <c r="E228" s="48">
        <f>'Material Rates_Master'!D62</f>
        <v>516.35</v>
      </c>
      <c r="F228" s="48">
        <f t="shared" si="10"/>
        <v>0</v>
      </c>
    </row>
    <row r="229" spans="1:6" x14ac:dyDescent="0.2">
      <c r="A229" s="40"/>
      <c r="B229" s="300" t="s">
        <v>314</v>
      </c>
      <c r="C229" s="40" t="str">
        <f>'Material Rates_Master'!B63</f>
        <v>ea</v>
      </c>
      <c r="D229" s="240"/>
      <c r="E229" s="48">
        <f>'Material Rates_Master'!D63</f>
        <v>198.88</v>
      </c>
      <c r="F229" s="48">
        <f t="shared" si="10"/>
        <v>0</v>
      </c>
    </row>
    <row r="230" spans="1:6" x14ac:dyDescent="0.2">
      <c r="A230" s="40"/>
      <c r="B230" s="300" t="s">
        <v>315</v>
      </c>
      <c r="C230" s="40" t="str">
        <f>'Material Rates_Master'!B64</f>
        <v>ea</v>
      </c>
      <c r="D230" s="240"/>
      <c r="E230" s="48">
        <f>'Material Rates_Master'!D64</f>
        <v>108.71</v>
      </c>
      <c r="F230" s="48">
        <f t="shared" si="10"/>
        <v>0</v>
      </c>
    </row>
    <row r="231" spans="1:6" x14ac:dyDescent="0.2">
      <c r="A231" s="40"/>
      <c r="B231" s="300" t="s">
        <v>316</v>
      </c>
      <c r="C231" s="40" t="str">
        <f>'Material Rates_Master'!B65</f>
        <v>ea</v>
      </c>
      <c r="D231" s="240"/>
      <c r="E231" s="48">
        <f>'Material Rates_Master'!D65</f>
        <v>672.65</v>
      </c>
      <c r="F231" s="48">
        <f t="shared" si="10"/>
        <v>0</v>
      </c>
    </row>
    <row r="232" spans="1:6" x14ac:dyDescent="0.2">
      <c r="A232" s="40"/>
      <c r="B232" s="300" t="s">
        <v>317</v>
      </c>
      <c r="C232" s="40" t="str">
        <f>'Material Rates_Master'!B66</f>
        <v>ea</v>
      </c>
      <c r="D232" s="240"/>
      <c r="E232" s="48">
        <f>'Material Rates_Master'!D66</f>
        <v>228.24</v>
      </c>
      <c r="F232" s="48">
        <f t="shared" si="10"/>
        <v>0</v>
      </c>
    </row>
    <row r="233" spans="1:6" x14ac:dyDescent="0.2">
      <c r="A233" s="40"/>
      <c r="B233" s="300" t="s">
        <v>318</v>
      </c>
      <c r="C233" s="40" t="str">
        <f>'Material Rates_Master'!B67</f>
        <v>ea</v>
      </c>
      <c r="D233" s="240"/>
      <c r="E233" s="48">
        <f>'Material Rates_Master'!D67</f>
        <v>128.24</v>
      </c>
      <c r="F233" s="48">
        <f t="shared" si="10"/>
        <v>0</v>
      </c>
    </row>
    <row r="234" spans="1:6" x14ac:dyDescent="0.2">
      <c r="A234" s="40"/>
      <c r="B234" s="300" t="s">
        <v>319</v>
      </c>
      <c r="C234" s="40" t="str">
        <f>'Material Rates_Master'!B68</f>
        <v>ea</v>
      </c>
      <c r="D234" s="240"/>
      <c r="E234" s="48">
        <f>'Material Rates_Master'!D68</f>
        <v>536.76</v>
      </c>
      <c r="F234" s="48">
        <f t="shared" si="10"/>
        <v>0</v>
      </c>
    </row>
    <row r="235" spans="1:6" x14ac:dyDescent="0.2">
      <c r="A235" s="40"/>
      <c r="B235" s="300" t="s">
        <v>320</v>
      </c>
      <c r="C235" s="40" t="str">
        <f>'Material Rates_Master'!B69</f>
        <v>ea</v>
      </c>
      <c r="D235" s="240"/>
      <c r="E235" s="48">
        <f>'Material Rates_Master'!D69</f>
        <v>576.47</v>
      </c>
      <c r="F235" s="48">
        <f t="shared" ref="F235:F298" si="11">E235*D235</f>
        <v>0</v>
      </c>
    </row>
    <row r="236" spans="1:6" x14ac:dyDescent="0.2">
      <c r="A236" s="40"/>
      <c r="B236" s="300" t="s">
        <v>321</v>
      </c>
      <c r="C236" s="40" t="str">
        <f>'Material Rates_Master'!B70</f>
        <v>ea</v>
      </c>
      <c r="D236" s="240"/>
      <c r="E236" s="48">
        <f>'Material Rates_Master'!D70</f>
        <v>198.82</v>
      </c>
      <c r="F236" s="48">
        <f t="shared" si="11"/>
        <v>0</v>
      </c>
    </row>
    <row r="237" spans="1:6" x14ac:dyDescent="0.2">
      <c r="A237" s="40"/>
      <c r="B237" s="300" t="s">
        <v>322</v>
      </c>
      <c r="C237" s="40" t="str">
        <f>'Material Rates_Master'!B71</f>
        <v>ea</v>
      </c>
      <c r="D237" s="240"/>
      <c r="E237" s="48">
        <f>'Material Rates_Master'!D71</f>
        <v>898.82</v>
      </c>
      <c r="F237" s="48">
        <f t="shared" si="11"/>
        <v>0</v>
      </c>
    </row>
    <row r="238" spans="1:6" x14ac:dyDescent="0.2">
      <c r="A238" s="40"/>
      <c r="B238" s="300" t="s">
        <v>323</v>
      </c>
      <c r="C238" s="40" t="str">
        <f>'Material Rates_Master'!B72</f>
        <v>ea</v>
      </c>
      <c r="D238" s="240"/>
      <c r="E238" s="48">
        <f>'Material Rates_Master'!D72</f>
        <v>640</v>
      </c>
      <c r="F238" s="48">
        <f t="shared" si="11"/>
        <v>0</v>
      </c>
    </row>
    <row r="239" spans="1:6" x14ac:dyDescent="0.2">
      <c r="A239" s="40"/>
      <c r="B239" s="300" t="s">
        <v>324</v>
      </c>
      <c r="C239" s="40" t="str">
        <f>'Material Rates_Master'!B73</f>
        <v>ea</v>
      </c>
      <c r="D239" s="240"/>
      <c r="E239" s="48">
        <f>'Material Rates_Master'!D73</f>
        <v>355.29</v>
      </c>
      <c r="F239" s="48">
        <f t="shared" si="11"/>
        <v>0</v>
      </c>
    </row>
    <row r="240" spans="1:6" x14ac:dyDescent="0.2">
      <c r="A240" s="40"/>
      <c r="B240" s="300" t="s">
        <v>325</v>
      </c>
      <c r="C240" s="40" t="str">
        <f>'Material Rates_Master'!B74</f>
        <v>ea</v>
      </c>
      <c r="D240" s="240"/>
      <c r="E240" s="48">
        <f>'Material Rates_Master'!D74</f>
        <v>534.41</v>
      </c>
      <c r="F240" s="48">
        <f t="shared" si="11"/>
        <v>0</v>
      </c>
    </row>
    <row r="241" spans="1:6" x14ac:dyDescent="0.2">
      <c r="A241" s="40"/>
      <c r="B241" s="300" t="s">
        <v>326</v>
      </c>
      <c r="C241" s="40" t="str">
        <f>'Material Rates_Master'!B75</f>
        <v>ea</v>
      </c>
      <c r="D241" s="240"/>
      <c r="E241" s="48">
        <f>'Material Rates_Master'!D75</f>
        <v>280</v>
      </c>
      <c r="F241" s="48">
        <f t="shared" si="11"/>
        <v>0</v>
      </c>
    </row>
    <row r="242" spans="1:6" x14ac:dyDescent="0.2">
      <c r="A242" s="40"/>
      <c r="B242" s="300" t="s">
        <v>327</v>
      </c>
      <c r="C242" s="40" t="str">
        <f>'Material Rates_Master'!B76</f>
        <v>ea</v>
      </c>
      <c r="D242" s="240"/>
      <c r="E242" s="48">
        <f>'Material Rates_Master'!D76</f>
        <v>236.47</v>
      </c>
      <c r="F242" s="48">
        <f t="shared" si="11"/>
        <v>0</v>
      </c>
    </row>
    <row r="243" spans="1:6" x14ac:dyDescent="0.2">
      <c r="A243" s="40"/>
      <c r="B243" s="300" t="s">
        <v>328</v>
      </c>
      <c r="C243" s="40" t="str">
        <f>'Material Rates_Master'!B77</f>
        <v>ea</v>
      </c>
      <c r="D243" s="240"/>
      <c r="E243" s="48">
        <f>'Material Rates_Master'!D77</f>
        <v>178.8</v>
      </c>
      <c r="F243" s="48">
        <f t="shared" si="11"/>
        <v>0</v>
      </c>
    </row>
    <row r="244" spans="1:6" x14ac:dyDescent="0.2">
      <c r="A244" s="40"/>
      <c r="B244" s="300" t="s">
        <v>329</v>
      </c>
      <c r="C244" s="40" t="str">
        <f>'Material Rates_Master'!B78</f>
        <v>ea</v>
      </c>
      <c r="D244" s="240"/>
      <c r="E244" s="48">
        <f>'Material Rates_Master'!D78</f>
        <v>362.35</v>
      </c>
      <c r="F244" s="48">
        <f t="shared" si="11"/>
        <v>0</v>
      </c>
    </row>
    <row r="245" spans="1:6" x14ac:dyDescent="0.2">
      <c r="A245" s="40"/>
      <c r="B245" s="300" t="s">
        <v>330</v>
      </c>
      <c r="C245" s="40" t="str">
        <f>'Material Rates_Master'!B79</f>
        <v>ea</v>
      </c>
      <c r="D245" s="240"/>
      <c r="E245" s="48">
        <f>'Material Rates_Master'!D79</f>
        <v>144.71</v>
      </c>
      <c r="F245" s="48">
        <f t="shared" si="11"/>
        <v>0</v>
      </c>
    </row>
    <row r="246" spans="1:6" x14ac:dyDescent="0.2">
      <c r="A246" s="40"/>
      <c r="B246" s="300" t="s">
        <v>331</v>
      </c>
      <c r="C246" s="40" t="str">
        <f>'Material Rates_Master'!B80</f>
        <v>ea</v>
      </c>
      <c r="D246" s="240"/>
      <c r="E246" s="48">
        <f>'Material Rates_Master'!D80</f>
        <v>135.88</v>
      </c>
      <c r="F246" s="48">
        <f t="shared" si="11"/>
        <v>0</v>
      </c>
    </row>
    <row r="247" spans="1:6" x14ac:dyDescent="0.2">
      <c r="A247" s="40"/>
      <c r="B247" s="300" t="s">
        <v>332</v>
      </c>
      <c r="C247" s="40" t="str">
        <f>'Material Rates_Master'!B81</f>
        <v>ea</v>
      </c>
      <c r="D247" s="240"/>
      <c r="E247" s="48">
        <f>'Material Rates_Master'!D81</f>
        <v>76.47</v>
      </c>
      <c r="F247" s="48">
        <f t="shared" si="11"/>
        <v>0</v>
      </c>
    </row>
    <row r="248" spans="1:6" x14ac:dyDescent="0.2">
      <c r="A248" s="40"/>
      <c r="B248" s="300" t="s">
        <v>333</v>
      </c>
      <c r="C248" s="40" t="str">
        <f>'Material Rates_Master'!B82</f>
        <v>ea</v>
      </c>
      <c r="D248" s="240"/>
      <c r="E248" s="48">
        <f>'Material Rates_Master'!D82</f>
        <v>67.650000000000006</v>
      </c>
      <c r="F248" s="48">
        <f t="shared" si="11"/>
        <v>0</v>
      </c>
    </row>
    <row r="249" spans="1:6" x14ac:dyDescent="0.2">
      <c r="A249" s="40"/>
      <c r="B249" s="300" t="s">
        <v>334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335</v>
      </c>
      <c r="C251" s="40" t="str">
        <f>'Material Rates_Master'!B85</f>
        <v>ea</v>
      </c>
      <c r="D251" s="240"/>
      <c r="E251" s="48">
        <f>'Material Rates_Master'!D85</f>
        <v>67.06</v>
      </c>
      <c r="F251" s="48">
        <f t="shared" si="11"/>
        <v>0</v>
      </c>
    </row>
    <row r="252" spans="1:6" x14ac:dyDescent="0.2">
      <c r="A252" s="40"/>
      <c r="B252" s="300" t="s">
        <v>336</v>
      </c>
      <c r="C252" s="40" t="str">
        <f>'Material Rates_Master'!B86</f>
        <v>ea</v>
      </c>
      <c r="D252" s="240"/>
      <c r="E252" s="48">
        <f>'Material Rates_Master'!D86</f>
        <v>46.71</v>
      </c>
      <c r="F252" s="48">
        <f t="shared" si="11"/>
        <v>0</v>
      </c>
    </row>
    <row r="253" spans="1:6" x14ac:dyDescent="0.2">
      <c r="A253" s="40"/>
      <c r="B253" s="300" t="s">
        <v>337</v>
      </c>
      <c r="C253" s="40" t="str">
        <f>'Material Rates_Master'!B87</f>
        <v>ea</v>
      </c>
      <c r="D253" s="240"/>
      <c r="E253" s="48">
        <f>'Material Rates_Master'!D87</f>
        <v>60</v>
      </c>
      <c r="F253" s="48">
        <f t="shared" si="11"/>
        <v>0</v>
      </c>
    </row>
    <row r="254" spans="1:6" x14ac:dyDescent="0.2">
      <c r="A254" s="40"/>
      <c r="B254" s="300" t="s">
        <v>338</v>
      </c>
      <c r="C254" s="40" t="str">
        <f>'Material Rates_Master'!B88</f>
        <v>ea</v>
      </c>
      <c r="D254" s="240"/>
      <c r="E254" s="48">
        <f>'Material Rates_Master'!D88</f>
        <v>42.35</v>
      </c>
      <c r="F254" s="48">
        <f t="shared" si="11"/>
        <v>0</v>
      </c>
    </row>
    <row r="255" spans="1:6" x14ac:dyDescent="0.2">
      <c r="A255" s="40"/>
      <c r="B255" s="300" t="s">
        <v>339</v>
      </c>
      <c r="C255" s="40" t="str">
        <f>'Material Rates_Master'!B89</f>
        <v>ea</v>
      </c>
      <c r="D255" s="240"/>
      <c r="E255" s="48">
        <f>'Material Rates_Master'!D89</f>
        <v>24.71</v>
      </c>
      <c r="F255" s="48">
        <f t="shared" si="11"/>
        <v>0</v>
      </c>
    </row>
    <row r="256" spans="1:6" x14ac:dyDescent="0.2">
      <c r="A256" s="40"/>
      <c r="B256" s="300" t="s">
        <v>340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341</v>
      </c>
      <c r="C258" s="40" t="str">
        <f>'Material Rates_Master'!B92</f>
        <v>ea</v>
      </c>
      <c r="D258" s="240"/>
      <c r="E258" s="48">
        <f>'Material Rates_Master'!D92</f>
        <v>108.71</v>
      </c>
      <c r="F258" s="48">
        <f t="shared" si="11"/>
        <v>0</v>
      </c>
    </row>
    <row r="259" spans="1:6" x14ac:dyDescent="0.2">
      <c r="A259" s="40"/>
      <c r="B259" s="300" t="s">
        <v>342</v>
      </c>
      <c r="C259" s="40" t="str">
        <f>'Material Rates_Master'!B93</f>
        <v>ea</v>
      </c>
      <c r="D259" s="240"/>
      <c r="E259" s="48">
        <f>'Material Rates_Master'!D93</f>
        <v>87.06</v>
      </c>
      <c r="F259" s="48">
        <f t="shared" si="11"/>
        <v>0</v>
      </c>
    </row>
    <row r="260" spans="1:6" x14ac:dyDescent="0.2">
      <c r="A260" s="40"/>
      <c r="B260" s="300" t="s">
        <v>343</v>
      </c>
      <c r="C260" s="40" t="str">
        <f>'Material Rates_Master'!B94</f>
        <v>ea</v>
      </c>
      <c r="D260" s="240"/>
      <c r="E260" s="48">
        <f>'Material Rates_Master'!D94</f>
        <v>305.88</v>
      </c>
      <c r="F260" s="48">
        <f t="shared" si="11"/>
        <v>0</v>
      </c>
    </row>
    <row r="261" spans="1:6" x14ac:dyDescent="0.2">
      <c r="A261" s="40"/>
      <c r="B261" s="300" t="s">
        <v>344</v>
      </c>
      <c r="C261" s="40" t="str">
        <f>'Material Rates_Master'!B95</f>
        <v>ea</v>
      </c>
      <c r="D261" s="240"/>
      <c r="E261" s="48">
        <f>'Material Rates_Master'!D95</f>
        <v>182.35</v>
      </c>
      <c r="F261" s="48">
        <f t="shared" si="11"/>
        <v>0</v>
      </c>
    </row>
    <row r="262" spans="1:6" x14ac:dyDescent="0.2">
      <c r="A262" s="40"/>
      <c r="B262" s="300" t="s">
        <v>345</v>
      </c>
      <c r="C262" s="40" t="str">
        <f>'Material Rates_Master'!B96</f>
        <v>ea</v>
      </c>
      <c r="D262" s="240"/>
      <c r="E262" s="48">
        <f>'Material Rates_Master'!D96</f>
        <v>229.41</v>
      </c>
      <c r="F262" s="48">
        <f t="shared" si="11"/>
        <v>0</v>
      </c>
    </row>
    <row r="263" spans="1:6" x14ac:dyDescent="0.2">
      <c r="A263" s="40"/>
      <c r="B263" s="300" t="s">
        <v>346</v>
      </c>
      <c r="C263" s="40" t="str">
        <f>'Material Rates_Master'!B97</f>
        <v>ea</v>
      </c>
      <c r="D263" s="240"/>
      <c r="E263" s="48">
        <f>'Material Rates_Master'!D97</f>
        <v>152.94</v>
      </c>
      <c r="F263" s="48">
        <f t="shared" si="11"/>
        <v>0</v>
      </c>
    </row>
    <row r="264" spans="1:6" x14ac:dyDescent="0.2">
      <c r="A264" s="40"/>
      <c r="B264" s="300" t="s">
        <v>347</v>
      </c>
      <c r="C264" s="40" t="str">
        <f>'Material Rates_Master'!B98</f>
        <v>ea</v>
      </c>
      <c r="D264" s="240"/>
      <c r="E264" s="48">
        <f>'Material Rates_Master'!D98</f>
        <v>690</v>
      </c>
      <c r="F264" s="48">
        <f t="shared" si="11"/>
        <v>0</v>
      </c>
    </row>
    <row r="265" spans="1:6" x14ac:dyDescent="0.2">
      <c r="A265" s="40"/>
      <c r="B265" s="300" t="s">
        <v>348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349</v>
      </c>
      <c r="C267" s="40" t="str">
        <f>'Material Rates_Master'!B101</f>
        <v>ea</v>
      </c>
      <c r="D267" s="240"/>
      <c r="E267" s="48">
        <f>'Material Rates_Master'!D101</f>
        <v>90</v>
      </c>
      <c r="F267" s="48">
        <f t="shared" si="11"/>
        <v>0</v>
      </c>
    </row>
    <row r="268" spans="1:6" x14ac:dyDescent="0.2">
      <c r="A268" s="40"/>
      <c r="B268" s="300" t="s">
        <v>350</v>
      </c>
      <c r="C268" s="40" t="str">
        <f>'Material Rates_Master'!B102</f>
        <v>ea</v>
      </c>
      <c r="D268" s="240"/>
      <c r="E268" s="48">
        <f>'Material Rates_Master'!D102</f>
        <v>13.5</v>
      </c>
      <c r="F268" s="48">
        <f t="shared" si="11"/>
        <v>0</v>
      </c>
    </row>
    <row r="269" spans="1:6" x14ac:dyDescent="0.2">
      <c r="A269" s="40"/>
      <c r="B269" s="300" t="s">
        <v>351</v>
      </c>
      <c r="C269" s="40" t="str">
        <f>'Material Rates_Master'!B103</f>
        <v>ea</v>
      </c>
      <c r="D269" s="240"/>
      <c r="E269" s="48">
        <f>'Material Rates_Master'!D103</f>
        <v>27.14</v>
      </c>
      <c r="F269" s="48">
        <f t="shared" si="11"/>
        <v>0</v>
      </c>
    </row>
    <row r="270" spans="1:6" x14ac:dyDescent="0.2">
      <c r="A270" s="40"/>
      <c r="B270" s="300" t="s">
        <v>352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353</v>
      </c>
      <c r="E272" s="48"/>
      <c r="F272" s="48">
        <f t="shared" si="11"/>
        <v>0</v>
      </c>
    </row>
    <row r="273" spans="1:6" x14ac:dyDescent="0.2">
      <c r="A273" s="40"/>
      <c r="B273" s="301" t="s">
        <v>354</v>
      </c>
      <c r="C273" s="40" t="str">
        <f>'Material Rates_Master'!B107</f>
        <v>Unit</v>
      </c>
      <c r="E273" s="48"/>
      <c r="F273" s="48"/>
    </row>
    <row r="274" spans="1:6" x14ac:dyDescent="0.2">
      <c r="A274" s="40"/>
      <c r="B274" s="300" t="s">
        <v>355</v>
      </c>
      <c r="C274" s="40" t="str">
        <f>'Material Rates_Master'!B108</f>
        <v>m</v>
      </c>
      <c r="D274" s="37"/>
      <c r="E274" s="48">
        <f>'Material Rates_Master'!D108</f>
        <v>43.846153846153847</v>
      </c>
      <c r="F274" s="48">
        <f t="shared" si="11"/>
        <v>0</v>
      </c>
    </row>
    <row r="275" spans="1:6" x14ac:dyDescent="0.2">
      <c r="A275" s="40"/>
      <c r="B275" s="300" t="s">
        <v>356</v>
      </c>
      <c r="C275" s="40" t="str">
        <f>'Material Rates_Master'!B109</f>
        <v>m</v>
      </c>
      <c r="D275" s="37"/>
      <c r="E275" s="48">
        <f>'Material Rates_Master'!D109</f>
        <v>28.46153846153846</v>
      </c>
      <c r="F275" s="48">
        <f t="shared" si="11"/>
        <v>0</v>
      </c>
    </row>
    <row r="276" spans="1:6" x14ac:dyDescent="0.2">
      <c r="A276" s="40"/>
      <c r="B276" s="300" t="s">
        <v>357</v>
      </c>
      <c r="C276" s="40" t="str">
        <f>'Material Rates_Master'!B110</f>
        <v>m</v>
      </c>
      <c r="D276" s="37"/>
      <c r="E276" s="48">
        <f>'Material Rates_Master'!D110</f>
        <v>106.24166666666667</v>
      </c>
      <c r="F276" s="48">
        <f t="shared" si="11"/>
        <v>0</v>
      </c>
    </row>
    <row r="277" spans="1:6" x14ac:dyDescent="0.2">
      <c r="A277" s="40"/>
      <c r="B277" s="300" t="s">
        <v>358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359</v>
      </c>
      <c r="C279" s="40" t="str">
        <f>'Material Rates_Master'!B113</f>
        <v>ea</v>
      </c>
      <c r="D279" s="37"/>
      <c r="E279" s="48">
        <f>'Material Rates_Master'!D113</f>
        <v>12.83</v>
      </c>
      <c r="F279" s="48">
        <f t="shared" si="11"/>
        <v>0</v>
      </c>
    </row>
    <row r="280" spans="1:6" x14ac:dyDescent="0.2">
      <c r="A280" s="40"/>
      <c r="B280" s="300" t="s">
        <v>360</v>
      </c>
      <c r="C280" s="40" t="str">
        <f>'Material Rates_Master'!B114</f>
        <v>ea</v>
      </c>
      <c r="D280" s="37"/>
      <c r="E280" s="48">
        <f>'Material Rates_Master'!D114</f>
        <v>7.55</v>
      </c>
      <c r="F280" s="48">
        <f t="shared" si="11"/>
        <v>0</v>
      </c>
    </row>
    <row r="281" spans="1:6" x14ac:dyDescent="0.2">
      <c r="A281" s="40"/>
      <c r="B281" s="300" t="s">
        <v>361</v>
      </c>
      <c r="C281" s="40" t="str">
        <f>'Material Rates_Master'!B115</f>
        <v>ea</v>
      </c>
      <c r="D281" s="37"/>
      <c r="E281" s="48">
        <f>'Material Rates_Master'!D115</f>
        <v>35.5</v>
      </c>
      <c r="F281" s="48">
        <f t="shared" si="11"/>
        <v>0</v>
      </c>
    </row>
    <row r="282" spans="1:6" x14ac:dyDescent="0.2">
      <c r="A282" s="40"/>
      <c r="B282" s="300" t="s">
        <v>362</v>
      </c>
      <c r="C282" s="40" t="str">
        <f>'Material Rates_Master'!B116</f>
        <v>ea</v>
      </c>
      <c r="D282" s="37"/>
      <c r="E282" s="48">
        <f>'Material Rates_Master'!D116</f>
        <v>16.93</v>
      </c>
      <c r="F282" s="48">
        <f t="shared" si="11"/>
        <v>0</v>
      </c>
    </row>
    <row r="283" spans="1:6" x14ac:dyDescent="0.2">
      <c r="A283" s="40"/>
      <c r="B283" s="300" t="s">
        <v>363</v>
      </c>
      <c r="C283" s="40" t="str">
        <f>'Material Rates_Master'!B117</f>
        <v>ea</v>
      </c>
      <c r="D283" s="37"/>
      <c r="E283" s="48">
        <f>'Material Rates_Master'!D117</f>
        <v>22.85</v>
      </c>
      <c r="F283" s="48">
        <f t="shared" si="11"/>
        <v>0</v>
      </c>
    </row>
    <row r="284" spans="1:6" x14ac:dyDescent="0.2">
      <c r="A284" s="40"/>
      <c r="B284" s="300" t="s">
        <v>364</v>
      </c>
      <c r="C284" s="40" t="str">
        <f>'Material Rates_Master'!B118</f>
        <v>ea</v>
      </c>
      <c r="D284" s="37"/>
      <c r="E284" s="48">
        <f>'Material Rates_Master'!D118</f>
        <v>10.62</v>
      </c>
      <c r="F284" s="48">
        <f t="shared" si="11"/>
        <v>0</v>
      </c>
    </row>
    <row r="285" spans="1:6" x14ac:dyDescent="0.2">
      <c r="A285" s="40"/>
      <c r="B285" s="300" t="s">
        <v>365</v>
      </c>
      <c r="C285" s="40" t="str">
        <f>'Material Rates_Master'!B119</f>
        <v>ea</v>
      </c>
      <c r="D285" s="37"/>
      <c r="E285" s="48">
        <f>'Material Rates_Master'!D119</f>
        <v>23.5</v>
      </c>
      <c r="F285" s="48">
        <f t="shared" si="11"/>
        <v>0</v>
      </c>
    </row>
    <row r="286" spans="1:6" x14ac:dyDescent="0.2">
      <c r="A286" s="40"/>
      <c r="B286" s="300" t="s">
        <v>366</v>
      </c>
      <c r="C286" s="40" t="str">
        <f>'Material Rates_Master'!B120</f>
        <v>ea</v>
      </c>
      <c r="D286" s="37"/>
      <c r="E286" s="48">
        <f>'Material Rates_Master'!D120</f>
        <v>11.4</v>
      </c>
      <c r="F286" s="48">
        <f t="shared" si="11"/>
        <v>0</v>
      </c>
    </row>
    <row r="287" spans="1:6" x14ac:dyDescent="0.2">
      <c r="A287" s="40"/>
      <c r="B287" s="300" t="s">
        <v>367</v>
      </c>
      <c r="C287" s="40" t="str">
        <f>'Material Rates_Master'!B121</f>
        <v>ea</v>
      </c>
      <c r="D287" s="37"/>
      <c r="E287" s="48">
        <f>'Material Rates_Master'!D121</f>
        <v>30.75</v>
      </c>
      <c r="F287" s="48">
        <f t="shared" si="11"/>
        <v>0</v>
      </c>
    </row>
    <row r="288" spans="1:6" x14ac:dyDescent="0.2">
      <c r="A288" s="40"/>
      <c r="B288" s="300" t="s">
        <v>368</v>
      </c>
      <c r="C288" s="40" t="str">
        <f>'Material Rates_Master'!B122</f>
        <v>ea</v>
      </c>
      <c r="D288" s="37"/>
      <c r="E288" s="48">
        <f>'Material Rates_Master'!D122</f>
        <v>23.21</v>
      </c>
      <c r="F288" s="48">
        <f t="shared" si="11"/>
        <v>0</v>
      </c>
    </row>
    <row r="289" spans="1:6" x14ac:dyDescent="0.2">
      <c r="A289" s="40"/>
      <c r="B289" s="300" t="s">
        <v>369</v>
      </c>
      <c r="C289" s="40" t="str">
        <f>'Material Rates_Master'!B123</f>
        <v>ea</v>
      </c>
      <c r="D289" s="37"/>
      <c r="E289" s="48">
        <f>'Material Rates_Master'!D123</f>
        <v>217.8</v>
      </c>
      <c r="F289" s="48">
        <f t="shared" si="11"/>
        <v>0</v>
      </c>
    </row>
    <row r="290" spans="1:6" x14ac:dyDescent="0.2">
      <c r="A290" s="40"/>
      <c r="B290" s="300" t="s">
        <v>370</v>
      </c>
      <c r="C290" s="40" t="str">
        <f>'Material Rates_Master'!B124</f>
        <v>ea</v>
      </c>
      <c r="D290" s="37"/>
      <c r="E290" s="48">
        <f>'Material Rates_Master'!D124</f>
        <v>169.4</v>
      </c>
      <c r="F290" s="48">
        <f t="shared" si="11"/>
        <v>0</v>
      </c>
    </row>
    <row r="291" spans="1:6" ht="5.4" customHeight="1" x14ac:dyDescent="0.2">
      <c r="A291" s="40"/>
      <c r="B291" s="300"/>
      <c r="C291" s="40">
        <f>'Material Rates_Master'!B125</f>
        <v>0</v>
      </c>
      <c r="D291" s="37"/>
      <c r="E291" s="48">
        <f>'Material Rates_Master'!D125</f>
        <v>0</v>
      </c>
      <c r="F291" s="48">
        <f t="shared" si="11"/>
        <v>0</v>
      </c>
    </row>
    <row r="292" spans="1:6" x14ac:dyDescent="0.2">
      <c r="A292" s="40"/>
      <c r="B292" s="300" t="s">
        <v>371</v>
      </c>
      <c r="C292" s="40" t="str">
        <f>'Material Rates_Master'!B126</f>
        <v>ea</v>
      </c>
      <c r="D292" s="37"/>
      <c r="E292" s="48">
        <f>'Material Rates_Master'!D126</f>
        <v>2350</v>
      </c>
      <c r="F292" s="48">
        <f t="shared" si="11"/>
        <v>0</v>
      </c>
    </row>
    <row r="293" spans="1:6" x14ac:dyDescent="0.2">
      <c r="A293" s="40"/>
      <c r="B293" s="300" t="s">
        <v>372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373</v>
      </c>
      <c r="C295" s="40" t="str">
        <f>'Material Rates_Master'!B129</f>
        <v>ea</v>
      </c>
      <c r="D295" s="240"/>
      <c r="E295" s="48">
        <f>'Material Rates_Master'!D129</f>
        <v>365</v>
      </c>
      <c r="F295" s="48">
        <f t="shared" si="11"/>
        <v>0</v>
      </c>
    </row>
    <row r="296" spans="1:6" x14ac:dyDescent="0.2">
      <c r="A296" s="40"/>
      <c r="B296" s="300" t="s">
        <v>374</v>
      </c>
      <c r="C296" s="40" t="str">
        <f>'Material Rates_Master'!B130</f>
        <v>ea</v>
      </c>
      <c r="D296" s="240"/>
      <c r="E296" s="48">
        <f>'Material Rates_Master'!D130</f>
        <v>365</v>
      </c>
      <c r="F296" s="48">
        <f t="shared" si="11"/>
        <v>0</v>
      </c>
    </row>
    <row r="297" spans="1:6" x14ac:dyDescent="0.2">
      <c r="A297" s="40"/>
      <c r="B297" s="300" t="s">
        <v>375</v>
      </c>
      <c r="C297" s="40" t="str">
        <f>'Material Rates_Master'!B131</f>
        <v>ea</v>
      </c>
      <c r="D297" s="240"/>
      <c r="E297" s="48">
        <f>'Material Rates_Master'!D131</f>
        <v>90</v>
      </c>
      <c r="F297" s="48">
        <f t="shared" si="11"/>
        <v>0</v>
      </c>
    </row>
    <row r="298" spans="1:6" x14ac:dyDescent="0.2">
      <c r="A298" s="40"/>
      <c r="B298" s="300" t="s">
        <v>376</v>
      </c>
      <c r="C298" s="40" t="str">
        <f>'Material Rates_Master'!B132</f>
        <v>ea</v>
      </c>
      <c r="D298" s="240"/>
      <c r="E298" s="48">
        <f>'Material Rates_Master'!D132</f>
        <v>5</v>
      </c>
      <c r="F298" s="48">
        <f t="shared" si="11"/>
        <v>0</v>
      </c>
    </row>
    <row r="299" spans="1:6" x14ac:dyDescent="0.2">
      <c r="A299" s="40"/>
      <c r="B299" s="300" t="s">
        <v>377</v>
      </c>
      <c r="C299" s="40" t="str">
        <f>'Material Rates_Master'!B133</f>
        <v>ea</v>
      </c>
      <c r="D299" s="240"/>
      <c r="E299" s="48">
        <f>'Material Rates_Master'!D133</f>
        <v>125</v>
      </c>
      <c r="F299" s="48">
        <f t="shared" ref="F299:F341" si="12">E299*D299</f>
        <v>0</v>
      </c>
    </row>
    <row r="300" spans="1:6" x14ac:dyDescent="0.2">
      <c r="A300" s="40"/>
      <c r="B300" s="300" t="s">
        <v>378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379</v>
      </c>
      <c r="C302" s="40" t="str">
        <f>'Material Rates_Master'!B136</f>
        <v>ea</v>
      </c>
      <c r="D302" s="37"/>
      <c r="E302" s="48">
        <f>'Material Rates_Master'!D136</f>
        <v>3100.7</v>
      </c>
      <c r="F302" s="48">
        <f t="shared" si="12"/>
        <v>0</v>
      </c>
    </row>
    <row r="303" spans="1:6" x14ac:dyDescent="0.2">
      <c r="A303" s="40"/>
      <c r="B303" s="300" t="s">
        <v>380</v>
      </c>
      <c r="C303" s="40" t="str">
        <f>'Material Rates_Master'!B137</f>
        <v>ea</v>
      </c>
      <c r="D303" s="37"/>
      <c r="E303" s="48">
        <f>'Material Rates_Master'!D137</f>
        <v>4237.09</v>
      </c>
      <c r="F303" s="48">
        <f t="shared" si="12"/>
        <v>0</v>
      </c>
    </row>
    <row r="304" spans="1:6" ht="7.2" customHeight="1" x14ac:dyDescent="0.2">
      <c r="A304" s="40"/>
      <c r="B304" s="300"/>
      <c r="C304" s="40">
        <f>'Material Rates_Master'!B138</f>
        <v>0</v>
      </c>
      <c r="D304" s="37"/>
      <c r="E304" s="48">
        <f>'Material Rates_Master'!D138</f>
        <v>0</v>
      </c>
      <c r="F304" s="48">
        <f t="shared" si="12"/>
        <v>0</v>
      </c>
    </row>
    <row r="305" spans="1:6" x14ac:dyDescent="0.2">
      <c r="A305" s="40"/>
      <c r="B305" s="300" t="s">
        <v>381</v>
      </c>
      <c r="C305" s="40" t="str">
        <f>'Material Rates_Master'!B139</f>
        <v>ea</v>
      </c>
      <c r="D305" s="37"/>
      <c r="E305" s="48">
        <f>'Material Rates_Master'!D139</f>
        <v>114.44</v>
      </c>
      <c r="F305" s="48">
        <f t="shared" si="12"/>
        <v>0</v>
      </c>
    </row>
    <row r="306" spans="1:6" x14ac:dyDescent="0.2">
      <c r="A306" s="40"/>
      <c r="B306" s="300" t="s">
        <v>382</v>
      </c>
      <c r="C306" s="40" t="str">
        <f>'Material Rates_Master'!B140</f>
        <v>ea</v>
      </c>
      <c r="D306" s="37"/>
      <c r="E306" s="48">
        <f>'Material Rates_Master'!D140</f>
        <v>219.36</v>
      </c>
      <c r="F306" s="48">
        <f t="shared" si="12"/>
        <v>0</v>
      </c>
    </row>
    <row r="307" spans="1:6" x14ac:dyDescent="0.2">
      <c r="A307" s="40"/>
      <c r="B307" s="300" t="s">
        <v>383</v>
      </c>
      <c r="C307" s="40" t="str">
        <f>'Material Rates_Master'!B141</f>
        <v>ea</v>
      </c>
      <c r="D307" s="37"/>
      <c r="E307" s="48">
        <f>'Material Rates_Master'!D141</f>
        <v>135.09</v>
      </c>
      <c r="F307" s="48">
        <f t="shared" si="12"/>
        <v>0</v>
      </c>
    </row>
    <row r="308" spans="1:6" x14ac:dyDescent="0.2">
      <c r="A308" s="40"/>
      <c r="B308" s="300" t="s">
        <v>384</v>
      </c>
      <c r="C308" s="40" t="str">
        <f>'Material Rates_Master'!B142</f>
        <v>ea</v>
      </c>
      <c r="D308" s="37"/>
      <c r="E308" s="48">
        <f>'Material Rates_Master'!D142</f>
        <v>125.77</v>
      </c>
      <c r="F308" s="48">
        <f t="shared" si="12"/>
        <v>0</v>
      </c>
    </row>
    <row r="309" spans="1:6" x14ac:dyDescent="0.2">
      <c r="A309" s="40"/>
      <c r="B309" s="300" t="s">
        <v>385</v>
      </c>
      <c r="C309" s="40" t="str">
        <f>'Material Rates_Master'!B143</f>
        <v>ea</v>
      </c>
      <c r="D309" s="37"/>
      <c r="E309" s="48">
        <f>'Material Rates_Master'!D143</f>
        <v>83.25</v>
      </c>
      <c r="F309" s="48">
        <f t="shared" si="12"/>
        <v>0</v>
      </c>
    </row>
    <row r="310" spans="1:6" x14ac:dyDescent="0.2">
      <c r="A310" s="40"/>
      <c r="B310" s="300" t="s">
        <v>386</v>
      </c>
      <c r="C310" s="40" t="str">
        <f>'Material Rates_Master'!B144</f>
        <v>ea</v>
      </c>
      <c r="D310" s="37"/>
      <c r="E310" s="48">
        <f>'Material Rates_Master'!D144</f>
        <v>52.25</v>
      </c>
      <c r="F310" s="48">
        <f t="shared" si="12"/>
        <v>0</v>
      </c>
    </row>
    <row r="311" spans="1:6" x14ac:dyDescent="0.2">
      <c r="A311" s="40"/>
      <c r="B311" s="300" t="s">
        <v>387</v>
      </c>
      <c r="C311" s="40" t="str">
        <f>'Material Rates_Master'!B145</f>
        <v>ea</v>
      </c>
      <c r="D311" s="37"/>
      <c r="E311" s="48">
        <f>'Material Rates_Master'!D145</f>
        <v>175.66</v>
      </c>
      <c r="F311" s="48">
        <f t="shared" si="12"/>
        <v>0</v>
      </c>
    </row>
    <row r="312" spans="1:6" x14ac:dyDescent="0.2">
      <c r="A312" s="40"/>
      <c r="B312" s="300" t="s">
        <v>388</v>
      </c>
      <c r="C312" s="40" t="str">
        <f>'Material Rates_Master'!B146</f>
        <v>ea</v>
      </c>
      <c r="D312" s="37"/>
      <c r="E312" s="48">
        <f>'Material Rates_Master'!D146</f>
        <v>164.08</v>
      </c>
      <c r="F312" s="48">
        <f t="shared" si="12"/>
        <v>0</v>
      </c>
    </row>
    <row r="313" spans="1:6" ht="7.2" customHeight="1" x14ac:dyDescent="0.2">
      <c r="A313" s="40"/>
      <c r="B313" s="300"/>
      <c r="C313" s="40">
        <f>'Material Rates_Master'!B147</f>
        <v>0</v>
      </c>
      <c r="D313" s="240"/>
      <c r="E313" s="48">
        <f>'Material Rates_Master'!D147</f>
        <v>0</v>
      </c>
      <c r="F313" s="48">
        <f t="shared" si="12"/>
        <v>0</v>
      </c>
    </row>
    <row r="314" spans="1:6" x14ac:dyDescent="0.2">
      <c r="A314" s="40"/>
      <c r="B314" s="300" t="s">
        <v>393</v>
      </c>
      <c r="C314" s="40" t="str">
        <f>'Material Rates_Master'!B148</f>
        <v>ea</v>
      </c>
      <c r="D314" s="240"/>
      <c r="E314" s="48">
        <f>'Material Rates_Master'!D148</f>
        <v>77.95</v>
      </c>
      <c r="F314" s="48">
        <f t="shared" si="12"/>
        <v>0</v>
      </c>
    </row>
    <row r="315" spans="1:6" x14ac:dyDescent="0.2">
      <c r="A315" s="40"/>
      <c r="B315" s="300" t="s">
        <v>394</v>
      </c>
      <c r="C315" s="40" t="str">
        <f>'Material Rates_Master'!B149</f>
        <v>ea</v>
      </c>
      <c r="D315" s="240"/>
      <c r="E315" s="48">
        <f>'Material Rates_Master'!D149</f>
        <v>17.16</v>
      </c>
      <c r="F315" s="48">
        <f t="shared" si="12"/>
        <v>0</v>
      </c>
    </row>
    <row r="316" spans="1:6" x14ac:dyDescent="0.2">
      <c r="A316" s="40"/>
      <c r="B316" s="300" t="s">
        <v>395</v>
      </c>
      <c r="C316" s="40" t="str">
        <f>'Material Rates_Master'!B150</f>
        <v>ea</v>
      </c>
      <c r="D316" s="240"/>
      <c r="E316" s="48">
        <f>'Material Rates_Master'!D150</f>
        <v>7.23</v>
      </c>
      <c r="F316" s="48">
        <f t="shared" si="12"/>
        <v>0</v>
      </c>
    </row>
    <row r="317" spans="1:6" x14ac:dyDescent="0.2">
      <c r="A317" s="40"/>
      <c r="B317" s="300" t="s">
        <v>396</v>
      </c>
      <c r="C317" s="40" t="str">
        <f>'Material Rates_Master'!B151</f>
        <v>ea</v>
      </c>
      <c r="D317" s="240"/>
      <c r="E317" s="48">
        <f>'Material Rates_Master'!D151</f>
        <v>14.31</v>
      </c>
      <c r="F317" s="48">
        <f t="shared" si="12"/>
        <v>0</v>
      </c>
    </row>
    <row r="318" spans="1:6" x14ac:dyDescent="0.2">
      <c r="A318" s="40"/>
      <c r="B318" s="300" t="s">
        <v>397</v>
      </c>
      <c r="C318" s="40" t="str">
        <f>'Material Rates_Master'!B152</f>
        <v>ea</v>
      </c>
      <c r="D318" s="240"/>
      <c r="E318" s="48">
        <f>'Material Rates_Master'!D152</f>
        <v>16.239999999999998</v>
      </c>
      <c r="F318" s="48">
        <f t="shared" si="12"/>
        <v>0</v>
      </c>
    </row>
    <row r="319" spans="1:6" x14ac:dyDescent="0.2">
      <c r="A319" s="40"/>
      <c r="B319" s="300" t="s">
        <v>399</v>
      </c>
      <c r="C319" s="40" t="str">
        <f>'Material Rates_Master'!B153</f>
        <v>ea</v>
      </c>
      <c r="D319" s="240"/>
      <c r="E319" s="48">
        <f>'Material Rates_Master'!D153</f>
        <v>14.36</v>
      </c>
      <c r="F319" s="48">
        <f t="shared" si="12"/>
        <v>0</v>
      </c>
    </row>
    <row r="320" spans="1:6" x14ac:dyDescent="0.2">
      <c r="A320" s="40"/>
      <c r="B320" s="300" t="s">
        <v>400</v>
      </c>
      <c r="C320" s="40" t="str">
        <f>'Material Rates_Master'!B154</f>
        <v>ea</v>
      </c>
      <c r="D320" s="240"/>
      <c r="E320" s="48">
        <f>'Material Rates_Master'!D154</f>
        <v>46.94</v>
      </c>
      <c r="F320" s="48">
        <f t="shared" si="12"/>
        <v>0</v>
      </c>
    </row>
    <row r="321" spans="1:6" x14ac:dyDescent="0.2">
      <c r="A321" s="40"/>
      <c r="B321" s="300" t="s">
        <v>401</v>
      </c>
      <c r="C321" s="40" t="str">
        <f>'Material Rates_Master'!B155</f>
        <v>ea</v>
      </c>
      <c r="D321" s="240"/>
      <c r="E321" s="48">
        <f>'Material Rates_Master'!D155</f>
        <v>8.4600000000000009</v>
      </c>
      <c r="F321" s="48">
        <f t="shared" si="12"/>
        <v>0</v>
      </c>
    </row>
    <row r="322" spans="1:6" x14ac:dyDescent="0.2">
      <c r="A322" s="40"/>
      <c r="B322" s="300" t="s">
        <v>402</v>
      </c>
      <c r="C322" s="40" t="str">
        <f>'Material Rates_Master'!B156</f>
        <v>ea</v>
      </c>
      <c r="D322" s="240"/>
      <c r="E322" s="48">
        <f>'Material Rates_Master'!D156</f>
        <v>5.74</v>
      </c>
      <c r="F322" s="48">
        <f t="shared" si="12"/>
        <v>0</v>
      </c>
    </row>
    <row r="323" spans="1:6" x14ac:dyDescent="0.2">
      <c r="A323" s="40"/>
      <c r="B323" s="300" t="s">
        <v>403</v>
      </c>
      <c r="C323" s="40" t="str">
        <f>'Material Rates_Master'!B157</f>
        <v>ea</v>
      </c>
      <c r="D323" s="240"/>
      <c r="E323" s="48">
        <f>'Material Rates_Master'!D157</f>
        <v>7.7</v>
      </c>
      <c r="F323" s="48">
        <f t="shared" si="12"/>
        <v>0</v>
      </c>
    </row>
    <row r="324" spans="1:6" x14ac:dyDescent="0.2">
      <c r="A324" s="40"/>
      <c r="B324" s="300" t="s">
        <v>404</v>
      </c>
      <c r="C324" s="40" t="str">
        <f>'Material Rates_Master'!B158</f>
        <v>ea</v>
      </c>
      <c r="D324" s="240"/>
      <c r="E324" s="48">
        <f>'Material Rates_Master'!D158</f>
        <v>10.19</v>
      </c>
      <c r="F324" s="48">
        <f t="shared" si="12"/>
        <v>0</v>
      </c>
    </row>
    <row r="325" spans="1:6" ht="9" customHeight="1" x14ac:dyDescent="0.2">
      <c r="A325" s="40"/>
      <c r="B325" s="300"/>
      <c r="C325" s="40">
        <f>'Material Rates_Master'!B159</f>
        <v>0</v>
      </c>
      <c r="D325" s="240"/>
      <c r="E325" s="48">
        <f>'Material Rates_Master'!D159</f>
        <v>0</v>
      </c>
      <c r="F325" s="48">
        <f t="shared" si="12"/>
        <v>0</v>
      </c>
    </row>
    <row r="326" spans="1:6" x14ac:dyDescent="0.2">
      <c r="A326" s="40"/>
      <c r="B326" s="300" t="s">
        <v>405</v>
      </c>
      <c r="C326" s="40" t="str">
        <f>'Material Rates_Master'!B160</f>
        <v>ea</v>
      </c>
      <c r="D326" s="37"/>
      <c r="E326" s="48">
        <f>'Material Rates_Master'!D160</f>
        <v>5.86</v>
      </c>
      <c r="F326" s="48">
        <f t="shared" si="12"/>
        <v>0</v>
      </c>
    </row>
    <row r="327" spans="1:6" x14ac:dyDescent="0.2">
      <c r="A327" s="40"/>
      <c r="B327" s="300" t="s">
        <v>406</v>
      </c>
      <c r="C327" s="40" t="str">
        <f>'Material Rates_Master'!B161</f>
        <v>ea</v>
      </c>
      <c r="D327" s="37"/>
      <c r="E327" s="48">
        <f>'Material Rates_Master'!D161</f>
        <v>4.41</v>
      </c>
      <c r="F327" s="48">
        <f t="shared" si="12"/>
        <v>0</v>
      </c>
    </row>
    <row r="328" spans="1:6" x14ac:dyDescent="0.2">
      <c r="A328" s="40"/>
      <c r="B328" s="300" t="s">
        <v>407</v>
      </c>
      <c r="C328" s="40" t="str">
        <f>'Material Rates_Master'!B162</f>
        <v>ea</v>
      </c>
      <c r="D328" s="37"/>
      <c r="E328" s="48">
        <f>'Material Rates_Master'!D162</f>
        <v>5.36</v>
      </c>
      <c r="F328" s="48">
        <f t="shared" si="12"/>
        <v>0</v>
      </c>
    </row>
    <row r="329" spans="1:6" x14ac:dyDescent="0.2">
      <c r="A329" s="40"/>
      <c r="B329" s="300" t="s">
        <v>408</v>
      </c>
      <c r="C329" s="40" t="str">
        <f>'Material Rates_Master'!B163</f>
        <v>ea</v>
      </c>
      <c r="D329" s="37"/>
      <c r="E329" s="48">
        <f>'Material Rates_Master'!D163</f>
        <v>4.4000000000000004</v>
      </c>
      <c r="F329" s="48">
        <f t="shared" si="12"/>
        <v>0</v>
      </c>
    </row>
    <row r="330" spans="1:6" x14ac:dyDescent="0.2">
      <c r="A330" s="40"/>
      <c r="B330" s="300" t="s">
        <v>409</v>
      </c>
      <c r="C330" s="40" t="str">
        <f>'Material Rates_Master'!B164</f>
        <v>ea</v>
      </c>
      <c r="D330" s="37"/>
      <c r="E330" s="48">
        <f>'Material Rates_Master'!D164</f>
        <v>10.64</v>
      </c>
      <c r="F330" s="48">
        <f t="shared" si="12"/>
        <v>0</v>
      </c>
    </row>
    <row r="331" spans="1:6" x14ac:dyDescent="0.2">
      <c r="A331" s="40"/>
      <c r="B331" s="300" t="s">
        <v>410</v>
      </c>
      <c r="C331" s="40" t="str">
        <f>'Material Rates_Master'!B165</f>
        <v>ea</v>
      </c>
      <c r="D331" s="37"/>
      <c r="E331" s="48">
        <f>'Material Rates_Master'!D165</f>
        <v>20</v>
      </c>
      <c r="F331" s="48">
        <f t="shared" si="12"/>
        <v>0</v>
      </c>
    </row>
    <row r="332" spans="1:6" x14ac:dyDescent="0.2">
      <c r="A332" s="40"/>
      <c r="B332" s="300" t="s">
        <v>411</v>
      </c>
      <c r="C332" s="40" t="str">
        <f>'Material Rates_Master'!B166</f>
        <v>ea</v>
      </c>
      <c r="D332" s="37"/>
      <c r="E332" s="48">
        <f>'Material Rates_Master'!D166</f>
        <v>19.5</v>
      </c>
      <c r="F332" s="48">
        <f t="shared" si="12"/>
        <v>0</v>
      </c>
    </row>
    <row r="333" spans="1:6" x14ac:dyDescent="0.2">
      <c r="A333" s="40"/>
      <c r="B333" s="300" t="s">
        <v>340</v>
      </c>
      <c r="C333" s="40" t="str">
        <f>'Material Rates_Master'!B167</f>
        <v>ea</v>
      </c>
      <c r="D333" s="37"/>
      <c r="E333" s="48">
        <f>'Material Rates_Master'!D167</f>
        <v>20</v>
      </c>
      <c r="F333" s="48">
        <f t="shared" si="12"/>
        <v>0</v>
      </c>
    </row>
    <row r="334" spans="1:6" ht="10.95" customHeight="1" x14ac:dyDescent="0.2">
      <c r="A334" s="40"/>
      <c r="B334" s="300"/>
      <c r="D334" s="37"/>
      <c r="E334" s="48"/>
      <c r="F334" s="48"/>
    </row>
    <row r="335" spans="1:6" x14ac:dyDescent="0.2">
      <c r="A335" s="40"/>
      <c r="B335" s="332" t="s">
        <v>412</v>
      </c>
      <c r="D335" s="37"/>
      <c r="E335" s="48"/>
      <c r="F335" s="48"/>
    </row>
    <row r="336" spans="1:6" ht="14.4" customHeight="1" x14ac:dyDescent="0.2">
      <c r="A336" s="40"/>
      <c r="B336" s="301" t="s">
        <v>354</v>
      </c>
      <c r="D336" s="37"/>
      <c r="E336" s="48"/>
      <c r="F336" s="48"/>
    </row>
    <row r="337" spans="1:6" x14ac:dyDescent="0.2">
      <c r="A337" s="40"/>
      <c r="B337" s="300" t="s">
        <v>413</v>
      </c>
      <c r="C337" s="40" t="str">
        <f>'Material Rates_Master'!B171</f>
        <v>ea</v>
      </c>
      <c r="D337" s="37"/>
      <c r="E337" s="48">
        <v>1388</v>
      </c>
      <c r="F337" s="48">
        <f t="shared" si="12"/>
        <v>0</v>
      </c>
    </row>
    <row r="338" spans="1:6" x14ac:dyDescent="0.2">
      <c r="A338" s="40"/>
      <c r="B338" s="300" t="s">
        <v>414</v>
      </c>
      <c r="C338" s="40" t="str">
        <f>'Material Rates_Master'!B172</f>
        <v>ea</v>
      </c>
      <c r="D338" s="37"/>
      <c r="E338" s="48">
        <f>'Material Rates_Master'!D172</f>
        <v>0</v>
      </c>
      <c r="F338" s="48">
        <f t="shared" si="12"/>
        <v>0</v>
      </c>
    </row>
    <row r="339" spans="1:6" x14ac:dyDescent="0.2">
      <c r="A339" s="40"/>
      <c r="B339" s="300" t="s">
        <v>415</v>
      </c>
      <c r="C339" s="40" t="s">
        <v>416</v>
      </c>
      <c r="D339" s="37"/>
      <c r="E339" s="48">
        <v>450</v>
      </c>
      <c r="F339" s="48">
        <f t="shared" si="12"/>
        <v>0</v>
      </c>
    </row>
    <row r="340" spans="1:6" x14ac:dyDescent="0.2">
      <c r="A340" s="40"/>
      <c r="B340" s="300" t="s">
        <v>417</v>
      </c>
      <c r="C340" s="40" t="str">
        <f>'Material Rates_Master'!B174</f>
        <v>ea</v>
      </c>
      <c r="D340" s="37"/>
      <c r="E340" s="48">
        <f>'Material Rates_Master'!D174</f>
        <v>0</v>
      </c>
      <c r="F340" s="48">
        <f t="shared" si="12"/>
        <v>0</v>
      </c>
    </row>
    <row r="341" spans="1:6" x14ac:dyDescent="0.2">
      <c r="A341" s="40"/>
      <c r="B341" s="300" t="s">
        <v>418</v>
      </c>
      <c r="C341" s="40" t="str">
        <f>'Material Rates_Master'!B175</f>
        <v>ea</v>
      </c>
      <c r="D341" s="37"/>
      <c r="E341" s="48">
        <f>'Material Rates_Master'!D175</f>
        <v>2178.48</v>
      </c>
      <c r="F341" s="48">
        <f t="shared" si="12"/>
        <v>0</v>
      </c>
    </row>
    <row r="342" spans="1:6" x14ac:dyDescent="0.2">
      <c r="A342" s="40"/>
      <c r="B342" s="300" t="s">
        <v>419</v>
      </c>
      <c r="C342" s="40" t="str">
        <f>'Material Rates_Master'!B176</f>
        <v>ea</v>
      </c>
      <c r="D342" s="37"/>
      <c r="E342" s="48">
        <f>'Material Rates_Master'!D176</f>
        <v>2178.48</v>
      </c>
      <c r="F342" s="48">
        <f>E342*D342</f>
        <v>0</v>
      </c>
    </row>
    <row r="343" spans="1:6" x14ac:dyDescent="0.2">
      <c r="E343" s="48"/>
      <c r="F343" s="48"/>
    </row>
    <row r="344" spans="1:6" s="40" customFormat="1" ht="14.4" x14ac:dyDescent="0.3">
      <c r="A344" s="324"/>
      <c r="B344" s="325" t="s">
        <v>420</v>
      </c>
      <c r="C344" s="42"/>
      <c r="D344" s="42"/>
      <c r="E344" s="45"/>
      <c r="F344" s="48"/>
    </row>
    <row r="345" spans="1:6" s="40" customFormat="1" ht="14.4" x14ac:dyDescent="0.3">
      <c r="A345" s="324"/>
      <c r="B345" s="327" t="s">
        <v>354</v>
      </c>
      <c r="C345" s="42"/>
      <c r="D345" s="42"/>
      <c r="E345" s="45"/>
      <c r="F345" s="48"/>
    </row>
    <row r="346" spans="1:6" s="40" customFormat="1" ht="14.4" x14ac:dyDescent="0.3">
      <c r="A346" s="324"/>
      <c r="B346" s="324"/>
      <c r="C346" s="42"/>
      <c r="D346" s="42"/>
      <c r="E346" s="45"/>
      <c r="F346" s="48"/>
    </row>
    <row r="347" spans="1:6" s="40" customFormat="1" ht="14.4" x14ac:dyDescent="0.3">
      <c r="A347" s="324"/>
      <c r="B347" s="324" t="s">
        <v>421</v>
      </c>
      <c r="C347" s="328" t="s">
        <v>149</v>
      </c>
      <c r="E347" s="326">
        <v>34.5</v>
      </c>
      <c r="F347" s="48">
        <f>E347*D347</f>
        <v>0</v>
      </c>
    </row>
    <row r="348" spans="1:6" s="40" customFormat="1" ht="14.4" x14ac:dyDescent="0.3">
      <c r="A348" s="324"/>
      <c r="B348" s="324" t="s">
        <v>423</v>
      </c>
      <c r="C348" s="328" t="s">
        <v>149</v>
      </c>
      <c r="E348" s="326">
        <v>12.31</v>
      </c>
      <c r="F348" s="48">
        <f t="shared" ref="F348:F411" si="13">E348*D348</f>
        <v>0</v>
      </c>
    </row>
    <row r="349" spans="1:6" s="40" customFormat="1" ht="14.4" x14ac:dyDescent="0.3">
      <c r="A349" s="324"/>
      <c r="B349" s="324" t="s">
        <v>424</v>
      </c>
      <c r="C349" s="328" t="s">
        <v>149</v>
      </c>
      <c r="E349" s="326">
        <v>9.66</v>
      </c>
      <c r="F349" s="48">
        <f t="shared" si="13"/>
        <v>0</v>
      </c>
    </row>
    <row r="350" spans="1:6" s="40" customFormat="1" ht="14.4" x14ac:dyDescent="0.3">
      <c r="A350" s="324"/>
      <c r="B350" s="324" t="s">
        <v>425</v>
      </c>
      <c r="C350" s="328" t="s">
        <v>149</v>
      </c>
      <c r="E350" s="326">
        <v>4.63</v>
      </c>
      <c r="F350" s="48">
        <f t="shared" si="13"/>
        <v>0</v>
      </c>
    </row>
    <row r="351" spans="1:6" s="40" customFormat="1" ht="14.4" x14ac:dyDescent="0.3">
      <c r="A351" s="324"/>
      <c r="B351" s="420" t="s">
        <v>426</v>
      </c>
      <c r="C351" s="328" t="s">
        <v>149</v>
      </c>
      <c r="E351" s="326">
        <v>5.4</v>
      </c>
      <c r="F351" s="48">
        <f t="shared" si="13"/>
        <v>0</v>
      </c>
    </row>
    <row r="352" spans="1:6" s="40" customFormat="1" ht="14.4" x14ac:dyDescent="0.3">
      <c r="A352" s="324"/>
      <c r="B352" s="420" t="s">
        <v>427</v>
      </c>
      <c r="C352" s="328" t="s">
        <v>149</v>
      </c>
      <c r="E352" s="326">
        <v>4.4000000000000004</v>
      </c>
      <c r="F352" s="48">
        <f t="shared" si="13"/>
        <v>0</v>
      </c>
    </row>
    <row r="353" spans="1:6" s="40" customFormat="1" ht="14.4" x14ac:dyDescent="0.3">
      <c r="A353" s="324"/>
      <c r="B353" s="324" t="s">
        <v>428</v>
      </c>
      <c r="C353" s="328" t="s">
        <v>149</v>
      </c>
      <c r="E353" s="326">
        <f>354.31/150</f>
        <v>2.3620666666666668</v>
      </c>
      <c r="F353" s="48">
        <f t="shared" si="13"/>
        <v>0</v>
      </c>
    </row>
    <row r="354" spans="1:6" ht="14.4" x14ac:dyDescent="0.3">
      <c r="A354" s="324"/>
      <c r="B354" s="420" t="s">
        <v>429</v>
      </c>
      <c r="C354" s="328" t="s">
        <v>149</v>
      </c>
      <c r="D354" s="40">
        <v>12</v>
      </c>
      <c r="E354" s="326">
        <v>2.1</v>
      </c>
      <c r="F354" s="48">
        <f t="shared" si="13"/>
        <v>25.200000000000003</v>
      </c>
    </row>
    <row r="355" spans="1:6" ht="14.4" x14ac:dyDescent="0.3">
      <c r="A355" s="324"/>
      <c r="B355" s="324" t="s">
        <v>430</v>
      </c>
      <c r="C355" s="328" t="s">
        <v>149</v>
      </c>
      <c r="E355" s="326">
        <v>1.22</v>
      </c>
      <c r="F355" s="48">
        <f t="shared" si="13"/>
        <v>0</v>
      </c>
    </row>
    <row r="356" spans="1:6" ht="14.4" x14ac:dyDescent="0.3">
      <c r="A356" s="324"/>
      <c r="B356" s="324" t="s">
        <v>431</v>
      </c>
      <c r="C356" s="328" t="s">
        <v>149</v>
      </c>
      <c r="E356" s="326">
        <v>2.4300000000000002</v>
      </c>
      <c r="F356" s="48">
        <f t="shared" si="13"/>
        <v>0</v>
      </c>
    </row>
    <row r="357" spans="1:6" ht="14.4" x14ac:dyDescent="0.3">
      <c r="A357" s="324"/>
      <c r="B357" s="324" t="s">
        <v>432</v>
      </c>
      <c r="C357" s="328" t="s">
        <v>149</v>
      </c>
      <c r="E357" s="326">
        <v>1.38</v>
      </c>
      <c r="F357" s="48">
        <f t="shared" si="13"/>
        <v>0</v>
      </c>
    </row>
    <row r="358" spans="1:6" ht="14.4" x14ac:dyDescent="0.3">
      <c r="A358" s="324"/>
      <c r="B358" s="324" t="s">
        <v>433</v>
      </c>
      <c r="C358" s="328" t="s">
        <v>115</v>
      </c>
      <c r="E358" s="326">
        <v>22</v>
      </c>
      <c r="F358" s="48">
        <f t="shared" si="13"/>
        <v>0</v>
      </c>
    </row>
    <row r="359" spans="1:6" ht="14.4" x14ac:dyDescent="0.3">
      <c r="A359" s="324"/>
      <c r="B359" s="324" t="s">
        <v>434</v>
      </c>
      <c r="C359" s="328" t="s">
        <v>115</v>
      </c>
      <c r="E359" s="326">
        <v>57.75</v>
      </c>
      <c r="F359" s="48">
        <f t="shared" si="13"/>
        <v>0</v>
      </c>
    </row>
    <row r="360" spans="1:6" ht="14.4" x14ac:dyDescent="0.3">
      <c r="A360" s="324"/>
      <c r="B360" s="324" t="s">
        <v>435</v>
      </c>
      <c r="C360" s="328" t="s">
        <v>115</v>
      </c>
      <c r="E360" s="326">
        <v>139</v>
      </c>
      <c r="F360" s="48">
        <f t="shared" si="13"/>
        <v>0</v>
      </c>
    </row>
    <row r="361" spans="1:6" ht="14.4" x14ac:dyDescent="0.3">
      <c r="A361" s="324"/>
      <c r="B361" s="324" t="s">
        <v>436</v>
      </c>
      <c r="C361" s="328" t="s">
        <v>115</v>
      </c>
      <c r="E361" s="326">
        <v>104.15</v>
      </c>
      <c r="F361" s="48">
        <f t="shared" si="13"/>
        <v>0</v>
      </c>
    </row>
    <row r="362" spans="1:6" ht="14.4" x14ac:dyDescent="0.3">
      <c r="A362" s="324"/>
      <c r="B362" s="324" t="s">
        <v>437</v>
      </c>
      <c r="C362" s="328" t="s">
        <v>115</v>
      </c>
      <c r="E362" s="326">
        <v>26.1</v>
      </c>
      <c r="F362" s="48">
        <f t="shared" si="13"/>
        <v>0</v>
      </c>
    </row>
    <row r="363" spans="1:6" ht="14.4" x14ac:dyDescent="0.3">
      <c r="A363" s="324"/>
      <c r="B363" s="324" t="s">
        <v>438</v>
      </c>
      <c r="C363" s="328" t="s">
        <v>115</v>
      </c>
      <c r="E363" s="326">
        <v>37.5</v>
      </c>
      <c r="F363" s="48">
        <f t="shared" si="13"/>
        <v>0</v>
      </c>
    </row>
    <row r="364" spans="1:6" ht="14.4" x14ac:dyDescent="0.3">
      <c r="A364" s="324"/>
      <c r="B364" s="324" t="s">
        <v>439</v>
      </c>
      <c r="C364" s="328" t="s">
        <v>115</v>
      </c>
      <c r="E364" s="326">
        <v>35.93</v>
      </c>
      <c r="F364" s="48">
        <f t="shared" si="13"/>
        <v>0</v>
      </c>
    </row>
    <row r="365" spans="1:6" ht="14.4" x14ac:dyDescent="0.3">
      <c r="A365" s="324"/>
      <c r="B365" s="420" t="s">
        <v>440</v>
      </c>
      <c r="C365" s="328" t="s">
        <v>115</v>
      </c>
      <c r="E365" s="326">
        <v>35</v>
      </c>
      <c r="F365" s="48">
        <f t="shared" si="13"/>
        <v>0</v>
      </c>
    </row>
    <row r="366" spans="1:6" ht="14.4" x14ac:dyDescent="0.3">
      <c r="A366" s="324"/>
      <c r="B366" s="420" t="s">
        <v>441</v>
      </c>
      <c r="C366" s="328" t="s">
        <v>115</v>
      </c>
      <c r="E366" s="326">
        <v>35</v>
      </c>
      <c r="F366" s="48">
        <f t="shared" si="13"/>
        <v>0</v>
      </c>
    </row>
    <row r="367" spans="1:6" ht="14.4" x14ac:dyDescent="0.3">
      <c r="A367" s="324"/>
      <c r="B367" s="420" t="s">
        <v>442</v>
      </c>
      <c r="C367" s="328" t="s">
        <v>115</v>
      </c>
      <c r="E367" s="326">
        <v>35</v>
      </c>
      <c r="F367" s="48">
        <f t="shared" si="13"/>
        <v>0</v>
      </c>
    </row>
    <row r="368" spans="1:6" ht="14.4" x14ac:dyDescent="0.3">
      <c r="A368" s="324"/>
      <c r="B368" s="324" t="s">
        <v>443</v>
      </c>
      <c r="C368" s="328" t="s">
        <v>115</v>
      </c>
      <c r="E368" s="326">
        <v>20</v>
      </c>
      <c r="F368" s="48">
        <f t="shared" si="13"/>
        <v>0</v>
      </c>
    </row>
    <row r="369" spans="1:6" ht="14.4" x14ac:dyDescent="0.3">
      <c r="A369" s="324"/>
      <c r="B369" s="324" t="s">
        <v>444</v>
      </c>
      <c r="C369" s="328" t="s">
        <v>115</v>
      </c>
      <c r="E369" s="326">
        <v>50</v>
      </c>
      <c r="F369" s="48">
        <f t="shared" si="13"/>
        <v>0</v>
      </c>
    </row>
    <row r="370" spans="1:6" ht="14.4" x14ac:dyDescent="0.3">
      <c r="A370" s="324"/>
      <c r="B370" s="324" t="s">
        <v>445</v>
      </c>
      <c r="C370" s="328" t="s">
        <v>115</v>
      </c>
      <c r="E370" s="326">
        <v>54</v>
      </c>
      <c r="F370" s="48">
        <f t="shared" si="13"/>
        <v>0</v>
      </c>
    </row>
    <row r="371" spans="1:6" ht="14.4" x14ac:dyDescent="0.3">
      <c r="A371" s="324"/>
      <c r="B371" s="420" t="s">
        <v>446</v>
      </c>
      <c r="C371" s="328" t="s">
        <v>115</v>
      </c>
      <c r="E371" s="326"/>
      <c r="F371" s="48">
        <f t="shared" si="13"/>
        <v>0</v>
      </c>
    </row>
    <row r="372" spans="1:6" ht="14.4" x14ac:dyDescent="0.3">
      <c r="A372" s="324"/>
      <c r="B372" s="420" t="s">
        <v>447</v>
      </c>
      <c r="C372" s="328" t="s">
        <v>115</v>
      </c>
      <c r="E372" s="326">
        <v>15.55</v>
      </c>
      <c r="F372" s="48">
        <f t="shared" si="13"/>
        <v>0</v>
      </c>
    </row>
    <row r="373" spans="1:6" ht="14.4" x14ac:dyDescent="0.3">
      <c r="A373" s="324"/>
      <c r="B373" s="420" t="s">
        <v>448</v>
      </c>
      <c r="C373" s="419" t="s">
        <v>115</v>
      </c>
      <c r="E373" s="326">
        <v>15</v>
      </c>
      <c r="F373" s="48">
        <f t="shared" si="13"/>
        <v>0</v>
      </c>
    </row>
    <row r="374" spans="1:6" ht="14.4" x14ac:dyDescent="0.3">
      <c r="A374" s="324"/>
      <c r="B374" s="420" t="s">
        <v>449</v>
      </c>
      <c r="C374" s="328" t="s">
        <v>115</v>
      </c>
      <c r="E374" s="326">
        <v>10.87</v>
      </c>
      <c r="F374" s="48">
        <f t="shared" si="13"/>
        <v>0</v>
      </c>
    </row>
    <row r="375" spans="1:6" ht="14.4" x14ac:dyDescent="0.3">
      <c r="A375" s="324"/>
      <c r="B375" s="420" t="s">
        <v>450</v>
      </c>
      <c r="C375" s="328" t="s">
        <v>115</v>
      </c>
      <c r="E375" s="326">
        <v>55</v>
      </c>
      <c r="F375" s="48">
        <f t="shared" si="13"/>
        <v>0</v>
      </c>
    </row>
    <row r="376" spans="1:6" ht="14.4" x14ac:dyDescent="0.3">
      <c r="A376" s="324"/>
      <c r="B376" s="420" t="s">
        <v>451</v>
      </c>
      <c r="C376" s="328" t="s">
        <v>115</v>
      </c>
      <c r="E376" s="326">
        <v>55</v>
      </c>
      <c r="F376" s="48">
        <f t="shared" si="13"/>
        <v>0</v>
      </c>
    </row>
    <row r="377" spans="1:6" ht="14.4" x14ac:dyDescent="0.3">
      <c r="A377" s="324"/>
      <c r="B377" s="324" t="s">
        <v>452</v>
      </c>
      <c r="C377" s="328" t="s">
        <v>115</v>
      </c>
      <c r="E377" s="326">
        <v>35</v>
      </c>
      <c r="F377" s="48">
        <f t="shared" si="13"/>
        <v>0</v>
      </c>
    </row>
    <row r="378" spans="1:6" ht="14.4" x14ac:dyDescent="0.3">
      <c r="A378" s="324"/>
      <c r="B378" s="324" t="s">
        <v>453</v>
      </c>
      <c r="C378" s="328" t="s">
        <v>115</v>
      </c>
      <c r="E378" s="326">
        <v>35</v>
      </c>
      <c r="F378" s="48">
        <f t="shared" si="13"/>
        <v>0</v>
      </c>
    </row>
    <row r="379" spans="1:6" ht="14.4" x14ac:dyDescent="0.3">
      <c r="A379" s="324"/>
      <c r="B379" s="324" t="s">
        <v>454</v>
      </c>
      <c r="C379" s="328" t="s">
        <v>115</v>
      </c>
      <c r="E379" s="326">
        <v>35</v>
      </c>
      <c r="F379" s="48">
        <f t="shared" si="13"/>
        <v>0</v>
      </c>
    </row>
    <row r="380" spans="1:6" ht="14.4" x14ac:dyDescent="0.3">
      <c r="A380" s="324"/>
      <c r="B380" s="420" t="s">
        <v>455</v>
      </c>
      <c r="C380" s="328" t="s">
        <v>115</v>
      </c>
      <c r="E380" s="326">
        <v>35</v>
      </c>
      <c r="F380" s="48">
        <f t="shared" si="13"/>
        <v>0</v>
      </c>
    </row>
    <row r="381" spans="1:6" ht="14.4" x14ac:dyDescent="0.3">
      <c r="A381" s="324"/>
      <c r="B381" s="420" t="s">
        <v>456</v>
      </c>
      <c r="C381" s="328" t="s">
        <v>115</v>
      </c>
      <c r="E381" s="326">
        <v>35</v>
      </c>
      <c r="F381" s="48">
        <f t="shared" si="13"/>
        <v>0</v>
      </c>
    </row>
    <row r="382" spans="1:6" ht="14.4" x14ac:dyDescent="0.3">
      <c r="A382" s="324"/>
      <c r="B382" s="324" t="s">
        <v>457</v>
      </c>
      <c r="C382" s="328" t="s">
        <v>115</v>
      </c>
      <c r="E382" s="326">
        <v>35</v>
      </c>
      <c r="F382" s="48">
        <f t="shared" si="13"/>
        <v>0</v>
      </c>
    </row>
    <row r="383" spans="1:6" ht="14.4" x14ac:dyDescent="0.3">
      <c r="A383" s="324"/>
      <c r="B383" s="324" t="s">
        <v>458</v>
      </c>
      <c r="C383" s="328" t="s">
        <v>115</v>
      </c>
      <c r="E383" s="326">
        <v>35</v>
      </c>
      <c r="F383" s="48">
        <f t="shared" si="13"/>
        <v>0</v>
      </c>
    </row>
    <row r="384" spans="1:6" ht="14.4" x14ac:dyDescent="0.3">
      <c r="A384" s="324"/>
      <c r="B384" s="420" t="s">
        <v>459</v>
      </c>
      <c r="C384" s="328" t="s">
        <v>115</v>
      </c>
      <c r="E384" s="326">
        <v>26</v>
      </c>
      <c r="F384" s="48">
        <f t="shared" si="13"/>
        <v>0</v>
      </c>
    </row>
    <row r="385" spans="1:7" ht="14.4" x14ac:dyDescent="0.3">
      <c r="A385" s="324"/>
      <c r="B385" s="420" t="s">
        <v>460</v>
      </c>
      <c r="C385" s="328" t="s">
        <v>115</v>
      </c>
      <c r="E385" s="326">
        <v>35</v>
      </c>
      <c r="F385" s="48">
        <f t="shared" si="13"/>
        <v>0</v>
      </c>
    </row>
    <row r="386" spans="1:7" ht="14.4" x14ac:dyDescent="0.3">
      <c r="A386" s="324"/>
      <c r="B386" s="324" t="s">
        <v>461</v>
      </c>
      <c r="C386" s="328" t="s">
        <v>115</v>
      </c>
      <c r="D386" s="40">
        <v>1</v>
      </c>
      <c r="E386" s="326">
        <v>10.87</v>
      </c>
      <c r="F386" s="48">
        <f t="shared" si="13"/>
        <v>10.87</v>
      </c>
    </row>
    <row r="387" spans="1:7" ht="14.4" x14ac:dyDescent="0.3">
      <c r="A387" s="324"/>
      <c r="B387" s="324" t="s">
        <v>462</v>
      </c>
      <c r="C387" s="328" t="s">
        <v>115</v>
      </c>
      <c r="D387" s="40">
        <v>1</v>
      </c>
      <c r="E387" s="326">
        <v>35</v>
      </c>
      <c r="F387" s="48">
        <f t="shared" si="13"/>
        <v>35</v>
      </c>
    </row>
    <row r="388" spans="1:7" ht="14.4" x14ac:dyDescent="0.3">
      <c r="A388" s="324"/>
      <c r="B388" s="420" t="s">
        <v>463</v>
      </c>
      <c r="C388" s="328" t="s">
        <v>115</v>
      </c>
      <c r="E388" s="326">
        <v>20</v>
      </c>
      <c r="F388" s="48">
        <f t="shared" si="13"/>
        <v>0</v>
      </c>
    </row>
    <row r="389" spans="1:7" ht="14.4" x14ac:dyDescent="0.3">
      <c r="A389" s="324"/>
      <c r="B389" s="420" t="s">
        <v>464</v>
      </c>
      <c r="C389" s="328" t="s">
        <v>115</v>
      </c>
      <c r="E389" s="326">
        <v>20</v>
      </c>
      <c r="F389" s="48">
        <f t="shared" si="13"/>
        <v>0</v>
      </c>
    </row>
    <row r="390" spans="1:7" ht="14.4" x14ac:dyDescent="0.3">
      <c r="A390" s="324"/>
      <c r="B390" s="420" t="s">
        <v>465</v>
      </c>
      <c r="C390" s="328" t="s">
        <v>115</v>
      </c>
      <c r="E390" s="326">
        <v>35</v>
      </c>
      <c r="F390" s="48">
        <f t="shared" si="13"/>
        <v>0</v>
      </c>
      <c r="G390" s="326"/>
    </row>
    <row r="391" spans="1:7" ht="14.4" x14ac:dyDescent="0.3">
      <c r="A391" s="324"/>
      <c r="B391" s="324" t="s">
        <v>466</v>
      </c>
      <c r="C391" s="328" t="s">
        <v>115</v>
      </c>
      <c r="E391" s="326">
        <v>102.5</v>
      </c>
      <c r="F391" s="48">
        <f t="shared" si="13"/>
        <v>0</v>
      </c>
      <c r="G391" s="326"/>
    </row>
    <row r="392" spans="1:7" ht="14.4" x14ac:dyDescent="0.3">
      <c r="A392" s="324"/>
      <c r="B392" s="324" t="s">
        <v>467</v>
      </c>
      <c r="C392" s="328" t="s">
        <v>115</v>
      </c>
      <c r="E392" s="326">
        <v>235</v>
      </c>
      <c r="F392" s="48">
        <f t="shared" si="13"/>
        <v>0</v>
      </c>
      <c r="G392" s="326"/>
    </row>
    <row r="393" spans="1:7" ht="14.4" x14ac:dyDescent="0.3">
      <c r="A393" s="324"/>
      <c r="B393" s="324" t="s">
        <v>468</v>
      </c>
      <c r="C393" s="328" t="s">
        <v>115</v>
      </c>
      <c r="E393" s="326">
        <v>100</v>
      </c>
      <c r="F393" s="48">
        <f t="shared" si="13"/>
        <v>0</v>
      </c>
      <c r="G393" s="326"/>
    </row>
    <row r="394" spans="1:7" ht="14.4" x14ac:dyDescent="0.3">
      <c r="A394" s="324"/>
      <c r="B394" s="324" t="s">
        <v>469</v>
      </c>
      <c r="C394" s="328" t="s">
        <v>115</v>
      </c>
      <c r="E394" s="326">
        <v>47.41</v>
      </c>
      <c r="F394" s="48">
        <f t="shared" si="13"/>
        <v>0</v>
      </c>
      <c r="G394" s="326"/>
    </row>
    <row r="395" spans="1:7" ht="14.4" x14ac:dyDescent="0.3">
      <c r="A395" s="324"/>
      <c r="B395" s="324" t="s">
        <v>470</v>
      </c>
      <c r="C395" s="328" t="s">
        <v>115</v>
      </c>
      <c r="E395" s="326">
        <v>41.69</v>
      </c>
      <c r="F395" s="48">
        <f t="shared" si="13"/>
        <v>0</v>
      </c>
      <c r="G395" s="326"/>
    </row>
    <row r="396" spans="1:7" ht="14.4" x14ac:dyDescent="0.3">
      <c r="A396" s="324"/>
      <c r="B396" s="324" t="s">
        <v>471</v>
      </c>
      <c r="C396" s="328" t="s">
        <v>115</v>
      </c>
      <c r="E396" s="326">
        <v>85.55</v>
      </c>
      <c r="F396" s="48">
        <f t="shared" si="13"/>
        <v>0</v>
      </c>
      <c r="G396" s="326"/>
    </row>
    <row r="397" spans="1:7" ht="14.4" x14ac:dyDescent="0.3">
      <c r="A397" s="324"/>
      <c r="B397" s="324"/>
      <c r="C397" s="328" t="s">
        <v>115</v>
      </c>
      <c r="E397" s="326"/>
      <c r="F397" s="48">
        <f t="shared" si="13"/>
        <v>0</v>
      </c>
    </row>
    <row r="398" spans="1:7" ht="14.4" x14ac:dyDescent="0.3">
      <c r="A398" s="324"/>
      <c r="B398" s="324" t="s">
        <v>473</v>
      </c>
      <c r="C398" s="328" t="s">
        <v>115</v>
      </c>
      <c r="E398" s="326">
        <v>70</v>
      </c>
      <c r="F398" s="48">
        <f t="shared" si="13"/>
        <v>0</v>
      </c>
      <c r="G398" s="326"/>
    </row>
    <row r="399" spans="1:7" ht="14.4" x14ac:dyDescent="0.3">
      <c r="A399" s="324"/>
      <c r="B399" s="324" t="s">
        <v>474</v>
      </c>
      <c r="C399" s="328" t="s">
        <v>115</v>
      </c>
      <c r="E399" s="326">
        <v>19</v>
      </c>
      <c r="F399" s="48">
        <f t="shared" si="13"/>
        <v>0</v>
      </c>
      <c r="G399" s="326"/>
    </row>
    <row r="400" spans="1:7" ht="14.4" x14ac:dyDescent="0.3">
      <c r="A400" s="324"/>
      <c r="B400" s="324" t="s">
        <v>475</v>
      </c>
      <c r="C400" s="328" t="s">
        <v>115</v>
      </c>
      <c r="E400" s="326">
        <v>16</v>
      </c>
      <c r="F400" s="48">
        <f t="shared" si="13"/>
        <v>0</v>
      </c>
      <c r="G400" s="326"/>
    </row>
    <row r="401" spans="1:7" ht="14.4" x14ac:dyDescent="0.3">
      <c r="A401" s="324"/>
      <c r="B401" s="324"/>
      <c r="C401" s="328"/>
      <c r="E401" s="326"/>
      <c r="F401" s="48">
        <f t="shared" si="13"/>
        <v>0</v>
      </c>
    </row>
    <row r="402" spans="1:7" ht="14.4" x14ac:dyDescent="0.3">
      <c r="A402" s="324"/>
      <c r="B402" s="420" t="s">
        <v>476</v>
      </c>
      <c r="C402" s="328"/>
      <c r="E402" s="326">
        <v>40.21</v>
      </c>
      <c r="F402" s="48">
        <f t="shared" si="13"/>
        <v>0</v>
      </c>
      <c r="G402" s="326"/>
    </row>
    <row r="403" spans="1:7" ht="14.4" x14ac:dyDescent="0.3">
      <c r="A403" s="324"/>
      <c r="B403" s="324" t="s">
        <v>479</v>
      </c>
      <c r="C403" s="328" t="s">
        <v>149</v>
      </c>
      <c r="E403" s="329">
        <v>32</v>
      </c>
      <c r="F403" s="48">
        <f t="shared" si="13"/>
        <v>0</v>
      </c>
      <c r="G403" s="329"/>
    </row>
    <row r="404" spans="1:7" ht="14.4" x14ac:dyDescent="0.3">
      <c r="A404" s="324"/>
      <c r="B404" s="421" t="s">
        <v>480</v>
      </c>
      <c r="C404" s="397" t="s">
        <v>149</v>
      </c>
      <c r="D404" s="398">
        <v>14</v>
      </c>
      <c r="E404" s="411">
        <f>119.88/6</f>
        <v>19.98</v>
      </c>
      <c r="F404" s="400">
        <f t="shared" si="13"/>
        <v>279.72000000000003</v>
      </c>
      <c r="G404" s="329"/>
    </row>
    <row r="405" spans="1:7" ht="14.4" x14ac:dyDescent="0.3">
      <c r="A405" s="324"/>
      <c r="B405" s="324" t="s">
        <v>481</v>
      </c>
      <c r="C405" s="328" t="s">
        <v>149</v>
      </c>
      <c r="E405" s="329">
        <v>16.329999999999998</v>
      </c>
      <c r="F405" s="48">
        <f t="shared" si="13"/>
        <v>0</v>
      </c>
      <c r="G405" s="329"/>
    </row>
    <row r="406" spans="1:7" ht="14.4" x14ac:dyDescent="0.3">
      <c r="A406" s="324"/>
      <c r="B406" s="324" t="s">
        <v>482</v>
      </c>
      <c r="C406" s="328" t="s">
        <v>115</v>
      </c>
      <c r="E406" s="329">
        <v>17.52</v>
      </c>
      <c r="F406" s="48">
        <f t="shared" si="13"/>
        <v>0</v>
      </c>
      <c r="G406" s="329"/>
    </row>
    <row r="407" spans="1:7" ht="14.4" x14ac:dyDescent="0.3">
      <c r="A407" s="324"/>
      <c r="B407" s="421" t="s">
        <v>483</v>
      </c>
      <c r="C407" s="397" t="s">
        <v>149</v>
      </c>
      <c r="D407" s="398">
        <v>2</v>
      </c>
      <c r="E407" s="411">
        <v>15</v>
      </c>
      <c r="F407" s="400">
        <f t="shared" si="13"/>
        <v>30</v>
      </c>
      <c r="G407" s="329"/>
    </row>
    <row r="408" spans="1:7" ht="14.4" x14ac:dyDescent="0.3">
      <c r="A408" s="324"/>
      <c r="B408" s="420" t="s">
        <v>970</v>
      </c>
      <c r="C408" s="419" t="s">
        <v>115</v>
      </c>
      <c r="E408" s="329">
        <v>7.17</v>
      </c>
      <c r="F408" s="48">
        <f t="shared" si="13"/>
        <v>0</v>
      </c>
      <c r="G408" s="329"/>
    </row>
    <row r="409" spans="1:7" ht="14.4" x14ac:dyDescent="0.3">
      <c r="A409" s="324"/>
      <c r="B409" s="324" t="s">
        <v>484</v>
      </c>
      <c r="C409" s="328" t="s">
        <v>115</v>
      </c>
      <c r="E409" s="329">
        <v>10.06</v>
      </c>
      <c r="F409" s="48">
        <f t="shared" si="13"/>
        <v>0</v>
      </c>
      <c r="G409" s="329"/>
    </row>
    <row r="410" spans="1:7" ht="14.4" x14ac:dyDescent="0.3">
      <c r="A410" s="324"/>
      <c r="B410" s="324" t="s">
        <v>485</v>
      </c>
      <c r="C410" s="328" t="s">
        <v>115</v>
      </c>
      <c r="E410" s="329">
        <f>58.71/6</f>
        <v>9.7850000000000001</v>
      </c>
      <c r="F410" s="48">
        <f t="shared" si="13"/>
        <v>0</v>
      </c>
      <c r="G410" s="329"/>
    </row>
    <row r="411" spans="1:7" ht="14.4" x14ac:dyDescent="0.3">
      <c r="A411" s="324"/>
      <c r="B411" s="420" t="s">
        <v>486</v>
      </c>
      <c r="C411" s="328" t="s">
        <v>149</v>
      </c>
      <c r="E411" s="329">
        <v>5.61</v>
      </c>
      <c r="F411" s="48">
        <f t="shared" si="13"/>
        <v>0</v>
      </c>
      <c r="G411" s="329"/>
    </row>
    <row r="412" spans="1:7" ht="14.4" x14ac:dyDescent="0.3">
      <c r="A412" s="324"/>
      <c r="B412" s="324" t="s">
        <v>487</v>
      </c>
      <c r="C412" s="419" t="s">
        <v>115</v>
      </c>
      <c r="E412" s="326">
        <v>1.4</v>
      </c>
      <c r="F412" s="48">
        <f t="shared" ref="F412:F475" si="14">E412*D412</f>
        <v>0</v>
      </c>
      <c r="G412" s="326"/>
    </row>
    <row r="413" spans="1:7" ht="14.4" x14ac:dyDescent="0.3">
      <c r="A413" s="324"/>
      <c r="B413" s="324" t="s">
        <v>488</v>
      </c>
      <c r="C413" s="328" t="s">
        <v>115</v>
      </c>
      <c r="E413" s="326">
        <v>1.38</v>
      </c>
      <c r="F413" s="48">
        <f t="shared" si="14"/>
        <v>0</v>
      </c>
      <c r="G413" s="326"/>
    </row>
    <row r="414" spans="1:7" ht="14.4" x14ac:dyDescent="0.3">
      <c r="A414" s="324"/>
      <c r="B414" s="324" t="s">
        <v>489</v>
      </c>
      <c r="C414" s="328" t="s">
        <v>115</v>
      </c>
      <c r="E414" s="326">
        <v>1.32</v>
      </c>
      <c r="F414" s="48">
        <f t="shared" si="14"/>
        <v>0</v>
      </c>
      <c r="G414" s="326"/>
    </row>
    <row r="415" spans="1:7" ht="14.4" x14ac:dyDescent="0.3">
      <c r="A415" s="324"/>
      <c r="B415" s="324" t="s">
        <v>490</v>
      </c>
      <c r="C415" s="328" t="s">
        <v>115</v>
      </c>
      <c r="E415" s="326">
        <v>1.24</v>
      </c>
      <c r="F415" s="48">
        <f t="shared" si="14"/>
        <v>0</v>
      </c>
      <c r="G415" s="326"/>
    </row>
    <row r="416" spans="1:7" ht="14.4" x14ac:dyDescent="0.3">
      <c r="A416" s="324"/>
      <c r="B416" s="324" t="s">
        <v>491</v>
      </c>
      <c r="C416" s="328" t="s">
        <v>115</v>
      </c>
      <c r="E416" s="326">
        <v>5.0999999999999996</v>
      </c>
      <c r="F416" s="48">
        <f t="shared" si="14"/>
        <v>0</v>
      </c>
      <c r="G416" s="326"/>
    </row>
    <row r="417" spans="1:7" ht="14.4" x14ac:dyDescent="0.3">
      <c r="A417" s="324"/>
      <c r="B417" s="324"/>
      <c r="C417" s="328" t="s">
        <v>149</v>
      </c>
      <c r="E417" s="326"/>
      <c r="F417" s="48">
        <f t="shared" si="14"/>
        <v>0</v>
      </c>
    </row>
    <row r="418" spans="1:7" ht="14.4" x14ac:dyDescent="0.3">
      <c r="A418" s="324"/>
      <c r="B418" s="421" t="s">
        <v>495</v>
      </c>
      <c r="C418" s="424" t="s">
        <v>115</v>
      </c>
      <c r="D418" s="398">
        <v>3</v>
      </c>
      <c r="E418" s="399">
        <v>14.31</v>
      </c>
      <c r="F418" s="400">
        <f t="shared" si="14"/>
        <v>42.93</v>
      </c>
      <c r="G418" s="326"/>
    </row>
    <row r="419" spans="1:7" ht="14.4" x14ac:dyDescent="0.3">
      <c r="A419" s="324"/>
      <c r="B419" s="420" t="s">
        <v>496</v>
      </c>
      <c r="C419" s="328" t="s">
        <v>115</v>
      </c>
      <c r="E419" s="326">
        <v>7.17</v>
      </c>
      <c r="F419" s="48">
        <f t="shared" si="14"/>
        <v>0</v>
      </c>
      <c r="G419" s="326"/>
    </row>
    <row r="420" spans="1:7" ht="14.4" x14ac:dyDescent="0.3">
      <c r="A420" s="324"/>
      <c r="B420" s="420" t="s">
        <v>497</v>
      </c>
      <c r="C420" s="328" t="s">
        <v>115</v>
      </c>
      <c r="E420" s="326">
        <v>3.76</v>
      </c>
      <c r="F420" s="48">
        <f t="shared" si="14"/>
        <v>0</v>
      </c>
      <c r="G420" s="326"/>
    </row>
    <row r="421" spans="1:7" ht="14.4" x14ac:dyDescent="0.3">
      <c r="A421" s="324"/>
      <c r="B421" s="420"/>
      <c r="C421" s="328"/>
      <c r="E421" s="326"/>
      <c r="F421" s="48">
        <f t="shared" si="14"/>
        <v>0</v>
      </c>
      <c r="G421" s="326"/>
    </row>
    <row r="422" spans="1:7" ht="14.4" x14ac:dyDescent="0.3">
      <c r="A422" s="324"/>
      <c r="B422" s="324"/>
      <c r="C422" s="328"/>
      <c r="E422" s="326"/>
      <c r="F422" s="48">
        <f t="shared" si="14"/>
        <v>0</v>
      </c>
    </row>
    <row r="423" spans="1:7" ht="14.4" x14ac:dyDescent="0.3">
      <c r="A423" s="324"/>
      <c r="B423" s="324"/>
      <c r="C423" s="328"/>
      <c r="E423" s="326"/>
      <c r="F423" s="48">
        <f t="shared" si="14"/>
        <v>0</v>
      </c>
    </row>
    <row r="424" spans="1:7" ht="14.4" x14ac:dyDescent="0.3">
      <c r="A424" s="324"/>
      <c r="B424" s="324"/>
      <c r="C424" s="328"/>
      <c r="E424" s="326"/>
      <c r="F424" s="48">
        <f t="shared" si="14"/>
        <v>0</v>
      </c>
    </row>
    <row r="425" spans="1:7" ht="14.4" x14ac:dyDescent="0.3">
      <c r="A425" s="420" t="s">
        <v>498</v>
      </c>
      <c r="B425" s="324"/>
      <c r="C425" s="328"/>
      <c r="E425" s="326"/>
      <c r="F425" s="48">
        <f t="shared" si="14"/>
        <v>0</v>
      </c>
    </row>
    <row r="426" spans="1:7" ht="14.4" x14ac:dyDescent="0.3">
      <c r="A426" s="324"/>
      <c r="B426" s="324" t="s">
        <v>499</v>
      </c>
      <c r="C426" s="419" t="s">
        <v>115</v>
      </c>
      <c r="E426" s="326">
        <v>13.5</v>
      </c>
      <c r="F426" s="48">
        <f t="shared" si="14"/>
        <v>0</v>
      </c>
      <c r="G426" s="326"/>
    </row>
    <row r="427" spans="1:7" ht="14.4" x14ac:dyDescent="0.3">
      <c r="A427" s="324"/>
      <c r="B427" s="324" t="s">
        <v>500</v>
      </c>
      <c r="C427" s="328" t="s">
        <v>115</v>
      </c>
      <c r="E427" s="326">
        <v>13.5</v>
      </c>
      <c r="F427" s="48">
        <f t="shared" si="14"/>
        <v>0</v>
      </c>
      <c r="G427" s="326"/>
    </row>
    <row r="428" spans="1:7" ht="14.4" x14ac:dyDescent="0.3">
      <c r="A428" s="324"/>
      <c r="B428" s="324" t="s">
        <v>501</v>
      </c>
      <c r="C428" s="328" t="s">
        <v>115</v>
      </c>
      <c r="E428" s="326">
        <v>9.5</v>
      </c>
      <c r="F428" s="48">
        <f t="shared" si="14"/>
        <v>0</v>
      </c>
      <c r="G428" s="326"/>
    </row>
    <row r="429" spans="1:7" ht="14.4" x14ac:dyDescent="0.3">
      <c r="A429" s="324"/>
      <c r="B429" s="324" t="s">
        <v>502</v>
      </c>
      <c r="C429" s="328" t="s">
        <v>115</v>
      </c>
      <c r="E429" s="326">
        <v>18.5</v>
      </c>
      <c r="F429" s="48">
        <f t="shared" si="14"/>
        <v>0</v>
      </c>
      <c r="G429" s="326"/>
    </row>
    <row r="430" spans="1:7" ht="14.4" x14ac:dyDescent="0.3">
      <c r="A430" s="324"/>
      <c r="B430" s="324" t="s">
        <v>503</v>
      </c>
      <c r="C430" s="328" t="s">
        <v>115</v>
      </c>
      <c r="E430" s="326">
        <v>18.5</v>
      </c>
      <c r="F430" s="48">
        <f t="shared" si="14"/>
        <v>0</v>
      </c>
      <c r="G430" s="326"/>
    </row>
    <row r="431" spans="1:7" ht="14.4" x14ac:dyDescent="0.3">
      <c r="A431" s="324"/>
      <c r="B431" s="324" t="s">
        <v>504</v>
      </c>
      <c r="C431" s="328" t="s">
        <v>115</v>
      </c>
      <c r="E431" s="326">
        <v>6</v>
      </c>
      <c r="F431" s="48">
        <f t="shared" si="14"/>
        <v>0</v>
      </c>
      <c r="G431" s="326"/>
    </row>
    <row r="432" spans="1:7" ht="14.4" x14ac:dyDescent="0.3">
      <c r="A432" s="324"/>
      <c r="B432" s="324" t="s">
        <v>505</v>
      </c>
      <c r="C432" s="328" t="s">
        <v>115</v>
      </c>
      <c r="E432" s="326">
        <v>5.5</v>
      </c>
      <c r="F432" s="48">
        <f t="shared" si="14"/>
        <v>0</v>
      </c>
      <c r="G432" s="326"/>
    </row>
    <row r="433" spans="1:7" ht="14.4" x14ac:dyDescent="0.3">
      <c r="A433" s="324"/>
      <c r="B433" s="324" t="s">
        <v>506</v>
      </c>
      <c r="C433" s="328" t="s">
        <v>115</v>
      </c>
      <c r="E433" s="326">
        <v>17.5</v>
      </c>
      <c r="F433" s="48">
        <f t="shared" si="14"/>
        <v>0</v>
      </c>
      <c r="G433" s="326"/>
    </row>
    <row r="434" spans="1:7" ht="14.4" x14ac:dyDescent="0.3">
      <c r="A434" s="324"/>
      <c r="B434" s="324" t="s">
        <v>507</v>
      </c>
      <c r="C434" s="328" t="s">
        <v>115</v>
      </c>
      <c r="E434" s="326">
        <v>16.5</v>
      </c>
      <c r="F434" s="48">
        <f t="shared" si="14"/>
        <v>0</v>
      </c>
      <c r="G434" s="326"/>
    </row>
    <row r="435" spans="1:7" ht="14.4" x14ac:dyDescent="0.3">
      <c r="A435" s="324"/>
      <c r="B435" s="324" t="s">
        <v>508</v>
      </c>
      <c r="C435" s="328" t="s">
        <v>115</v>
      </c>
      <c r="E435" s="326">
        <v>2.5</v>
      </c>
      <c r="F435" s="48">
        <f t="shared" si="14"/>
        <v>0</v>
      </c>
      <c r="G435" s="326"/>
    </row>
    <row r="436" spans="1:7" ht="14.4" x14ac:dyDescent="0.3">
      <c r="A436" s="324"/>
      <c r="B436" s="324" t="s">
        <v>509</v>
      </c>
      <c r="C436" s="328" t="s">
        <v>115</v>
      </c>
      <c r="E436" s="326">
        <v>43.5</v>
      </c>
      <c r="F436" s="48">
        <f t="shared" si="14"/>
        <v>0</v>
      </c>
      <c r="G436" s="326"/>
    </row>
    <row r="437" spans="1:7" ht="14.4" x14ac:dyDescent="0.3">
      <c r="A437" s="324"/>
      <c r="B437" s="324" t="s">
        <v>510</v>
      </c>
      <c r="C437" s="328" t="s">
        <v>115</v>
      </c>
      <c r="E437" s="326">
        <v>43.5</v>
      </c>
      <c r="F437" s="48">
        <f t="shared" si="14"/>
        <v>0</v>
      </c>
      <c r="G437" s="326"/>
    </row>
    <row r="438" spans="1:7" ht="14.4" x14ac:dyDescent="0.3">
      <c r="A438" s="324"/>
      <c r="B438" s="324" t="s">
        <v>511</v>
      </c>
      <c r="C438" s="328" t="s">
        <v>115</v>
      </c>
      <c r="E438" s="326">
        <v>45.5</v>
      </c>
      <c r="F438" s="48">
        <f t="shared" si="14"/>
        <v>0</v>
      </c>
      <c r="G438" s="326"/>
    </row>
    <row r="439" spans="1:7" ht="14.4" x14ac:dyDescent="0.3">
      <c r="A439" s="324"/>
      <c r="B439" s="324" t="s">
        <v>512</v>
      </c>
      <c r="C439" s="328" t="s">
        <v>115</v>
      </c>
      <c r="E439" s="326">
        <v>76</v>
      </c>
      <c r="F439" s="48">
        <f t="shared" si="14"/>
        <v>0</v>
      </c>
      <c r="G439" s="326"/>
    </row>
    <row r="440" spans="1:7" ht="14.4" x14ac:dyDescent="0.3">
      <c r="A440" s="324"/>
      <c r="B440" s="324" t="s">
        <v>513</v>
      </c>
      <c r="C440" s="328" t="s">
        <v>115</v>
      </c>
      <c r="E440" s="326">
        <v>11.5</v>
      </c>
      <c r="F440" s="48">
        <f t="shared" si="14"/>
        <v>0</v>
      </c>
      <c r="G440" s="326"/>
    </row>
    <row r="441" spans="1:7" ht="14.4" x14ac:dyDescent="0.3">
      <c r="A441" s="324"/>
      <c r="B441" s="324" t="s">
        <v>514</v>
      </c>
      <c r="C441" s="328" t="s">
        <v>115</v>
      </c>
      <c r="E441" s="326">
        <v>11.5</v>
      </c>
      <c r="F441" s="48">
        <f t="shared" si="14"/>
        <v>0</v>
      </c>
      <c r="G441" s="326"/>
    </row>
    <row r="442" spans="1:7" ht="14.4" x14ac:dyDescent="0.3">
      <c r="A442" s="324"/>
      <c r="B442" s="324" t="s">
        <v>515</v>
      </c>
      <c r="C442" s="328" t="s">
        <v>115</v>
      </c>
      <c r="E442" s="326">
        <v>12</v>
      </c>
      <c r="F442" s="48">
        <f t="shared" si="14"/>
        <v>0</v>
      </c>
      <c r="G442" s="326"/>
    </row>
    <row r="443" spans="1:7" ht="14.4" x14ac:dyDescent="0.3">
      <c r="A443" s="324"/>
      <c r="B443" s="324" t="s">
        <v>516</v>
      </c>
      <c r="C443" s="328" t="s">
        <v>115</v>
      </c>
      <c r="E443" s="326">
        <v>18.5</v>
      </c>
      <c r="F443" s="48">
        <f t="shared" si="14"/>
        <v>0</v>
      </c>
      <c r="G443" s="326"/>
    </row>
    <row r="444" spans="1:7" ht="14.4" x14ac:dyDescent="0.3">
      <c r="A444" s="324"/>
      <c r="B444" s="324" t="s">
        <v>517</v>
      </c>
      <c r="C444" s="328" t="s">
        <v>115</v>
      </c>
      <c r="E444" s="326">
        <v>19.5</v>
      </c>
      <c r="F444" s="48">
        <f t="shared" si="14"/>
        <v>0</v>
      </c>
      <c r="G444" s="326"/>
    </row>
    <row r="445" spans="1:7" ht="14.4" x14ac:dyDescent="0.3">
      <c r="A445" s="324"/>
      <c r="B445" s="324" t="s">
        <v>518</v>
      </c>
      <c r="C445" s="328" t="s">
        <v>115</v>
      </c>
      <c r="E445" s="326">
        <v>4.5</v>
      </c>
      <c r="F445" s="48">
        <f t="shared" si="14"/>
        <v>0</v>
      </c>
      <c r="G445" s="326"/>
    </row>
    <row r="446" spans="1:7" ht="14.4" x14ac:dyDescent="0.3">
      <c r="A446" s="324"/>
      <c r="B446" s="324" t="s">
        <v>519</v>
      </c>
      <c r="C446" s="328" t="s">
        <v>115</v>
      </c>
      <c r="E446" s="326">
        <v>10.5</v>
      </c>
      <c r="F446" s="48">
        <f t="shared" si="14"/>
        <v>0</v>
      </c>
      <c r="G446" s="326"/>
    </row>
    <row r="447" spans="1:7" ht="14.4" x14ac:dyDescent="0.3">
      <c r="A447" s="324"/>
      <c r="B447" s="324" t="s">
        <v>520</v>
      </c>
      <c r="C447" s="328" t="s">
        <v>115</v>
      </c>
      <c r="E447" s="326">
        <v>14.5</v>
      </c>
      <c r="F447" s="48">
        <f t="shared" si="14"/>
        <v>0</v>
      </c>
      <c r="G447" s="326"/>
    </row>
    <row r="448" spans="1:7" ht="14.4" x14ac:dyDescent="0.3">
      <c r="A448" s="324"/>
      <c r="B448" s="324" t="s">
        <v>521</v>
      </c>
      <c r="C448" s="328" t="s">
        <v>115</v>
      </c>
      <c r="E448" s="326">
        <v>28.5</v>
      </c>
      <c r="F448" s="48">
        <f t="shared" si="14"/>
        <v>0</v>
      </c>
      <c r="G448" s="326"/>
    </row>
    <row r="449" spans="1:7" ht="14.4" x14ac:dyDescent="0.3">
      <c r="A449" s="324"/>
      <c r="B449" s="324" t="s">
        <v>522</v>
      </c>
      <c r="C449" s="328" t="s">
        <v>115</v>
      </c>
      <c r="E449" s="326">
        <v>29.5</v>
      </c>
      <c r="F449" s="48">
        <f t="shared" si="14"/>
        <v>0</v>
      </c>
      <c r="G449" s="326"/>
    </row>
    <row r="450" spans="1:7" ht="14.4" x14ac:dyDescent="0.3">
      <c r="A450" s="324"/>
      <c r="B450" s="324" t="s">
        <v>523</v>
      </c>
      <c r="C450" s="328" t="s">
        <v>115</v>
      </c>
      <c r="E450" s="326">
        <v>36</v>
      </c>
      <c r="F450" s="48">
        <f t="shared" si="14"/>
        <v>0</v>
      </c>
      <c r="G450" s="326"/>
    </row>
    <row r="451" spans="1:7" ht="14.4" x14ac:dyDescent="0.3">
      <c r="A451" s="324"/>
      <c r="B451" s="324" t="s">
        <v>524</v>
      </c>
      <c r="C451" s="328" t="s">
        <v>115</v>
      </c>
      <c r="E451" s="326">
        <v>54</v>
      </c>
      <c r="F451" s="48">
        <f t="shared" si="14"/>
        <v>0</v>
      </c>
      <c r="G451" s="326"/>
    </row>
    <row r="452" spans="1:7" ht="14.4" x14ac:dyDescent="0.3">
      <c r="A452" s="324"/>
      <c r="B452" s="324" t="s">
        <v>525</v>
      </c>
      <c r="C452" s="328" t="s">
        <v>115</v>
      </c>
      <c r="E452" s="326">
        <v>10.5</v>
      </c>
      <c r="F452" s="48">
        <f t="shared" si="14"/>
        <v>0</v>
      </c>
      <c r="G452" s="326"/>
    </row>
    <row r="453" spans="1:7" ht="14.4" x14ac:dyDescent="0.3">
      <c r="A453" s="324"/>
      <c r="B453" s="324" t="s">
        <v>526</v>
      </c>
      <c r="C453" s="328" t="s">
        <v>115</v>
      </c>
      <c r="E453" s="326">
        <v>10</v>
      </c>
      <c r="F453" s="48">
        <f t="shared" si="14"/>
        <v>0</v>
      </c>
      <c r="G453" s="326"/>
    </row>
    <row r="454" spans="1:7" ht="14.4" x14ac:dyDescent="0.3">
      <c r="A454" s="324"/>
      <c r="B454" s="324" t="s">
        <v>527</v>
      </c>
      <c r="C454" s="328" t="s">
        <v>115</v>
      </c>
      <c r="E454" s="326">
        <v>5.5</v>
      </c>
      <c r="F454" s="48">
        <f t="shared" si="14"/>
        <v>0</v>
      </c>
      <c r="G454" s="326"/>
    </row>
    <row r="455" spans="1:7" ht="14.4" x14ac:dyDescent="0.3">
      <c r="A455" s="324"/>
      <c r="B455" s="324" t="s">
        <v>528</v>
      </c>
      <c r="C455" s="328" t="s">
        <v>115</v>
      </c>
      <c r="E455" s="326">
        <v>18</v>
      </c>
      <c r="F455" s="48">
        <f t="shared" si="14"/>
        <v>0</v>
      </c>
      <c r="G455" s="326"/>
    </row>
    <row r="456" spans="1:7" ht="14.4" x14ac:dyDescent="0.3">
      <c r="A456" s="324"/>
      <c r="B456" s="324" t="s">
        <v>529</v>
      </c>
      <c r="C456" s="328" t="s">
        <v>115</v>
      </c>
      <c r="E456" s="326">
        <v>4.5</v>
      </c>
      <c r="F456" s="48">
        <f t="shared" si="14"/>
        <v>0</v>
      </c>
      <c r="G456" s="326"/>
    </row>
    <row r="457" spans="1:7" ht="14.4" x14ac:dyDescent="0.3">
      <c r="A457" s="324"/>
      <c r="B457" s="324" t="s">
        <v>530</v>
      </c>
      <c r="C457" s="328" t="s">
        <v>115</v>
      </c>
      <c r="E457" s="326">
        <v>6.5</v>
      </c>
      <c r="F457" s="48">
        <f t="shared" si="14"/>
        <v>0</v>
      </c>
      <c r="G457" s="326"/>
    </row>
    <row r="458" spans="1:7" ht="14.4" x14ac:dyDescent="0.3">
      <c r="A458" s="324"/>
      <c r="B458" s="412" t="s">
        <v>531</v>
      </c>
      <c r="C458" s="397" t="s">
        <v>115</v>
      </c>
      <c r="D458" s="398">
        <v>1</v>
      </c>
      <c r="E458" s="399">
        <v>25.5</v>
      </c>
      <c r="F458" s="400">
        <f t="shared" si="14"/>
        <v>25.5</v>
      </c>
      <c r="G458" s="326"/>
    </row>
    <row r="459" spans="1:7" ht="14.4" x14ac:dyDescent="0.3">
      <c r="A459" s="324"/>
      <c r="B459" s="412" t="s">
        <v>532</v>
      </c>
      <c r="C459" s="397" t="s">
        <v>115</v>
      </c>
      <c r="D459" s="398">
        <v>1</v>
      </c>
      <c r="E459" s="399">
        <v>22.5</v>
      </c>
      <c r="F459" s="400">
        <f t="shared" si="14"/>
        <v>22.5</v>
      </c>
      <c r="G459" s="326"/>
    </row>
    <row r="460" spans="1:7" ht="14.4" x14ac:dyDescent="0.3">
      <c r="A460" s="324"/>
      <c r="B460" s="324" t="s">
        <v>533</v>
      </c>
      <c r="C460" s="328" t="s">
        <v>115</v>
      </c>
      <c r="E460" s="326">
        <v>8.5</v>
      </c>
      <c r="F460" s="48">
        <f t="shared" si="14"/>
        <v>0</v>
      </c>
      <c r="G460" s="326"/>
    </row>
    <row r="461" spans="1:7" ht="14.4" x14ac:dyDescent="0.3">
      <c r="A461" s="324"/>
      <c r="B461" s="324" t="s">
        <v>534</v>
      </c>
      <c r="C461" s="328" t="s">
        <v>115</v>
      </c>
      <c r="E461" s="326">
        <v>6.5</v>
      </c>
      <c r="F461" s="48">
        <f t="shared" si="14"/>
        <v>0</v>
      </c>
      <c r="G461" s="326"/>
    </row>
    <row r="462" spans="1:7" ht="14.4" x14ac:dyDescent="0.3">
      <c r="A462" s="324"/>
      <c r="B462" s="324" t="s">
        <v>535</v>
      </c>
      <c r="C462" s="328" t="s">
        <v>115</v>
      </c>
      <c r="E462" s="326">
        <v>10.5</v>
      </c>
      <c r="F462" s="48">
        <f t="shared" si="14"/>
        <v>0</v>
      </c>
      <c r="G462" s="326"/>
    </row>
    <row r="463" spans="1:7" ht="14.4" x14ac:dyDescent="0.3">
      <c r="A463" s="324"/>
      <c r="B463" s="324" t="s">
        <v>536</v>
      </c>
      <c r="C463" s="328" t="s">
        <v>115</v>
      </c>
      <c r="E463" s="326">
        <v>0</v>
      </c>
      <c r="F463" s="48">
        <f t="shared" si="14"/>
        <v>0</v>
      </c>
      <c r="G463" s="326"/>
    </row>
    <row r="464" spans="1:7" ht="14.4" x14ac:dyDescent="0.3">
      <c r="A464" s="324"/>
      <c r="B464" s="324" t="s">
        <v>537</v>
      </c>
      <c r="C464" s="328" t="s">
        <v>115</v>
      </c>
      <c r="E464" s="326">
        <v>4.5</v>
      </c>
      <c r="F464" s="48">
        <f t="shared" si="14"/>
        <v>0</v>
      </c>
      <c r="G464" s="326"/>
    </row>
    <row r="465" spans="1:7" ht="14.4" x14ac:dyDescent="0.3">
      <c r="A465" s="324"/>
      <c r="B465" s="324" t="s">
        <v>538</v>
      </c>
      <c r="C465" s="328" t="s">
        <v>115</v>
      </c>
      <c r="E465" s="326">
        <v>4</v>
      </c>
      <c r="F465" s="48">
        <f t="shared" si="14"/>
        <v>0</v>
      </c>
      <c r="G465" s="326"/>
    </row>
    <row r="466" spans="1:7" ht="14.4" x14ac:dyDescent="0.3">
      <c r="A466" s="324"/>
      <c r="B466" s="324" t="s">
        <v>539</v>
      </c>
      <c r="C466" s="328" t="s">
        <v>115</v>
      </c>
      <c r="E466" s="326">
        <v>17</v>
      </c>
      <c r="F466" s="48">
        <f t="shared" si="14"/>
        <v>0</v>
      </c>
      <c r="G466" s="326"/>
    </row>
    <row r="467" spans="1:7" ht="14.4" x14ac:dyDescent="0.3">
      <c r="A467" s="324"/>
      <c r="B467" s="324" t="s">
        <v>540</v>
      </c>
      <c r="C467" s="328" t="s">
        <v>115</v>
      </c>
      <c r="E467" s="326">
        <v>17.5</v>
      </c>
      <c r="F467" s="48">
        <f t="shared" si="14"/>
        <v>0</v>
      </c>
      <c r="G467" s="326"/>
    </row>
    <row r="468" spans="1:7" ht="14.4" x14ac:dyDescent="0.3">
      <c r="A468" s="324"/>
      <c r="B468" s="324" t="s">
        <v>541</v>
      </c>
      <c r="C468" s="328" t="s">
        <v>115</v>
      </c>
      <c r="E468" s="326">
        <v>4.5</v>
      </c>
      <c r="F468" s="48">
        <f t="shared" si="14"/>
        <v>0</v>
      </c>
      <c r="G468" s="326"/>
    </row>
    <row r="469" spans="1:7" ht="14.4" x14ac:dyDescent="0.3">
      <c r="A469" s="324"/>
      <c r="B469" s="324" t="s">
        <v>542</v>
      </c>
      <c r="C469" s="328" t="s">
        <v>115</v>
      </c>
      <c r="E469" s="326">
        <v>2</v>
      </c>
      <c r="F469" s="48">
        <f t="shared" si="14"/>
        <v>0</v>
      </c>
      <c r="G469" s="326"/>
    </row>
    <row r="470" spans="1:7" ht="14.4" x14ac:dyDescent="0.3">
      <c r="A470" s="324"/>
      <c r="B470" s="324" t="s">
        <v>543</v>
      </c>
      <c r="C470" s="328" t="s">
        <v>115</v>
      </c>
      <c r="E470" s="326">
        <v>8.5</v>
      </c>
      <c r="F470" s="48">
        <f t="shared" si="14"/>
        <v>0</v>
      </c>
      <c r="G470" s="326"/>
    </row>
    <row r="471" spans="1:7" ht="14.4" x14ac:dyDescent="0.3">
      <c r="A471" s="324"/>
      <c r="B471" s="324" t="s">
        <v>544</v>
      </c>
      <c r="C471" s="328" t="s">
        <v>115</v>
      </c>
      <c r="E471" s="326">
        <v>4</v>
      </c>
      <c r="F471" s="48">
        <f t="shared" si="14"/>
        <v>0</v>
      </c>
      <c r="G471" s="326"/>
    </row>
    <row r="472" spans="1:7" ht="14.4" x14ac:dyDescent="0.3">
      <c r="A472" s="420" t="s">
        <v>498</v>
      </c>
      <c r="B472" s="324"/>
      <c r="C472" s="328" t="s">
        <v>115</v>
      </c>
      <c r="E472" s="326"/>
      <c r="F472" s="48">
        <f t="shared" si="14"/>
        <v>0</v>
      </c>
    </row>
    <row r="473" spans="1:7" ht="14.4" x14ac:dyDescent="0.3">
      <c r="A473" s="324"/>
      <c r="B473" s="324" t="s">
        <v>545</v>
      </c>
      <c r="C473" s="328"/>
      <c r="E473" s="326">
        <v>137</v>
      </c>
      <c r="F473" s="48">
        <f t="shared" si="14"/>
        <v>0</v>
      </c>
      <c r="G473" s="326"/>
    </row>
    <row r="474" spans="1:7" ht="14.4" x14ac:dyDescent="0.3">
      <c r="A474" s="324"/>
      <c r="B474" s="324" t="s">
        <v>546</v>
      </c>
      <c r="C474" s="328" t="s">
        <v>115</v>
      </c>
      <c r="E474" s="326">
        <v>139.5</v>
      </c>
      <c r="F474" s="48">
        <f t="shared" si="14"/>
        <v>0</v>
      </c>
      <c r="G474" s="326"/>
    </row>
    <row r="475" spans="1:7" ht="14.4" x14ac:dyDescent="0.3">
      <c r="A475" s="324"/>
      <c r="B475" s="324" t="s">
        <v>547</v>
      </c>
      <c r="C475" s="328" t="s">
        <v>115</v>
      </c>
      <c r="E475" s="326">
        <v>183</v>
      </c>
      <c r="F475" s="48">
        <f t="shared" si="14"/>
        <v>0</v>
      </c>
      <c r="G475" s="326"/>
    </row>
    <row r="476" spans="1:7" ht="14.4" x14ac:dyDescent="0.3">
      <c r="A476" s="324"/>
      <c r="B476" s="324" t="s">
        <v>548</v>
      </c>
      <c r="C476" s="328" t="s">
        <v>115</v>
      </c>
      <c r="E476" s="326">
        <v>184.5</v>
      </c>
      <c r="F476" s="48">
        <f t="shared" ref="F476:F539" si="15">E476*D476</f>
        <v>0</v>
      </c>
      <c r="G476" s="326"/>
    </row>
    <row r="477" spans="1:7" ht="14.4" x14ac:dyDescent="0.3">
      <c r="A477" s="324"/>
      <c r="B477" s="324" t="s">
        <v>549</v>
      </c>
      <c r="C477" s="328" t="s">
        <v>115</v>
      </c>
      <c r="E477" s="326">
        <v>56</v>
      </c>
      <c r="F477" s="48">
        <f t="shared" si="15"/>
        <v>0</v>
      </c>
      <c r="G477" s="326"/>
    </row>
    <row r="478" spans="1:7" ht="14.4" x14ac:dyDescent="0.3">
      <c r="A478" s="324"/>
      <c r="B478" s="324" t="s">
        <v>550</v>
      </c>
      <c r="C478" s="328" t="s">
        <v>115</v>
      </c>
      <c r="E478" s="326">
        <v>103</v>
      </c>
      <c r="F478" s="48">
        <f t="shared" si="15"/>
        <v>0</v>
      </c>
      <c r="G478" s="326"/>
    </row>
    <row r="479" spans="1:7" ht="14.4" x14ac:dyDescent="0.3">
      <c r="A479" s="324"/>
      <c r="B479" s="324" t="s">
        <v>551</v>
      </c>
      <c r="C479" s="328" t="s">
        <v>115</v>
      </c>
      <c r="E479" s="326">
        <v>95</v>
      </c>
      <c r="F479" s="48">
        <f t="shared" si="15"/>
        <v>0</v>
      </c>
      <c r="G479" s="326"/>
    </row>
    <row r="480" spans="1:7" ht="14.4" x14ac:dyDescent="0.3">
      <c r="A480" s="324"/>
      <c r="B480" s="324" t="s">
        <v>552</v>
      </c>
      <c r="C480" s="328" t="s">
        <v>115</v>
      </c>
      <c r="E480" s="326">
        <v>99.5</v>
      </c>
      <c r="F480" s="48">
        <f t="shared" si="15"/>
        <v>0</v>
      </c>
      <c r="G480" s="326"/>
    </row>
    <row r="481" spans="1:7" ht="14.4" x14ac:dyDescent="0.3">
      <c r="A481" s="324"/>
      <c r="B481" s="420" t="s">
        <v>558</v>
      </c>
      <c r="C481" s="328" t="s">
        <v>115</v>
      </c>
      <c r="E481" s="326">
        <v>33.5</v>
      </c>
      <c r="F481" s="48">
        <f t="shared" si="15"/>
        <v>0</v>
      </c>
      <c r="G481" s="326"/>
    </row>
    <row r="482" spans="1:7" ht="14.4" x14ac:dyDescent="0.3">
      <c r="A482" s="324"/>
      <c r="B482" s="324" t="s">
        <v>559</v>
      </c>
      <c r="C482" s="328" t="s">
        <v>115</v>
      </c>
      <c r="E482" s="326">
        <v>33</v>
      </c>
      <c r="F482" s="48">
        <f t="shared" si="15"/>
        <v>0</v>
      </c>
      <c r="G482" s="326"/>
    </row>
    <row r="483" spans="1:7" ht="14.4" x14ac:dyDescent="0.3">
      <c r="A483" s="324"/>
      <c r="B483" s="420" t="s">
        <v>560</v>
      </c>
      <c r="C483" s="328" t="s">
        <v>115</v>
      </c>
      <c r="E483" s="326">
        <v>60.5</v>
      </c>
      <c r="F483" s="48">
        <f t="shared" si="15"/>
        <v>0</v>
      </c>
      <c r="G483" s="326"/>
    </row>
    <row r="484" spans="1:7" ht="14.4" x14ac:dyDescent="0.3">
      <c r="A484" s="324"/>
      <c r="B484" s="324" t="s">
        <v>561</v>
      </c>
      <c r="C484" s="328" t="s">
        <v>115</v>
      </c>
      <c r="E484" s="326">
        <v>61</v>
      </c>
      <c r="F484" s="48">
        <f t="shared" si="15"/>
        <v>0</v>
      </c>
      <c r="G484" s="326"/>
    </row>
    <row r="485" spans="1:7" ht="14.4" x14ac:dyDescent="0.3">
      <c r="A485" s="324"/>
      <c r="B485" s="324" t="s">
        <v>562</v>
      </c>
      <c r="C485" s="328" t="s">
        <v>115</v>
      </c>
      <c r="E485" s="326">
        <v>65</v>
      </c>
      <c r="F485" s="48">
        <f t="shared" si="15"/>
        <v>0</v>
      </c>
      <c r="G485" s="326"/>
    </row>
    <row r="486" spans="1:7" ht="14.4" x14ac:dyDescent="0.3">
      <c r="A486" s="324"/>
      <c r="B486" s="324" t="s">
        <v>563</v>
      </c>
      <c r="C486" s="328" t="s">
        <v>115</v>
      </c>
      <c r="E486" s="326">
        <v>65</v>
      </c>
      <c r="F486" s="48">
        <f t="shared" si="15"/>
        <v>0</v>
      </c>
      <c r="G486" s="326"/>
    </row>
    <row r="487" spans="1:7" ht="14.4" x14ac:dyDescent="0.3">
      <c r="A487" s="324"/>
      <c r="B487" s="324" t="s">
        <v>564</v>
      </c>
      <c r="C487" s="328" t="s">
        <v>115</v>
      </c>
      <c r="E487" s="326">
        <v>65</v>
      </c>
      <c r="F487" s="48">
        <f t="shared" si="15"/>
        <v>0</v>
      </c>
      <c r="G487" s="326"/>
    </row>
    <row r="488" spans="1:7" ht="14.4" x14ac:dyDescent="0.3">
      <c r="A488" s="324"/>
      <c r="B488" s="324" t="s">
        <v>565</v>
      </c>
      <c r="C488" s="328" t="s">
        <v>115</v>
      </c>
      <c r="E488" s="326">
        <v>65</v>
      </c>
      <c r="F488" s="48">
        <f t="shared" si="15"/>
        <v>0</v>
      </c>
      <c r="G488" s="326"/>
    </row>
    <row r="489" spans="1:7" ht="14.4" x14ac:dyDescent="0.3">
      <c r="A489" s="324"/>
      <c r="B489" s="324" t="s">
        <v>566</v>
      </c>
      <c r="C489" s="328" t="s">
        <v>115</v>
      </c>
      <c r="E489" s="326">
        <v>45</v>
      </c>
      <c r="F489" s="48">
        <f t="shared" si="15"/>
        <v>0</v>
      </c>
      <c r="G489" s="326"/>
    </row>
    <row r="490" spans="1:7" ht="14.4" x14ac:dyDescent="0.3">
      <c r="A490" s="324"/>
      <c r="B490" s="324" t="s">
        <v>567</v>
      </c>
      <c r="C490" s="328" t="s">
        <v>115</v>
      </c>
      <c r="E490" s="326">
        <v>55</v>
      </c>
      <c r="F490" s="48">
        <f t="shared" si="15"/>
        <v>0</v>
      </c>
      <c r="G490" s="326"/>
    </row>
    <row r="491" spans="1:7" ht="14.4" x14ac:dyDescent="0.3">
      <c r="A491" s="324"/>
      <c r="B491" s="324" t="s">
        <v>568</v>
      </c>
      <c r="C491" s="328" t="s">
        <v>115</v>
      </c>
      <c r="E491" s="326">
        <v>55</v>
      </c>
      <c r="F491" s="48">
        <f t="shared" si="15"/>
        <v>0</v>
      </c>
      <c r="G491" s="326"/>
    </row>
    <row r="492" spans="1:7" ht="14.4" x14ac:dyDescent="0.3">
      <c r="A492" s="324"/>
      <c r="B492" s="420" t="s">
        <v>569</v>
      </c>
      <c r="C492" s="328" t="s">
        <v>115</v>
      </c>
      <c r="E492" s="326">
        <v>21.5</v>
      </c>
      <c r="F492" s="48">
        <f t="shared" si="15"/>
        <v>0</v>
      </c>
      <c r="G492" s="326"/>
    </row>
    <row r="493" spans="1:7" ht="14.4" x14ac:dyDescent="0.3">
      <c r="A493" s="324"/>
      <c r="B493" s="324" t="s">
        <v>570</v>
      </c>
      <c r="C493" s="328" t="s">
        <v>115</v>
      </c>
      <c r="E493" s="326">
        <v>25</v>
      </c>
      <c r="F493" s="48">
        <f t="shared" si="15"/>
        <v>0</v>
      </c>
      <c r="G493" s="326"/>
    </row>
    <row r="494" spans="1:7" ht="14.4" x14ac:dyDescent="0.3">
      <c r="A494" s="324"/>
      <c r="B494" s="324" t="s">
        <v>571</v>
      </c>
      <c r="C494" s="328" t="s">
        <v>115</v>
      </c>
      <c r="E494" s="326">
        <v>22</v>
      </c>
      <c r="F494" s="48">
        <f t="shared" si="15"/>
        <v>0</v>
      </c>
      <c r="G494" s="326"/>
    </row>
    <row r="495" spans="1:7" ht="14.4" x14ac:dyDescent="0.3">
      <c r="A495" s="324"/>
      <c r="B495" s="324" t="s">
        <v>572</v>
      </c>
      <c r="C495" s="328" t="s">
        <v>115</v>
      </c>
      <c r="E495" s="326">
        <v>22</v>
      </c>
      <c r="F495" s="48">
        <f t="shared" si="15"/>
        <v>0</v>
      </c>
      <c r="G495" s="326"/>
    </row>
    <row r="496" spans="1:7" ht="14.4" x14ac:dyDescent="0.3">
      <c r="A496" s="324"/>
      <c r="B496" s="324" t="s">
        <v>573</v>
      </c>
      <c r="C496" s="328" t="s">
        <v>115</v>
      </c>
      <c r="E496" s="326">
        <v>22</v>
      </c>
      <c r="F496" s="48">
        <f t="shared" si="15"/>
        <v>0</v>
      </c>
      <c r="G496" s="326"/>
    </row>
    <row r="497" spans="1:7" ht="14.4" x14ac:dyDescent="0.3">
      <c r="A497" s="324"/>
      <c r="B497" s="324" t="s">
        <v>574</v>
      </c>
      <c r="C497" s="328" t="s">
        <v>115</v>
      </c>
      <c r="E497" s="326">
        <v>78</v>
      </c>
      <c r="F497" s="48">
        <f t="shared" si="15"/>
        <v>0</v>
      </c>
      <c r="G497" s="326"/>
    </row>
    <row r="498" spans="1:7" ht="14.4" x14ac:dyDescent="0.3">
      <c r="A498" s="324"/>
      <c r="B498" s="324" t="s">
        <v>575</v>
      </c>
      <c r="C498" s="328" t="s">
        <v>115</v>
      </c>
      <c r="E498" s="326">
        <v>89</v>
      </c>
      <c r="F498" s="48">
        <f t="shared" si="15"/>
        <v>0</v>
      </c>
      <c r="G498" s="326"/>
    </row>
    <row r="499" spans="1:7" ht="14.4" x14ac:dyDescent="0.3">
      <c r="A499" s="324"/>
      <c r="B499" s="324" t="s">
        <v>576</v>
      </c>
      <c r="C499" s="328" t="s">
        <v>115</v>
      </c>
      <c r="E499" s="326">
        <v>21</v>
      </c>
      <c r="F499" s="48">
        <f t="shared" si="15"/>
        <v>0</v>
      </c>
      <c r="G499" s="326"/>
    </row>
    <row r="500" spans="1:7" ht="14.4" x14ac:dyDescent="0.3">
      <c r="A500" s="324"/>
      <c r="B500" s="324" t="s">
        <v>577</v>
      </c>
      <c r="C500" s="328" t="s">
        <v>115</v>
      </c>
      <c r="E500" s="326">
        <v>21</v>
      </c>
      <c r="F500" s="48">
        <f t="shared" si="15"/>
        <v>0</v>
      </c>
      <c r="G500" s="326"/>
    </row>
    <row r="501" spans="1:7" ht="14.4" x14ac:dyDescent="0.3">
      <c r="A501" s="324"/>
      <c r="B501" s="324" t="s">
        <v>578</v>
      </c>
      <c r="C501" s="328" t="s">
        <v>115</v>
      </c>
      <c r="E501" s="326">
        <v>0</v>
      </c>
      <c r="F501" s="48">
        <f t="shared" si="15"/>
        <v>0</v>
      </c>
    </row>
    <row r="502" spans="1:7" ht="14.4" x14ac:dyDescent="0.3">
      <c r="A502" s="324"/>
      <c r="B502" s="324" t="s">
        <v>579</v>
      </c>
      <c r="C502" s="328" t="s">
        <v>115</v>
      </c>
      <c r="E502" s="326">
        <v>0</v>
      </c>
      <c r="F502" s="48">
        <f t="shared" si="15"/>
        <v>0</v>
      </c>
    </row>
    <row r="503" spans="1:7" ht="14.4" x14ac:dyDescent="0.3">
      <c r="A503" s="324"/>
      <c r="B503" s="324" t="s">
        <v>580</v>
      </c>
      <c r="C503" s="328" t="s">
        <v>115</v>
      </c>
      <c r="E503" s="326">
        <v>0</v>
      </c>
      <c r="F503" s="48">
        <f t="shared" si="15"/>
        <v>0</v>
      </c>
    </row>
    <row r="504" spans="1:7" ht="14.4" x14ac:dyDescent="0.3">
      <c r="A504" s="324"/>
      <c r="B504" s="420" t="s">
        <v>581</v>
      </c>
      <c r="C504" s="328" t="s">
        <v>115</v>
      </c>
      <c r="E504" s="326">
        <v>0</v>
      </c>
      <c r="F504" s="48">
        <f t="shared" si="15"/>
        <v>0</v>
      </c>
    </row>
    <row r="505" spans="1:7" ht="14.4" x14ac:dyDescent="0.3">
      <c r="A505" s="324"/>
      <c r="B505" s="324" t="s">
        <v>582</v>
      </c>
      <c r="C505" s="328" t="s">
        <v>115</v>
      </c>
      <c r="E505" s="326">
        <v>0</v>
      </c>
      <c r="F505" s="48">
        <f t="shared" si="15"/>
        <v>0</v>
      </c>
    </row>
    <row r="506" spans="1:7" ht="14.4" x14ac:dyDescent="0.3">
      <c r="A506" s="324"/>
      <c r="B506" s="324" t="s">
        <v>583</v>
      </c>
      <c r="C506" s="328" t="s">
        <v>115</v>
      </c>
      <c r="E506" s="326">
        <v>0</v>
      </c>
      <c r="F506" s="48">
        <f t="shared" si="15"/>
        <v>0</v>
      </c>
    </row>
    <row r="507" spans="1:7" ht="14.4" x14ac:dyDescent="0.3">
      <c r="A507" s="324"/>
      <c r="B507" s="324" t="s">
        <v>584</v>
      </c>
      <c r="C507" s="328" t="s">
        <v>115</v>
      </c>
      <c r="E507" s="326">
        <v>0</v>
      </c>
      <c r="F507" s="48">
        <f t="shared" si="15"/>
        <v>0</v>
      </c>
    </row>
    <row r="508" spans="1:7" ht="14.4" x14ac:dyDescent="0.3">
      <c r="A508" s="324"/>
      <c r="B508" s="324" t="s">
        <v>585</v>
      </c>
      <c r="C508" s="328" t="s">
        <v>115</v>
      </c>
      <c r="E508" s="326">
        <v>0</v>
      </c>
      <c r="F508" s="48">
        <f t="shared" si="15"/>
        <v>0</v>
      </c>
    </row>
    <row r="509" spans="1:7" ht="14.4" x14ac:dyDescent="0.3">
      <c r="A509" s="324"/>
      <c r="B509" s="324" t="s">
        <v>586</v>
      </c>
      <c r="C509" s="328" t="s">
        <v>115</v>
      </c>
      <c r="E509" s="326">
        <v>0</v>
      </c>
      <c r="F509" s="48">
        <f t="shared" si="15"/>
        <v>0</v>
      </c>
    </row>
    <row r="510" spans="1:7" ht="14.4" x14ac:dyDescent="0.3">
      <c r="A510" s="324"/>
      <c r="B510" s="324" t="s">
        <v>587</v>
      </c>
      <c r="C510" s="328" t="s">
        <v>115</v>
      </c>
      <c r="E510" s="326">
        <v>0</v>
      </c>
      <c r="F510" s="48">
        <f t="shared" si="15"/>
        <v>0</v>
      </c>
    </row>
    <row r="511" spans="1:7" ht="14.4" x14ac:dyDescent="0.3">
      <c r="A511" s="324"/>
      <c r="B511" s="324" t="s">
        <v>588</v>
      </c>
      <c r="C511" s="328" t="s">
        <v>115</v>
      </c>
      <c r="E511" s="326">
        <v>0</v>
      </c>
      <c r="F511" s="48">
        <f t="shared" si="15"/>
        <v>0</v>
      </c>
    </row>
    <row r="512" spans="1:7" ht="14.4" x14ac:dyDescent="0.3">
      <c r="A512" s="324"/>
      <c r="B512" s="324" t="s">
        <v>589</v>
      </c>
      <c r="C512" s="328" t="s">
        <v>115</v>
      </c>
      <c r="E512" s="326">
        <v>0</v>
      </c>
      <c r="F512" s="48">
        <f t="shared" si="15"/>
        <v>0</v>
      </c>
    </row>
    <row r="513" spans="1:6" ht="14.4" x14ac:dyDescent="0.3">
      <c r="A513" s="324"/>
      <c r="B513" s="324" t="s">
        <v>590</v>
      </c>
      <c r="C513" s="328" t="s">
        <v>115</v>
      </c>
      <c r="E513" s="326">
        <v>0</v>
      </c>
      <c r="F513" s="48">
        <f t="shared" si="15"/>
        <v>0</v>
      </c>
    </row>
    <row r="514" spans="1:6" ht="14.4" x14ac:dyDescent="0.3">
      <c r="A514" s="324"/>
      <c r="B514" s="324" t="s">
        <v>591</v>
      </c>
      <c r="C514" s="328" t="s">
        <v>115</v>
      </c>
      <c r="E514" s="326">
        <v>0</v>
      </c>
      <c r="F514" s="48">
        <f t="shared" si="15"/>
        <v>0</v>
      </c>
    </row>
    <row r="515" spans="1:6" ht="14.4" x14ac:dyDescent="0.3">
      <c r="A515" s="324"/>
      <c r="B515" s="324" t="s">
        <v>592</v>
      </c>
      <c r="C515" s="328" t="s">
        <v>115</v>
      </c>
      <c r="E515" s="326">
        <v>0</v>
      </c>
      <c r="F515" s="48">
        <f t="shared" si="15"/>
        <v>0</v>
      </c>
    </row>
    <row r="516" spans="1:6" ht="14.4" x14ac:dyDescent="0.3">
      <c r="A516" s="324"/>
      <c r="B516" s="324" t="s">
        <v>593</v>
      </c>
      <c r="C516" s="328" t="s">
        <v>115</v>
      </c>
      <c r="E516" s="326">
        <v>0</v>
      </c>
      <c r="F516" s="48">
        <f t="shared" si="15"/>
        <v>0</v>
      </c>
    </row>
    <row r="517" spans="1:6" ht="14.4" x14ac:dyDescent="0.3">
      <c r="A517" s="324"/>
      <c r="B517" s="324" t="s">
        <v>594</v>
      </c>
      <c r="C517" s="328" t="s">
        <v>115</v>
      </c>
      <c r="E517" s="326">
        <v>0</v>
      </c>
      <c r="F517" s="48">
        <f t="shared" si="15"/>
        <v>0</v>
      </c>
    </row>
    <row r="518" spans="1:6" ht="14.4" x14ac:dyDescent="0.3">
      <c r="A518" s="324"/>
      <c r="B518" s="324" t="s">
        <v>595</v>
      </c>
      <c r="C518" s="328" t="s">
        <v>115</v>
      </c>
      <c r="E518" s="326">
        <v>0</v>
      </c>
      <c r="F518" s="48">
        <f t="shared" si="15"/>
        <v>0</v>
      </c>
    </row>
    <row r="519" spans="1:6" ht="14.4" x14ac:dyDescent="0.3">
      <c r="A519" s="324"/>
      <c r="B519" s="324" t="s">
        <v>596</v>
      </c>
      <c r="C519" s="328" t="s">
        <v>115</v>
      </c>
      <c r="E519" s="326">
        <v>0</v>
      </c>
      <c r="F519" s="48">
        <f t="shared" si="15"/>
        <v>0</v>
      </c>
    </row>
    <row r="520" spans="1:6" ht="14.4" x14ac:dyDescent="0.3">
      <c r="A520" s="324"/>
      <c r="B520" s="324" t="s">
        <v>597</v>
      </c>
      <c r="C520" s="328" t="s">
        <v>115</v>
      </c>
      <c r="E520" s="326">
        <v>0</v>
      </c>
      <c r="F520" s="48">
        <f t="shared" si="15"/>
        <v>0</v>
      </c>
    </row>
    <row r="521" spans="1:6" ht="14.4" x14ac:dyDescent="0.3">
      <c r="A521" s="324"/>
      <c r="B521" s="324" t="s">
        <v>598</v>
      </c>
      <c r="C521" s="328" t="s">
        <v>115</v>
      </c>
      <c r="E521" s="326">
        <v>0</v>
      </c>
      <c r="F521" s="48">
        <f t="shared" si="15"/>
        <v>0</v>
      </c>
    </row>
    <row r="522" spans="1:6" ht="14.4" x14ac:dyDescent="0.3">
      <c r="A522" s="324"/>
      <c r="B522" s="324" t="s">
        <v>599</v>
      </c>
      <c r="C522" s="328" t="s">
        <v>115</v>
      </c>
      <c r="E522" s="326">
        <v>0</v>
      </c>
      <c r="F522" s="48">
        <f t="shared" si="15"/>
        <v>0</v>
      </c>
    </row>
    <row r="523" spans="1:6" ht="14.4" x14ac:dyDescent="0.3">
      <c r="A523" s="324"/>
      <c r="B523" s="324" t="s">
        <v>600</v>
      </c>
      <c r="C523" s="328" t="s">
        <v>115</v>
      </c>
      <c r="E523" s="326">
        <v>0</v>
      </c>
      <c r="F523" s="48">
        <f t="shared" si="15"/>
        <v>0</v>
      </c>
    </row>
    <row r="524" spans="1:6" ht="14.4" x14ac:dyDescent="0.3">
      <c r="A524" s="324"/>
      <c r="B524" s="324" t="s">
        <v>601</v>
      </c>
      <c r="C524" s="328" t="s">
        <v>115</v>
      </c>
      <c r="E524" s="326">
        <v>0</v>
      </c>
      <c r="F524" s="48">
        <f t="shared" si="15"/>
        <v>0</v>
      </c>
    </row>
    <row r="525" spans="1:6" ht="14.4" x14ac:dyDescent="0.3">
      <c r="A525" s="324"/>
      <c r="B525" s="324" t="s">
        <v>602</v>
      </c>
      <c r="C525" s="328" t="s">
        <v>115</v>
      </c>
      <c r="E525" s="326">
        <v>0</v>
      </c>
      <c r="F525" s="48">
        <f t="shared" si="15"/>
        <v>0</v>
      </c>
    </row>
    <row r="526" spans="1:6" ht="14.4" x14ac:dyDescent="0.3">
      <c r="A526" s="324"/>
      <c r="B526" s="324" t="s">
        <v>603</v>
      </c>
      <c r="C526" s="328" t="s">
        <v>115</v>
      </c>
      <c r="E526" s="326">
        <v>0</v>
      </c>
      <c r="F526" s="48">
        <f t="shared" si="15"/>
        <v>0</v>
      </c>
    </row>
    <row r="527" spans="1:6" ht="14.4" x14ac:dyDescent="0.3">
      <c r="A527" s="324"/>
      <c r="B527" s="420" t="s">
        <v>604</v>
      </c>
      <c r="C527" s="328" t="s">
        <v>115</v>
      </c>
      <c r="E527" s="326">
        <v>0</v>
      </c>
      <c r="F527" s="48">
        <f t="shared" si="15"/>
        <v>0</v>
      </c>
    </row>
    <row r="528" spans="1:6" ht="14.4" x14ac:dyDescent="0.3">
      <c r="A528" s="324"/>
      <c r="B528" s="324" t="s">
        <v>605</v>
      </c>
      <c r="C528" s="328" t="s">
        <v>115</v>
      </c>
      <c r="E528" s="326">
        <v>0</v>
      </c>
      <c r="F528" s="48">
        <f t="shared" si="15"/>
        <v>0</v>
      </c>
    </row>
    <row r="529" spans="1:6" ht="14.4" x14ac:dyDescent="0.3">
      <c r="A529" s="324"/>
      <c r="B529" s="324" t="s">
        <v>606</v>
      </c>
      <c r="C529" s="328" t="s">
        <v>115</v>
      </c>
      <c r="E529" s="326">
        <v>0</v>
      </c>
      <c r="F529" s="48">
        <f t="shared" si="15"/>
        <v>0</v>
      </c>
    </row>
    <row r="530" spans="1:6" ht="14.4" x14ac:dyDescent="0.3">
      <c r="A530" s="324"/>
      <c r="B530" s="420" t="s">
        <v>607</v>
      </c>
      <c r="C530" s="328" t="s">
        <v>115</v>
      </c>
      <c r="E530" s="326">
        <v>0</v>
      </c>
      <c r="F530" s="48">
        <f t="shared" si="15"/>
        <v>0</v>
      </c>
    </row>
    <row r="531" spans="1:6" ht="14.4" x14ac:dyDescent="0.3">
      <c r="A531" s="324"/>
      <c r="B531" s="420" t="s">
        <v>608</v>
      </c>
      <c r="C531" s="328" t="s">
        <v>115</v>
      </c>
      <c r="E531" s="326">
        <v>0</v>
      </c>
      <c r="F531" s="48">
        <f t="shared" si="15"/>
        <v>0</v>
      </c>
    </row>
    <row r="532" spans="1:6" ht="14.4" x14ac:dyDescent="0.3">
      <c r="A532" s="324"/>
      <c r="B532" s="324" t="s">
        <v>609</v>
      </c>
      <c r="C532" s="328" t="s">
        <v>115</v>
      </c>
      <c r="E532" s="326">
        <v>18.54</v>
      </c>
      <c r="F532" s="48">
        <f t="shared" si="15"/>
        <v>0</v>
      </c>
    </row>
    <row r="533" spans="1:6" ht="14.4" x14ac:dyDescent="0.3">
      <c r="A533" s="324"/>
      <c r="B533" s="324" t="s">
        <v>610</v>
      </c>
      <c r="C533" s="328" t="s">
        <v>115</v>
      </c>
      <c r="E533" s="326">
        <v>0</v>
      </c>
      <c r="F533" s="48">
        <f t="shared" si="15"/>
        <v>0</v>
      </c>
    </row>
    <row r="534" spans="1:6" ht="14.4" x14ac:dyDescent="0.3">
      <c r="A534" s="324"/>
      <c r="B534" s="324" t="s">
        <v>611</v>
      </c>
      <c r="C534" s="328" t="s">
        <v>115</v>
      </c>
      <c r="E534" s="326">
        <v>0</v>
      </c>
      <c r="F534" s="48">
        <f t="shared" si="15"/>
        <v>0</v>
      </c>
    </row>
    <row r="535" spans="1:6" ht="14.4" x14ac:dyDescent="0.3">
      <c r="A535" s="324"/>
      <c r="B535" s="324" t="s">
        <v>612</v>
      </c>
      <c r="C535" s="328" t="s">
        <v>115</v>
      </c>
      <c r="E535" s="326">
        <v>18.350000000000001</v>
      </c>
      <c r="F535" s="48">
        <f t="shared" si="15"/>
        <v>0</v>
      </c>
    </row>
    <row r="536" spans="1:6" ht="14.4" x14ac:dyDescent="0.3">
      <c r="A536" s="324"/>
      <c r="B536" s="324" t="s">
        <v>613</v>
      </c>
      <c r="C536" s="328" t="s">
        <v>115</v>
      </c>
      <c r="E536" s="326">
        <v>0</v>
      </c>
      <c r="F536" s="48">
        <f t="shared" si="15"/>
        <v>0</v>
      </c>
    </row>
    <row r="537" spans="1:6" ht="14.4" x14ac:dyDescent="0.3">
      <c r="A537" s="324"/>
      <c r="B537" s="324" t="s">
        <v>614</v>
      </c>
      <c r="C537" s="328" t="s">
        <v>115</v>
      </c>
      <c r="E537" s="326">
        <v>0</v>
      </c>
      <c r="F537" s="48">
        <f t="shared" si="15"/>
        <v>0</v>
      </c>
    </row>
    <row r="538" spans="1:6" ht="14.4" x14ac:dyDescent="0.3">
      <c r="A538" s="324"/>
      <c r="B538" s="324" t="s">
        <v>615</v>
      </c>
      <c r="C538" s="328" t="s">
        <v>115</v>
      </c>
      <c r="E538" s="326">
        <v>0</v>
      </c>
      <c r="F538" s="48">
        <f t="shared" si="15"/>
        <v>0</v>
      </c>
    </row>
    <row r="539" spans="1:6" ht="14.4" x14ac:dyDescent="0.3">
      <c r="A539" s="324"/>
      <c r="B539" s="324" t="s">
        <v>616</v>
      </c>
      <c r="C539" s="328" t="s">
        <v>115</v>
      </c>
      <c r="E539" s="326">
        <v>0</v>
      </c>
      <c r="F539" s="48">
        <f t="shared" si="15"/>
        <v>0</v>
      </c>
    </row>
    <row r="540" spans="1:6" ht="14.4" x14ac:dyDescent="0.3">
      <c r="A540" s="324"/>
      <c r="B540" s="324" t="s">
        <v>617</v>
      </c>
      <c r="C540" s="328" t="s">
        <v>115</v>
      </c>
      <c r="E540" s="326">
        <v>0</v>
      </c>
      <c r="F540" s="48">
        <f t="shared" ref="F540:F603" si="16">E540*D540</f>
        <v>0</v>
      </c>
    </row>
    <row r="541" spans="1:6" ht="14.4" x14ac:dyDescent="0.3">
      <c r="A541" s="324"/>
      <c r="B541" s="420" t="s">
        <v>618</v>
      </c>
      <c r="C541" s="328" t="s">
        <v>115</v>
      </c>
      <c r="E541" s="326">
        <v>0</v>
      </c>
      <c r="F541" s="48">
        <f t="shared" si="16"/>
        <v>0</v>
      </c>
    </row>
    <row r="542" spans="1:6" ht="14.4" x14ac:dyDescent="0.3">
      <c r="A542" s="324"/>
      <c r="B542" s="324" t="s">
        <v>619</v>
      </c>
      <c r="C542" s="328" t="s">
        <v>115</v>
      </c>
      <c r="E542" s="326">
        <v>16.329999999999998</v>
      </c>
      <c r="F542" s="48">
        <f t="shared" si="16"/>
        <v>0</v>
      </c>
    </row>
    <row r="543" spans="1:6" ht="14.4" x14ac:dyDescent="0.3">
      <c r="A543" s="324"/>
      <c r="B543" s="324" t="s">
        <v>620</v>
      </c>
      <c r="C543" s="328" t="s">
        <v>115</v>
      </c>
      <c r="E543" s="326">
        <v>0</v>
      </c>
      <c r="F543" s="48">
        <f t="shared" si="16"/>
        <v>0</v>
      </c>
    </row>
    <row r="544" spans="1:6" ht="14.4" x14ac:dyDescent="0.3">
      <c r="A544" s="324"/>
      <c r="B544" s="324" t="s">
        <v>621</v>
      </c>
      <c r="C544" s="328" t="s">
        <v>115</v>
      </c>
      <c r="E544" s="326">
        <v>0</v>
      </c>
      <c r="F544" s="48">
        <f t="shared" si="16"/>
        <v>0</v>
      </c>
    </row>
    <row r="545" spans="1:6" ht="14.4" x14ac:dyDescent="0.3">
      <c r="A545" s="324"/>
      <c r="B545" s="324" t="s">
        <v>622</v>
      </c>
      <c r="C545" s="328" t="s">
        <v>115</v>
      </c>
      <c r="E545" s="326">
        <v>0</v>
      </c>
      <c r="F545" s="48">
        <f t="shared" si="16"/>
        <v>0</v>
      </c>
    </row>
    <row r="546" spans="1:6" ht="14.4" x14ac:dyDescent="0.3">
      <c r="A546" s="324"/>
      <c r="B546" s="324" t="s">
        <v>623</v>
      </c>
      <c r="C546" s="328" t="s">
        <v>115</v>
      </c>
      <c r="E546" s="326">
        <v>0</v>
      </c>
      <c r="F546" s="48">
        <f t="shared" si="16"/>
        <v>0</v>
      </c>
    </row>
    <row r="547" spans="1:6" ht="14.4" x14ac:dyDescent="0.3">
      <c r="A547" s="324"/>
      <c r="B547" s="324" t="s">
        <v>624</v>
      </c>
      <c r="C547" s="328" t="s">
        <v>115</v>
      </c>
      <c r="E547" s="326">
        <v>0</v>
      </c>
      <c r="F547" s="48">
        <f t="shared" si="16"/>
        <v>0</v>
      </c>
    </row>
    <row r="548" spans="1:6" ht="14.4" x14ac:dyDescent="0.3">
      <c r="A548" s="324"/>
      <c r="B548" s="324" t="s">
        <v>625</v>
      </c>
      <c r="C548" s="328" t="s">
        <v>115</v>
      </c>
      <c r="E548" s="326">
        <v>0</v>
      </c>
      <c r="F548" s="48">
        <f t="shared" si="16"/>
        <v>0</v>
      </c>
    </row>
    <row r="549" spans="1:6" ht="14.4" x14ac:dyDescent="0.3">
      <c r="A549" s="324"/>
      <c r="B549" s="324" t="s">
        <v>626</v>
      </c>
      <c r="C549" s="328" t="s">
        <v>115</v>
      </c>
      <c r="E549" s="326">
        <v>0</v>
      </c>
      <c r="F549" s="48">
        <f t="shared" si="16"/>
        <v>0</v>
      </c>
    </row>
    <row r="550" spans="1:6" ht="14.4" x14ac:dyDescent="0.3">
      <c r="A550" s="324"/>
      <c r="B550" s="324" t="s">
        <v>627</v>
      </c>
      <c r="C550" s="328" t="s">
        <v>115</v>
      </c>
      <c r="E550" s="326">
        <v>0</v>
      </c>
      <c r="F550" s="48">
        <f t="shared" si="16"/>
        <v>0</v>
      </c>
    </row>
    <row r="551" spans="1:6" ht="14.4" x14ac:dyDescent="0.3">
      <c r="A551" s="324"/>
      <c r="B551" s="324" t="s">
        <v>628</v>
      </c>
      <c r="C551" s="328" t="s">
        <v>115</v>
      </c>
      <c r="E551" s="326">
        <v>0</v>
      </c>
      <c r="F551" s="48">
        <f t="shared" si="16"/>
        <v>0</v>
      </c>
    </row>
    <row r="552" spans="1:6" ht="14.4" x14ac:dyDescent="0.3">
      <c r="A552" s="324"/>
      <c r="B552" s="324" t="s">
        <v>629</v>
      </c>
      <c r="C552" s="328" t="s">
        <v>115</v>
      </c>
      <c r="E552" s="326">
        <v>0</v>
      </c>
      <c r="F552" s="48">
        <f t="shared" si="16"/>
        <v>0</v>
      </c>
    </row>
    <row r="553" spans="1:6" ht="14.4" x14ac:dyDescent="0.3">
      <c r="A553" s="324"/>
      <c r="B553" s="324" t="s">
        <v>630</v>
      </c>
      <c r="C553" s="328" t="s">
        <v>115</v>
      </c>
      <c r="E553" s="326">
        <v>0</v>
      </c>
      <c r="F553" s="48">
        <f t="shared" si="16"/>
        <v>0</v>
      </c>
    </row>
    <row r="554" spans="1:6" ht="14.4" x14ac:dyDescent="0.3">
      <c r="A554" s="324"/>
      <c r="B554" s="324" t="s">
        <v>631</v>
      </c>
      <c r="C554" s="328" t="s">
        <v>115</v>
      </c>
      <c r="E554" s="326">
        <v>0</v>
      </c>
      <c r="F554" s="48">
        <f t="shared" si="16"/>
        <v>0</v>
      </c>
    </row>
    <row r="555" spans="1:6" ht="14.4" x14ac:dyDescent="0.3">
      <c r="A555" s="324"/>
      <c r="B555" s="324" t="s">
        <v>632</v>
      </c>
      <c r="C555" s="328" t="s">
        <v>115</v>
      </c>
      <c r="E555" s="326">
        <v>0</v>
      </c>
      <c r="F555" s="48">
        <f t="shared" si="16"/>
        <v>0</v>
      </c>
    </row>
    <row r="556" spans="1:6" ht="14.4" x14ac:dyDescent="0.3">
      <c r="A556" s="324"/>
      <c r="B556" s="324" t="s">
        <v>633</v>
      </c>
      <c r="C556" s="328" t="s">
        <v>115</v>
      </c>
      <c r="E556" s="326">
        <v>0</v>
      </c>
      <c r="F556" s="48">
        <f t="shared" si="16"/>
        <v>0</v>
      </c>
    </row>
    <row r="557" spans="1:6" ht="14.4" x14ac:dyDescent="0.3">
      <c r="A557" s="324"/>
      <c r="B557" s="324" t="s">
        <v>634</v>
      </c>
      <c r="C557" s="328" t="s">
        <v>115</v>
      </c>
      <c r="E557" s="326">
        <v>0</v>
      </c>
      <c r="F557" s="48">
        <f t="shared" si="16"/>
        <v>0</v>
      </c>
    </row>
    <row r="558" spans="1:6" ht="14.4" x14ac:dyDescent="0.3">
      <c r="A558" s="324"/>
      <c r="B558" s="324" t="s">
        <v>635</v>
      </c>
      <c r="C558" s="328" t="s">
        <v>115</v>
      </c>
      <c r="E558" s="326">
        <v>0</v>
      </c>
      <c r="F558" s="48">
        <f t="shared" si="16"/>
        <v>0</v>
      </c>
    </row>
    <row r="559" spans="1:6" ht="14.4" x14ac:dyDescent="0.3">
      <c r="A559" s="324"/>
      <c r="B559" s="324" t="s">
        <v>636</v>
      </c>
      <c r="C559" s="328" t="s">
        <v>115</v>
      </c>
      <c r="E559" s="326">
        <v>0</v>
      </c>
      <c r="F559" s="48">
        <f t="shared" si="16"/>
        <v>0</v>
      </c>
    </row>
    <row r="560" spans="1:6" ht="14.4" x14ac:dyDescent="0.3">
      <c r="A560" s="324"/>
      <c r="B560" s="324" t="s">
        <v>637</v>
      </c>
      <c r="C560" s="328" t="s">
        <v>115</v>
      </c>
      <c r="E560" s="326">
        <v>0</v>
      </c>
      <c r="F560" s="48">
        <f t="shared" si="16"/>
        <v>0</v>
      </c>
    </row>
    <row r="561" spans="1:6" ht="14.4" x14ac:dyDescent="0.3">
      <c r="A561" s="324"/>
      <c r="B561" s="324" t="s">
        <v>638</v>
      </c>
      <c r="C561" s="328" t="s">
        <v>115</v>
      </c>
      <c r="E561" s="326">
        <v>0</v>
      </c>
      <c r="F561" s="48">
        <f t="shared" si="16"/>
        <v>0</v>
      </c>
    </row>
    <row r="562" spans="1:6" ht="14.4" x14ac:dyDescent="0.3">
      <c r="A562" s="324"/>
      <c r="B562" s="324" t="s">
        <v>639</v>
      </c>
      <c r="C562" s="328" t="s">
        <v>115</v>
      </c>
      <c r="E562" s="326">
        <v>0</v>
      </c>
      <c r="F562" s="48">
        <f t="shared" si="16"/>
        <v>0</v>
      </c>
    </row>
    <row r="563" spans="1:6" ht="14.4" x14ac:dyDescent="0.3">
      <c r="A563" s="324"/>
      <c r="B563" s="324" t="s">
        <v>640</v>
      </c>
      <c r="C563" s="328" t="s">
        <v>115</v>
      </c>
      <c r="E563" s="326">
        <v>0</v>
      </c>
      <c r="F563" s="48">
        <f t="shared" si="16"/>
        <v>0</v>
      </c>
    </row>
    <row r="564" spans="1:6" ht="14.4" x14ac:dyDescent="0.3">
      <c r="A564" s="324"/>
      <c r="B564" s="324" t="s">
        <v>641</v>
      </c>
      <c r="C564" s="328" t="s">
        <v>115</v>
      </c>
      <c r="E564" s="326">
        <v>0</v>
      </c>
      <c r="F564" s="48">
        <f t="shared" si="16"/>
        <v>0</v>
      </c>
    </row>
    <row r="565" spans="1:6" ht="14.4" x14ac:dyDescent="0.3">
      <c r="A565" s="324"/>
      <c r="B565" s="324" t="s">
        <v>642</v>
      </c>
      <c r="C565" s="328" t="s">
        <v>115</v>
      </c>
      <c r="E565" s="326">
        <v>0</v>
      </c>
      <c r="F565" s="48">
        <f t="shared" si="16"/>
        <v>0</v>
      </c>
    </row>
    <row r="566" spans="1:6" ht="14.4" x14ac:dyDescent="0.3">
      <c r="A566" s="324"/>
      <c r="B566" s="324" t="s">
        <v>643</v>
      </c>
      <c r="C566" s="328" t="s">
        <v>115</v>
      </c>
      <c r="E566" s="326">
        <v>0</v>
      </c>
      <c r="F566" s="48">
        <f t="shared" si="16"/>
        <v>0</v>
      </c>
    </row>
    <row r="567" spans="1:6" ht="14.4" x14ac:dyDescent="0.3">
      <c r="A567" s="324"/>
      <c r="B567" s="324" t="s">
        <v>644</v>
      </c>
      <c r="C567" s="328" t="s">
        <v>115</v>
      </c>
      <c r="E567" s="326">
        <v>0</v>
      </c>
      <c r="F567" s="48">
        <f t="shared" si="16"/>
        <v>0</v>
      </c>
    </row>
    <row r="568" spans="1:6" ht="14.4" x14ac:dyDescent="0.3">
      <c r="A568" s="324"/>
      <c r="B568" s="324" t="s">
        <v>645</v>
      </c>
      <c r="C568" s="328" t="s">
        <v>115</v>
      </c>
      <c r="E568" s="326">
        <v>0</v>
      </c>
      <c r="F568" s="48">
        <f t="shared" si="16"/>
        <v>0</v>
      </c>
    </row>
    <row r="569" spans="1:6" ht="14.4" x14ac:dyDescent="0.3">
      <c r="A569" s="324"/>
      <c r="B569" s="324" t="s">
        <v>646</v>
      </c>
      <c r="C569" s="328" t="s">
        <v>115</v>
      </c>
      <c r="E569" s="326">
        <v>0</v>
      </c>
      <c r="F569" s="48">
        <f t="shared" si="16"/>
        <v>0</v>
      </c>
    </row>
    <row r="570" spans="1:6" ht="14.4" x14ac:dyDescent="0.3">
      <c r="A570" s="324"/>
      <c r="B570" s="324" t="s">
        <v>647</v>
      </c>
      <c r="C570" s="328" t="s">
        <v>115</v>
      </c>
      <c r="E570" s="326">
        <v>0</v>
      </c>
      <c r="F570" s="48">
        <f t="shared" si="16"/>
        <v>0</v>
      </c>
    </row>
    <row r="571" spans="1:6" ht="14.4" x14ac:dyDescent="0.3">
      <c r="A571" s="324"/>
      <c r="B571" s="324" t="s">
        <v>648</v>
      </c>
      <c r="C571" s="328" t="s">
        <v>115</v>
      </c>
      <c r="E571" s="326">
        <v>0</v>
      </c>
      <c r="F571" s="48">
        <f t="shared" si="16"/>
        <v>0</v>
      </c>
    </row>
    <row r="572" spans="1:6" ht="14.4" x14ac:dyDescent="0.3">
      <c r="A572" s="324"/>
      <c r="B572" s="324" t="s">
        <v>649</v>
      </c>
      <c r="C572" s="328" t="s">
        <v>115</v>
      </c>
      <c r="E572" s="326">
        <v>0</v>
      </c>
      <c r="F572" s="48">
        <f t="shared" si="16"/>
        <v>0</v>
      </c>
    </row>
    <row r="573" spans="1:6" ht="14.4" x14ac:dyDescent="0.3">
      <c r="A573" s="324"/>
      <c r="B573" s="324" t="s">
        <v>650</v>
      </c>
      <c r="C573" s="328" t="s">
        <v>115</v>
      </c>
      <c r="E573" s="326">
        <v>0</v>
      </c>
      <c r="F573" s="48">
        <f t="shared" si="16"/>
        <v>0</v>
      </c>
    </row>
    <row r="574" spans="1:6" ht="14.4" x14ac:dyDescent="0.3">
      <c r="A574" s="324"/>
      <c r="B574" s="324" t="s">
        <v>651</v>
      </c>
      <c r="C574" s="328" t="s">
        <v>115</v>
      </c>
      <c r="E574" s="326">
        <v>5.61</v>
      </c>
      <c r="F574" s="48">
        <f t="shared" si="16"/>
        <v>0</v>
      </c>
    </row>
    <row r="575" spans="1:6" ht="14.4" x14ac:dyDescent="0.3">
      <c r="A575" s="324"/>
      <c r="B575" s="324" t="s">
        <v>652</v>
      </c>
      <c r="C575" s="328" t="s">
        <v>115</v>
      </c>
      <c r="E575" s="326">
        <v>0</v>
      </c>
      <c r="F575" s="48">
        <f t="shared" si="16"/>
        <v>0</v>
      </c>
    </row>
    <row r="576" spans="1:6" ht="14.4" x14ac:dyDescent="0.3">
      <c r="A576" s="324"/>
      <c r="B576" s="324" t="s">
        <v>653</v>
      </c>
      <c r="C576" s="328" t="s">
        <v>115</v>
      </c>
      <c r="E576" s="326">
        <v>0</v>
      </c>
      <c r="F576" s="48">
        <f t="shared" si="16"/>
        <v>0</v>
      </c>
    </row>
    <row r="577" spans="1:6" ht="14.4" x14ac:dyDescent="0.3">
      <c r="A577" s="324"/>
      <c r="B577" s="324" t="s">
        <v>654</v>
      </c>
      <c r="C577" s="328" t="s">
        <v>115</v>
      </c>
      <c r="E577" s="326">
        <v>0</v>
      </c>
      <c r="F577" s="48">
        <f t="shared" si="16"/>
        <v>0</v>
      </c>
    </row>
    <row r="578" spans="1:6" ht="14.4" x14ac:dyDescent="0.3">
      <c r="A578" s="324"/>
      <c r="B578" s="324" t="s">
        <v>655</v>
      </c>
      <c r="C578" s="328" t="s">
        <v>115</v>
      </c>
      <c r="E578" s="326">
        <v>0</v>
      </c>
      <c r="F578" s="48">
        <f t="shared" si="16"/>
        <v>0</v>
      </c>
    </row>
    <row r="579" spans="1:6" ht="14.4" x14ac:dyDescent="0.3">
      <c r="A579" s="324"/>
      <c r="B579" s="324" t="s">
        <v>656</v>
      </c>
      <c r="C579" s="328" t="s">
        <v>115</v>
      </c>
      <c r="E579" s="326">
        <v>0</v>
      </c>
      <c r="F579" s="48">
        <f t="shared" si="16"/>
        <v>0</v>
      </c>
    </row>
    <row r="580" spans="1:6" ht="14.4" x14ac:dyDescent="0.3">
      <c r="A580" s="324"/>
      <c r="B580" s="324" t="s">
        <v>657</v>
      </c>
      <c r="C580" s="328" t="s">
        <v>115</v>
      </c>
      <c r="E580" s="326">
        <v>0</v>
      </c>
      <c r="F580" s="48">
        <f t="shared" si="16"/>
        <v>0</v>
      </c>
    </row>
    <row r="581" spans="1:6" ht="14.4" x14ac:dyDescent="0.3">
      <c r="A581" s="324"/>
      <c r="B581" s="324" t="s">
        <v>658</v>
      </c>
      <c r="C581" s="328" t="s">
        <v>115</v>
      </c>
      <c r="E581" s="326">
        <v>0</v>
      </c>
      <c r="F581" s="48">
        <f t="shared" si="16"/>
        <v>0</v>
      </c>
    </row>
    <row r="582" spans="1:6" ht="14.4" x14ac:dyDescent="0.3">
      <c r="A582" s="324"/>
      <c r="B582" s="324" t="s">
        <v>659</v>
      </c>
      <c r="C582" s="328" t="s">
        <v>115</v>
      </c>
      <c r="E582" s="326">
        <v>0</v>
      </c>
      <c r="F582" s="48">
        <f t="shared" si="16"/>
        <v>0</v>
      </c>
    </row>
    <row r="583" spans="1:6" ht="14.4" x14ac:dyDescent="0.3">
      <c r="A583" s="324"/>
      <c r="B583" s="324" t="s">
        <v>660</v>
      </c>
      <c r="C583" s="328" t="s">
        <v>115</v>
      </c>
      <c r="E583" s="326">
        <v>0</v>
      </c>
      <c r="F583" s="48">
        <f t="shared" si="16"/>
        <v>0</v>
      </c>
    </row>
    <row r="584" spans="1:6" ht="14.4" x14ac:dyDescent="0.3">
      <c r="A584" s="324"/>
      <c r="B584" s="324" t="s">
        <v>661</v>
      </c>
      <c r="C584" s="328" t="s">
        <v>115</v>
      </c>
      <c r="E584" s="326">
        <v>0</v>
      </c>
      <c r="F584" s="48">
        <f t="shared" si="16"/>
        <v>0</v>
      </c>
    </row>
    <row r="585" spans="1:6" ht="14.4" x14ac:dyDescent="0.3">
      <c r="A585" s="324"/>
      <c r="B585" s="324" t="s">
        <v>662</v>
      </c>
      <c r="C585" s="328" t="s">
        <v>115</v>
      </c>
      <c r="E585" s="326">
        <v>0</v>
      </c>
      <c r="F585" s="48">
        <f t="shared" si="16"/>
        <v>0</v>
      </c>
    </row>
    <row r="586" spans="1:6" ht="14.4" x14ac:dyDescent="0.3">
      <c r="A586" s="324"/>
      <c r="B586" s="324" t="s">
        <v>663</v>
      </c>
      <c r="C586" s="328" t="s">
        <v>115</v>
      </c>
      <c r="E586" s="326">
        <v>0</v>
      </c>
      <c r="F586" s="48">
        <f t="shared" si="16"/>
        <v>0</v>
      </c>
    </row>
    <row r="587" spans="1:6" ht="14.4" x14ac:dyDescent="0.3">
      <c r="A587" s="324"/>
      <c r="B587" s="324" t="s">
        <v>664</v>
      </c>
      <c r="C587" s="328" t="s">
        <v>115</v>
      </c>
      <c r="E587" s="326">
        <v>0</v>
      </c>
      <c r="F587" s="48">
        <f t="shared" si="16"/>
        <v>0</v>
      </c>
    </row>
    <row r="588" spans="1:6" ht="14.4" x14ac:dyDescent="0.3">
      <c r="A588" s="324"/>
      <c r="B588" s="324" t="s">
        <v>665</v>
      </c>
      <c r="C588" s="328" t="s">
        <v>115</v>
      </c>
      <c r="E588" s="326">
        <v>0</v>
      </c>
      <c r="F588" s="48">
        <f t="shared" si="16"/>
        <v>0</v>
      </c>
    </row>
    <row r="589" spans="1:6" ht="14.4" x14ac:dyDescent="0.3">
      <c r="A589" s="324"/>
      <c r="B589" s="324" t="s">
        <v>666</v>
      </c>
      <c r="C589" s="328" t="s">
        <v>115</v>
      </c>
      <c r="E589" s="326">
        <v>0</v>
      </c>
      <c r="F589" s="48">
        <f t="shared" si="16"/>
        <v>0</v>
      </c>
    </row>
    <row r="590" spans="1:6" ht="14.4" x14ac:dyDescent="0.3">
      <c r="A590" s="324"/>
      <c r="B590" s="324" t="s">
        <v>667</v>
      </c>
      <c r="C590" s="328" t="s">
        <v>115</v>
      </c>
      <c r="E590" s="326">
        <v>0</v>
      </c>
      <c r="F590" s="48">
        <f t="shared" si="16"/>
        <v>0</v>
      </c>
    </row>
    <row r="591" spans="1:6" ht="14.4" x14ac:dyDescent="0.3">
      <c r="A591" s="324"/>
      <c r="B591" s="324" t="s">
        <v>668</v>
      </c>
      <c r="C591" s="328" t="s">
        <v>115</v>
      </c>
      <c r="E591" s="326">
        <v>0</v>
      </c>
      <c r="F591" s="48">
        <f t="shared" si="16"/>
        <v>0</v>
      </c>
    </row>
    <row r="592" spans="1:6" ht="14.4" x14ac:dyDescent="0.3">
      <c r="A592" s="324"/>
      <c r="B592" s="324" t="s">
        <v>669</v>
      </c>
      <c r="C592" s="328" t="s">
        <v>115</v>
      </c>
      <c r="E592" s="326">
        <v>0</v>
      </c>
      <c r="F592" s="48">
        <f t="shared" si="16"/>
        <v>0</v>
      </c>
    </row>
    <row r="593" spans="1:6" ht="14.4" x14ac:dyDescent="0.3">
      <c r="A593" s="324"/>
      <c r="B593" s="324" t="s">
        <v>670</v>
      </c>
      <c r="C593" s="328" t="s">
        <v>115</v>
      </c>
      <c r="E593" s="326">
        <v>0</v>
      </c>
      <c r="F593" s="48">
        <f t="shared" si="16"/>
        <v>0</v>
      </c>
    </row>
    <row r="594" spans="1:6" ht="14.4" x14ac:dyDescent="0.3">
      <c r="A594" s="324"/>
      <c r="B594" s="324" t="s">
        <v>671</v>
      </c>
      <c r="C594" s="328" t="s">
        <v>115</v>
      </c>
      <c r="E594" s="326">
        <v>0</v>
      </c>
      <c r="F594" s="48">
        <f t="shared" si="16"/>
        <v>0</v>
      </c>
    </row>
    <row r="595" spans="1:6" ht="14.4" x14ac:dyDescent="0.3">
      <c r="A595" s="324"/>
      <c r="B595" s="324" t="s">
        <v>672</v>
      </c>
      <c r="C595" s="328" t="s">
        <v>115</v>
      </c>
      <c r="E595" s="326">
        <v>0</v>
      </c>
      <c r="F595" s="48">
        <f t="shared" si="16"/>
        <v>0</v>
      </c>
    </row>
    <row r="596" spans="1:6" ht="14.4" x14ac:dyDescent="0.3">
      <c r="A596" s="324"/>
      <c r="B596" s="324" t="s">
        <v>673</v>
      </c>
      <c r="C596" s="328" t="s">
        <v>115</v>
      </c>
      <c r="E596" s="326">
        <v>0</v>
      </c>
      <c r="F596" s="48">
        <f t="shared" si="16"/>
        <v>0</v>
      </c>
    </row>
    <row r="597" spans="1:6" ht="14.4" x14ac:dyDescent="0.3">
      <c r="A597" s="324"/>
      <c r="B597" s="324" t="s">
        <v>674</v>
      </c>
      <c r="C597" s="328" t="s">
        <v>115</v>
      </c>
      <c r="E597" s="326">
        <v>0</v>
      </c>
      <c r="F597" s="48">
        <f t="shared" si="16"/>
        <v>0</v>
      </c>
    </row>
    <row r="598" spans="1:6" ht="14.4" x14ac:dyDescent="0.3">
      <c r="A598" s="324"/>
      <c r="B598" s="324" t="s">
        <v>675</v>
      </c>
      <c r="C598" s="328" t="s">
        <v>115</v>
      </c>
      <c r="E598" s="326">
        <v>0</v>
      </c>
      <c r="F598" s="48">
        <f t="shared" si="16"/>
        <v>0</v>
      </c>
    </row>
    <row r="599" spans="1:6" ht="14.4" x14ac:dyDescent="0.3">
      <c r="A599" s="324"/>
      <c r="B599" s="324" t="s">
        <v>676</v>
      </c>
      <c r="C599" s="328" t="s">
        <v>115</v>
      </c>
      <c r="E599" s="326">
        <v>0</v>
      </c>
      <c r="F599" s="48">
        <f t="shared" si="16"/>
        <v>0</v>
      </c>
    </row>
    <row r="600" spans="1:6" ht="14.4" x14ac:dyDescent="0.3">
      <c r="A600" s="324"/>
      <c r="B600" s="324" t="s">
        <v>677</v>
      </c>
      <c r="C600" s="328" t="s">
        <v>115</v>
      </c>
      <c r="E600" s="326">
        <v>26.25</v>
      </c>
      <c r="F600" s="48">
        <f t="shared" si="16"/>
        <v>0</v>
      </c>
    </row>
    <row r="601" spans="1:6" ht="14.4" x14ac:dyDescent="0.3">
      <c r="A601" s="324"/>
      <c r="B601" s="324" t="s">
        <v>678</v>
      </c>
      <c r="C601" s="328" t="s">
        <v>115</v>
      </c>
      <c r="E601" s="326">
        <v>0</v>
      </c>
      <c r="F601" s="48">
        <f t="shared" si="16"/>
        <v>0</v>
      </c>
    </row>
    <row r="602" spans="1:6" ht="14.4" x14ac:dyDescent="0.3">
      <c r="A602" s="324"/>
      <c r="B602" s="324" t="s">
        <v>679</v>
      </c>
      <c r="C602" s="328" t="s">
        <v>115</v>
      </c>
      <c r="E602" s="326">
        <v>0</v>
      </c>
      <c r="F602" s="48">
        <f t="shared" si="16"/>
        <v>0</v>
      </c>
    </row>
    <row r="603" spans="1:6" ht="14.4" x14ac:dyDescent="0.3">
      <c r="A603" s="324"/>
      <c r="B603" s="324" t="s">
        <v>680</v>
      </c>
      <c r="C603" s="328" t="s">
        <v>115</v>
      </c>
      <c r="E603" s="326">
        <v>0</v>
      </c>
      <c r="F603" s="48">
        <f t="shared" si="16"/>
        <v>0</v>
      </c>
    </row>
    <row r="604" spans="1:6" ht="14.4" x14ac:dyDescent="0.3">
      <c r="A604" s="324"/>
      <c r="B604" s="324" t="s">
        <v>681</v>
      </c>
      <c r="C604" s="328" t="s">
        <v>115</v>
      </c>
      <c r="E604" s="326">
        <v>0</v>
      </c>
      <c r="F604" s="48">
        <f t="shared" ref="F604:F667" si="17">E604*D604</f>
        <v>0</v>
      </c>
    </row>
    <row r="605" spans="1:6" ht="14.4" x14ac:dyDescent="0.3">
      <c r="A605" s="324"/>
      <c r="B605" s="324" t="s">
        <v>682</v>
      </c>
      <c r="C605" s="328" t="s">
        <v>115</v>
      </c>
      <c r="E605" s="326">
        <v>0</v>
      </c>
      <c r="F605" s="48">
        <f t="shared" si="17"/>
        <v>0</v>
      </c>
    </row>
    <row r="606" spans="1:6" ht="14.4" x14ac:dyDescent="0.3">
      <c r="A606" s="324"/>
      <c r="B606" s="324" t="s">
        <v>683</v>
      </c>
      <c r="C606" s="328" t="s">
        <v>115</v>
      </c>
      <c r="E606" s="326">
        <v>0</v>
      </c>
      <c r="F606" s="48">
        <f t="shared" si="17"/>
        <v>0</v>
      </c>
    </row>
    <row r="607" spans="1:6" ht="14.4" x14ac:dyDescent="0.3">
      <c r="A607" s="324"/>
      <c r="B607" s="324" t="s">
        <v>684</v>
      </c>
      <c r="C607" s="328" t="s">
        <v>115</v>
      </c>
      <c r="E607" s="326">
        <v>0</v>
      </c>
      <c r="F607" s="48">
        <f t="shared" si="17"/>
        <v>0</v>
      </c>
    </row>
    <row r="608" spans="1:6" ht="14.4" x14ac:dyDescent="0.3">
      <c r="A608" s="324"/>
      <c r="B608" s="324" t="s">
        <v>685</v>
      </c>
      <c r="C608" s="328" t="s">
        <v>115</v>
      </c>
      <c r="E608" s="326">
        <v>0</v>
      </c>
      <c r="F608" s="48">
        <f t="shared" si="17"/>
        <v>0</v>
      </c>
    </row>
    <row r="609" spans="1:6" ht="14.4" x14ac:dyDescent="0.3">
      <c r="A609" s="324"/>
      <c r="B609" s="324" t="s">
        <v>686</v>
      </c>
      <c r="C609" s="328" t="s">
        <v>115</v>
      </c>
      <c r="E609" s="326">
        <v>0</v>
      </c>
      <c r="F609" s="48">
        <f t="shared" si="17"/>
        <v>0</v>
      </c>
    </row>
    <row r="610" spans="1:6" ht="14.4" x14ac:dyDescent="0.3">
      <c r="A610" s="324"/>
      <c r="B610" s="324" t="s">
        <v>687</v>
      </c>
      <c r="C610" s="328" t="s">
        <v>115</v>
      </c>
      <c r="E610" s="326">
        <v>0</v>
      </c>
      <c r="F610" s="48">
        <f t="shared" si="17"/>
        <v>0</v>
      </c>
    </row>
    <row r="611" spans="1:6" ht="14.4" x14ac:dyDescent="0.3">
      <c r="A611" s="324"/>
      <c r="B611" s="324" t="s">
        <v>688</v>
      </c>
      <c r="C611" s="328" t="s">
        <v>115</v>
      </c>
      <c r="E611" s="326">
        <v>0</v>
      </c>
      <c r="F611" s="48">
        <f t="shared" si="17"/>
        <v>0</v>
      </c>
    </row>
    <row r="612" spans="1:6" ht="14.4" x14ac:dyDescent="0.3">
      <c r="A612" s="324"/>
      <c r="B612" s="324" t="s">
        <v>689</v>
      </c>
      <c r="C612" s="328" t="s">
        <v>115</v>
      </c>
      <c r="E612" s="326">
        <v>0</v>
      </c>
      <c r="F612" s="48">
        <f t="shared" si="17"/>
        <v>0</v>
      </c>
    </row>
    <row r="613" spans="1:6" ht="14.4" x14ac:dyDescent="0.3">
      <c r="A613" s="324"/>
      <c r="B613" s="324" t="s">
        <v>690</v>
      </c>
      <c r="C613" s="328" t="s">
        <v>115</v>
      </c>
      <c r="E613" s="326">
        <v>0</v>
      </c>
      <c r="F613" s="48">
        <f t="shared" si="17"/>
        <v>0</v>
      </c>
    </row>
    <row r="614" spans="1:6" ht="14.4" x14ac:dyDescent="0.3">
      <c r="A614" s="324"/>
      <c r="B614" s="324" t="s">
        <v>691</v>
      </c>
      <c r="C614" s="328" t="s">
        <v>115</v>
      </c>
      <c r="E614" s="326">
        <v>0</v>
      </c>
      <c r="F614" s="48">
        <f t="shared" si="17"/>
        <v>0</v>
      </c>
    </row>
    <row r="615" spans="1:6" ht="14.4" x14ac:dyDescent="0.3">
      <c r="A615" s="324"/>
      <c r="B615" s="324" t="s">
        <v>692</v>
      </c>
      <c r="C615" s="328" t="s">
        <v>115</v>
      </c>
      <c r="E615" s="326">
        <v>0</v>
      </c>
      <c r="F615" s="48">
        <f t="shared" si="17"/>
        <v>0</v>
      </c>
    </row>
    <row r="616" spans="1:6" ht="14.4" x14ac:dyDescent="0.3">
      <c r="A616" s="324"/>
      <c r="B616" s="324" t="s">
        <v>693</v>
      </c>
      <c r="C616" s="328" t="s">
        <v>115</v>
      </c>
      <c r="E616" s="326">
        <v>0</v>
      </c>
      <c r="F616" s="48">
        <f t="shared" si="17"/>
        <v>0</v>
      </c>
    </row>
    <row r="617" spans="1:6" ht="14.4" x14ac:dyDescent="0.3">
      <c r="A617" s="324"/>
      <c r="B617" s="324" t="s">
        <v>694</v>
      </c>
      <c r="C617" s="328" t="s">
        <v>115</v>
      </c>
      <c r="E617" s="326">
        <v>0</v>
      </c>
      <c r="F617" s="48">
        <f t="shared" si="17"/>
        <v>0</v>
      </c>
    </row>
    <row r="618" spans="1:6" ht="14.4" x14ac:dyDescent="0.3">
      <c r="A618" s="324"/>
      <c r="B618" s="324" t="s">
        <v>695</v>
      </c>
      <c r="C618" s="328" t="s">
        <v>115</v>
      </c>
      <c r="E618" s="326">
        <v>0</v>
      </c>
      <c r="F618" s="48">
        <f t="shared" si="17"/>
        <v>0</v>
      </c>
    </row>
    <row r="619" spans="1:6" ht="14.4" x14ac:dyDescent="0.3">
      <c r="A619" s="324"/>
      <c r="B619" s="324" t="s">
        <v>696</v>
      </c>
      <c r="C619" s="328" t="s">
        <v>115</v>
      </c>
      <c r="E619" s="326">
        <v>0</v>
      </c>
      <c r="F619" s="48">
        <f t="shared" si="17"/>
        <v>0</v>
      </c>
    </row>
    <row r="620" spans="1:6" ht="14.4" x14ac:dyDescent="0.3">
      <c r="A620" s="324"/>
      <c r="B620" s="324" t="s">
        <v>697</v>
      </c>
      <c r="C620" s="328" t="s">
        <v>115</v>
      </c>
      <c r="E620" s="326">
        <v>0</v>
      </c>
      <c r="F620" s="48">
        <f t="shared" si="17"/>
        <v>0</v>
      </c>
    </row>
    <row r="621" spans="1:6" ht="14.4" x14ac:dyDescent="0.3">
      <c r="A621" s="324"/>
      <c r="B621" s="324" t="s">
        <v>698</v>
      </c>
      <c r="C621" s="328" t="s">
        <v>115</v>
      </c>
      <c r="E621" s="326">
        <v>0</v>
      </c>
      <c r="F621" s="48">
        <f t="shared" si="17"/>
        <v>0</v>
      </c>
    </row>
    <row r="622" spans="1:6" ht="14.4" x14ac:dyDescent="0.3">
      <c r="A622" s="324"/>
      <c r="B622" s="324" t="s">
        <v>699</v>
      </c>
      <c r="C622" s="328" t="s">
        <v>115</v>
      </c>
      <c r="E622" s="326">
        <v>0</v>
      </c>
      <c r="F622" s="48">
        <f t="shared" si="17"/>
        <v>0</v>
      </c>
    </row>
    <row r="623" spans="1:6" ht="14.4" x14ac:dyDescent="0.3">
      <c r="A623" s="324"/>
      <c r="B623" s="324" t="s">
        <v>700</v>
      </c>
      <c r="C623" s="328" t="s">
        <v>115</v>
      </c>
      <c r="E623" s="326">
        <v>0</v>
      </c>
      <c r="F623" s="48">
        <f t="shared" si="17"/>
        <v>0</v>
      </c>
    </row>
    <row r="624" spans="1:6" ht="14.4" x14ac:dyDescent="0.3">
      <c r="A624" s="324"/>
      <c r="B624" s="324" t="s">
        <v>701</v>
      </c>
      <c r="C624" s="328" t="s">
        <v>115</v>
      </c>
      <c r="E624" s="326">
        <v>0</v>
      </c>
      <c r="F624" s="48">
        <f t="shared" si="17"/>
        <v>0</v>
      </c>
    </row>
    <row r="625" spans="1:10" ht="14.4" x14ac:dyDescent="0.3">
      <c r="A625" s="324"/>
      <c r="B625" s="324" t="s">
        <v>702</v>
      </c>
      <c r="C625" s="328" t="s">
        <v>115</v>
      </c>
      <c r="E625" s="326">
        <v>0</v>
      </c>
      <c r="F625" s="48">
        <f t="shared" si="17"/>
        <v>0</v>
      </c>
    </row>
    <row r="626" spans="1:10" ht="14.4" x14ac:dyDescent="0.3">
      <c r="A626" s="324"/>
      <c r="B626" s="324" t="s">
        <v>703</v>
      </c>
      <c r="C626" s="328" t="s">
        <v>115</v>
      </c>
      <c r="E626" s="326">
        <v>0</v>
      </c>
      <c r="F626" s="48">
        <f t="shared" si="17"/>
        <v>0</v>
      </c>
    </row>
    <row r="627" spans="1:10" ht="14.4" x14ac:dyDescent="0.3">
      <c r="A627" s="324"/>
      <c r="B627" s="324"/>
      <c r="C627" s="328" t="s">
        <v>115</v>
      </c>
      <c r="E627" s="326">
        <v>0</v>
      </c>
      <c r="F627" s="48">
        <f t="shared" si="17"/>
        <v>0</v>
      </c>
    </row>
    <row r="628" spans="1:10" ht="14.4" x14ac:dyDescent="0.3">
      <c r="A628" s="324"/>
      <c r="B628" s="324" t="s">
        <v>704</v>
      </c>
      <c r="C628" s="328" t="s">
        <v>149</v>
      </c>
      <c r="E628" s="326">
        <v>0</v>
      </c>
      <c r="F628" s="48">
        <f t="shared" si="17"/>
        <v>0</v>
      </c>
      <c r="G628" s="328"/>
      <c r="H628" s="40"/>
      <c r="I628" s="326"/>
      <c r="J628" s="48"/>
    </row>
    <row r="629" spans="1:10" ht="14.4" x14ac:dyDescent="0.3">
      <c r="A629" s="324"/>
      <c r="B629" s="324" t="s">
        <v>705</v>
      </c>
      <c r="C629" s="328" t="s">
        <v>149</v>
      </c>
      <c r="E629" s="326">
        <v>0</v>
      </c>
      <c r="F629" s="48">
        <f t="shared" si="17"/>
        <v>0</v>
      </c>
      <c r="G629" s="328"/>
      <c r="H629" s="40"/>
      <c r="I629" s="326"/>
      <c r="J629" s="48"/>
    </row>
    <row r="630" spans="1:10" ht="14.4" x14ac:dyDescent="0.3">
      <c r="A630" s="324"/>
      <c r="B630" s="324" t="s">
        <v>706</v>
      </c>
      <c r="C630" s="328" t="s">
        <v>149</v>
      </c>
      <c r="E630" s="326">
        <v>0</v>
      </c>
      <c r="F630" s="48">
        <f t="shared" si="17"/>
        <v>0</v>
      </c>
      <c r="G630" s="328"/>
      <c r="H630" s="40"/>
      <c r="I630" s="326"/>
      <c r="J630" s="48"/>
    </row>
    <row r="631" spans="1:10" ht="14.4" x14ac:dyDescent="0.3">
      <c r="A631" s="324"/>
      <c r="B631" s="324" t="s">
        <v>707</v>
      </c>
      <c r="C631" s="328" t="s">
        <v>115</v>
      </c>
      <c r="E631" s="326">
        <v>0</v>
      </c>
      <c r="F631" s="48">
        <f t="shared" si="17"/>
        <v>0</v>
      </c>
      <c r="G631" s="328"/>
      <c r="H631" s="40"/>
      <c r="I631" s="326"/>
      <c r="J631" s="48"/>
    </row>
    <row r="632" spans="1:10" ht="14.4" x14ac:dyDescent="0.3">
      <c r="A632" s="324"/>
      <c r="B632" s="324" t="s">
        <v>708</v>
      </c>
      <c r="C632" s="328" t="s">
        <v>115</v>
      </c>
      <c r="E632" s="326">
        <v>0</v>
      </c>
      <c r="F632" s="48">
        <f t="shared" si="17"/>
        <v>0</v>
      </c>
      <c r="G632" s="328"/>
      <c r="H632" s="40"/>
      <c r="I632" s="326"/>
      <c r="J632" s="48"/>
    </row>
    <row r="633" spans="1:10" ht="14.4" x14ac:dyDescent="0.3">
      <c r="A633" s="324"/>
      <c r="B633" s="324" t="s">
        <v>709</v>
      </c>
      <c r="C633" s="328" t="s">
        <v>115</v>
      </c>
      <c r="E633" s="326">
        <v>0</v>
      </c>
      <c r="F633" s="48">
        <f t="shared" si="17"/>
        <v>0</v>
      </c>
      <c r="G633" s="328"/>
      <c r="H633" s="40"/>
      <c r="I633" s="326"/>
      <c r="J633" s="48"/>
    </row>
    <row r="634" spans="1:10" ht="14.4" x14ac:dyDescent="0.3">
      <c r="A634" s="324"/>
      <c r="B634" s="324" t="s">
        <v>710</v>
      </c>
      <c r="C634" s="328" t="s">
        <v>115</v>
      </c>
      <c r="E634" s="326">
        <v>0</v>
      </c>
      <c r="F634" s="48">
        <f t="shared" si="17"/>
        <v>0</v>
      </c>
      <c r="G634" s="328"/>
      <c r="H634" s="40"/>
      <c r="I634" s="326"/>
      <c r="J634" s="48"/>
    </row>
    <row r="635" spans="1:10" ht="14.4" x14ac:dyDescent="0.3">
      <c r="A635" s="324"/>
      <c r="B635" s="324" t="s">
        <v>711</v>
      </c>
      <c r="C635" s="328" t="s">
        <v>115</v>
      </c>
      <c r="E635" s="326">
        <v>0</v>
      </c>
      <c r="F635" s="48">
        <f t="shared" si="17"/>
        <v>0</v>
      </c>
      <c r="G635" s="328"/>
      <c r="H635" s="40"/>
      <c r="I635" s="326"/>
      <c r="J635" s="48"/>
    </row>
    <row r="636" spans="1:10" ht="14.4" x14ac:dyDescent="0.3">
      <c r="A636" s="324"/>
      <c r="B636" s="324" t="s">
        <v>712</v>
      </c>
      <c r="C636" s="328" t="s">
        <v>115</v>
      </c>
      <c r="E636" s="326">
        <v>0</v>
      </c>
      <c r="F636" s="48">
        <f t="shared" si="17"/>
        <v>0</v>
      </c>
      <c r="G636" s="328"/>
      <c r="H636" s="40"/>
      <c r="I636" s="326"/>
      <c r="J636" s="48"/>
    </row>
    <row r="637" spans="1:10" ht="14.4" x14ac:dyDescent="0.3">
      <c r="A637" s="324"/>
      <c r="B637" s="324" t="s">
        <v>713</v>
      </c>
      <c r="C637" s="328" t="s">
        <v>115</v>
      </c>
      <c r="E637" s="326">
        <v>0</v>
      </c>
      <c r="F637" s="48">
        <f t="shared" si="17"/>
        <v>0</v>
      </c>
      <c r="G637" s="328"/>
      <c r="H637" s="40"/>
      <c r="I637" s="326"/>
      <c r="J637" s="48"/>
    </row>
    <row r="638" spans="1:10" ht="14.4" x14ac:dyDescent="0.3">
      <c r="A638" s="324"/>
      <c r="B638" s="324" t="s">
        <v>714</v>
      </c>
      <c r="C638" s="328" t="s">
        <v>115</v>
      </c>
      <c r="E638" s="326">
        <v>0</v>
      </c>
      <c r="F638" s="48">
        <f t="shared" si="17"/>
        <v>0</v>
      </c>
      <c r="G638" s="328"/>
      <c r="H638" s="40"/>
      <c r="I638" s="326"/>
      <c r="J638" s="48"/>
    </row>
    <row r="639" spans="1:10" ht="14.4" x14ac:dyDescent="0.3">
      <c r="A639" s="324"/>
      <c r="B639" s="324" t="s">
        <v>715</v>
      </c>
      <c r="C639" s="328" t="s">
        <v>115</v>
      </c>
      <c r="E639" s="326">
        <v>0</v>
      </c>
      <c r="F639" s="48">
        <f t="shared" si="17"/>
        <v>0</v>
      </c>
      <c r="G639" s="328"/>
      <c r="H639" s="40"/>
      <c r="I639" s="326"/>
      <c r="J639" s="48"/>
    </row>
    <row r="640" spans="1:10" ht="14.4" x14ac:dyDescent="0.3">
      <c r="A640" s="324"/>
      <c r="B640" s="324" t="s">
        <v>716</v>
      </c>
      <c r="C640" s="328" t="s">
        <v>115</v>
      </c>
      <c r="E640" s="326">
        <v>0</v>
      </c>
      <c r="F640" s="48">
        <f t="shared" si="17"/>
        <v>0</v>
      </c>
      <c r="G640" s="328"/>
      <c r="H640" s="40"/>
      <c r="I640" s="326"/>
      <c r="J640" s="48"/>
    </row>
    <row r="641" spans="1:10" ht="14.4" x14ac:dyDescent="0.3">
      <c r="A641" s="324"/>
      <c r="B641" s="324" t="s">
        <v>717</v>
      </c>
      <c r="C641" s="328" t="s">
        <v>115</v>
      </c>
      <c r="E641" s="326">
        <v>0</v>
      </c>
      <c r="F641" s="48">
        <f t="shared" si="17"/>
        <v>0</v>
      </c>
      <c r="G641" s="328"/>
      <c r="H641" s="40"/>
      <c r="I641" s="326"/>
      <c r="J641" s="48"/>
    </row>
    <row r="642" spans="1:10" ht="14.4" x14ac:dyDescent="0.3">
      <c r="A642" s="324"/>
      <c r="B642" s="324" t="s">
        <v>718</v>
      </c>
      <c r="C642" s="328" t="s">
        <v>115</v>
      </c>
      <c r="E642" s="326">
        <v>0</v>
      </c>
      <c r="F642" s="48">
        <f t="shared" si="17"/>
        <v>0</v>
      </c>
      <c r="G642" s="328"/>
      <c r="H642" s="40"/>
      <c r="I642" s="326"/>
      <c r="J642" s="48"/>
    </row>
    <row r="643" spans="1:10" ht="14.4" x14ac:dyDescent="0.3">
      <c r="A643" s="324"/>
      <c r="B643" s="324" t="s">
        <v>719</v>
      </c>
      <c r="C643" s="328" t="s">
        <v>115</v>
      </c>
      <c r="E643" s="326">
        <v>0</v>
      </c>
      <c r="F643" s="48">
        <f t="shared" si="17"/>
        <v>0</v>
      </c>
      <c r="G643" s="328"/>
      <c r="H643" s="40"/>
      <c r="I643" s="326"/>
      <c r="J643" s="48"/>
    </row>
    <row r="644" spans="1:10" ht="14.4" x14ac:dyDescent="0.3">
      <c r="A644" s="324"/>
      <c r="B644" s="324" t="s">
        <v>720</v>
      </c>
      <c r="C644" s="328" t="s">
        <v>115</v>
      </c>
      <c r="E644" s="326">
        <v>0</v>
      </c>
      <c r="F644" s="48">
        <f t="shared" si="17"/>
        <v>0</v>
      </c>
      <c r="G644" s="328"/>
      <c r="H644" s="40"/>
      <c r="I644" s="326"/>
      <c r="J644" s="48"/>
    </row>
    <row r="645" spans="1:10" ht="14.4" x14ac:dyDescent="0.3">
      <c r="A645" s="324"/>
      <c r="B645" s="324" t="s">
        <v>721</v>
      </c>
      <c r="C645" s="328" t="s">
        <v>115</v>
      </c>
      <c r="E645" s="326">
        <v>0</v>
      </c>
      <c r="F645" s="48">
        <f t="shared" si="17"/>
        <v>0</v>
      </c>
      <c r="G645" s="328"/>
      <c r="H645" s="40"/>
      <c r="I645" s="326"/>
      <c r="J645" s="48"/>
    </row>
    <row r="646" spans="1:10" ht="14.4" x14ac:dyDescent="0.3">
      <c r="A646" s="324"/>
      <c r="B646" s="324" t="s">
        <v>722</v>
      </c>
      <c r="C646" s="328" t="s">
        <v>115</v>
      </c>
      <c r="E646" s="326">
        <v>0</v>
      </c>
      <c r="F646" s="48">
        <f t="shared" si="17"/>
        <v>0</v>
      </c>
      <c r="G646" s="328"/>
      <c r="H646" s="40"/>
      <c r="I646" s="326"/>
      <c r="J646" s="48"/>
    </row>
    <row r="647" spans="1:10" ht="14.4" x14ac:dyDescent="0.3">
      <c r="A647" s="324"/>
      <c r="B647" s="324" t="s">
        <v>723</v>
      </c>
      <c r="C647" s="328" t="s">
        <v>115</v>
      </c>
      <c r="E647" s="326">
        <v>0</v>
      </c>
      <c r="F647" s="48">
        <f t="shared" si="17"/>
        <v>0</v>
      </c>
      <c r="G647" s="328"/>
      <c r="H647" s="40"/>
      <c r="I647" s="326"/>
      <c r="J647" s="48"/>
    </row>
    <row r="648" spans="1:10" ht="14.4" x14ac:dyDescent="0.3">
      <c r="A648" s="324"/>
      <c r="B648" s="324"/>
      <c r="C648" s="328"/>
      <c r="E648" s="326"/>
      <c r="F648" s="48"/>
    </row>
    <row r="649" spans="1:10" ht="14.4" x14ac:dyDescent="0.3">
      <c r="A649"/>
      <c r="B649" s="330" t="s">
        <v>724</v>
      </c>
      <c r="C649" s="303" t="s">
        <v>115</v>
      </c>
      <c r="E649" s="326">
        <v>56</v>
      </c>
      <c r="F649" s="48">
        <f t="shared" si="17"/>
        <v>0</v>
      </c>
      <c r="G649" s="303"/>
      <c r="H649" s="40"/>
      <c r="I649" s="326"/>
      <c r="J649" s="48"/>
    </row>
    <row r="650" spans="1:10" ht="14.4" x14ac:dyDescent="0.3">
      <c r="A650"/>
      <c r="B650" t="s">
        <v>725</v>
      </c>
      <c r="C650" s="303" t="s">
        <v>115</v>
      </c>
      <c r="E650" s="326">
        <v>202.94</v>
      </c>
      <c r="F650" s="48">
        <f t="shared" si="17"/>
        <v>0</v>
      </c>
      <c r="G650" s="303"/>
      <c r="H650" s="40"/>
      <c r="I650" s="326"/>
      <c r="J650" s="48"/>
    </row>
    <row r="651" spans="1:10" ht="14.4" x14ac:dyDescent="0.3">
      <c r="A651"/>
      <c r="B651" t="s">
        <v>726</v>
      </c>
      <c r="C651" s="303" t="s">
        <v>115</v>
      </c>
      <c r="E651" s="326">
        <v>92.67</v>
      </c>
      <c r="F651" s="48">
        <f t="shared" si="17"/>
        <v>0</v>
      </c>
      <c r="G651" s="303"/>
      <c r="H651" s="40"/>
      <c r="I651" s="326"/>
      <c r="J651" s="48"/>
    </row>
    <row r="652" spans="1:10" ht="14.4" x14ac:dyDescent="0.3">
      <c r="A652"/>
      <c r="B652" t="s">
        <v>727</v>
      </c>
      <c r="C652" s="303" t="s">
        <v>115</v>
      </c>
      <c r="E652" s="326">
        <v>24.71</v>
      </c>
      <c r="F652" s="48">
        <f t="shared" si="17"/>
        <v>0</v>
      </c>
      <c r="G652" s="303"/>
      <c r="H652" s="40"/>
      <c r="I652" s="326"/>
      <c r="J652" s="48"/>
    </row>
    <row r="653" spans="1:10" ht="14.4" x14ac:dyDescent="0.3">
      <c r="A653"/>
      <c r="B653" t="s">
        <v>340</v>
      </c>
      <c r="C653" s="303" t="s">
        <v>115</v>
      </c>
      <c r="E653" s="326">
        <v>20</v>
      </c>
      <c r="F653" s="48">
        <f t="shared" si="17"/>
        <v>0</v>
      </c>
      <c r="G653" s="303"/>
      <c r="H653" s="40"/>
      <c r="I653" s="326"/>
      <c r="J653" s="48"/>
    </row>
    <row r="654" spans="1:10" ht="14.4" x14ac:dyDescent="0.3">
      <c r="A654"/>
      <c r="B654" t="s">
        <v>305</v>
      </c>
      <c r="C654" s="303" t="s">
        <v>115</v>
      </c>
      <c r="E654" s="326">
        <v>136.94</v>
      </c>
      <c r="F654" s="48">
        <f t="shared" si="17"/>
        <v>0</v>
      </c>
      <c r="G654" s="303"/>
      <c r="H654" s="40"/>
      <c r="I654" s="326"/>
      <c r="J654" s="48"/>
    </row>
    <row r="655" spans="1:10" ht="14.4" x14ac:dyDescent="0.3">
      <c r="A655"/>
      <c r="B655" t="s">
        <v>374</v>
      </c>
      <c r="C655" s="303" t="s">
        <v>115</v>
      </c>
      <c r="E655" s="326">
        <v>365</v>
      </c>
      <c r="F655" s="48">
        <f t="shared" si="17"/>
        <v>0</v>
      </c>
      <c r="G655" s="303"/>
      <c r="H655" s="40"/>
      <c r="I655" s="326"/>
      <c r="J655" s="48"/>
    </row>
    <row r="656" spans="1:10" ht="14.4" x14ac:dyDescent="0.3">
      <c r="A656"/>
      <c r="B656" t="s">
        <v>728</v>
      </c>
      <c r="C656" s="303" t="s">
        <v>115</v>
      </c>
      <c r="E656" s="326">
        <v>201.43</v>
      </c>
      <c r="F656" s="48">
        <f t="shared" si="17"/>
        <v>0</v>
      </c>
      <c r="G656" s="303"/>
      <c r="H656" s="40"/>
      <c r="I656" s="326"/>
      <c r="J656" s="48"/>
    </row>
    <row r="657" spans="1:10" ht="14.4" x14ac:dyDescent="0.3">
      <c r="A657"/>
      <c r="B657" t="s">
        <v>376</v>
      </c>
      <c r="C657" s="303" t="s">
        <v>115</v>
      </c>
      <c r="E657" s="326">
        <v>5</v>
      </c>
      <c r="F657" s="48">
        <f t="shared" si="17"/>
        <v>0</v>
      </c>
      <c r="G657" s="303"/>
      <c r="H657" s="40"/>
      <c r="I657" s="326"/>
      <c r="J657" s="48"/>
    </row>
    <row r="658" spans="1:10" ht="14.4" x14ac:dyDescent="0.3">
      <c r="A658"/>
      <c r="B658" t="s">
        <v>729</v>
      </c>
      <c r="C658" s="303" t="s">
        <v>115</v>
      </c>
      <c r="E658" s="326">
        <v>853</v>
      </c>
      <c r="F658" s="48">
        <f t="shared" si="17"/>
        <v>0</v>
      </c>
      <c r="G658" s="303"/>
      <c r="H658" s="40"/>
      <c r="I658" s="326"/>
      <c r="J658" s="48"/>
    </row>
    <row r="659" spans="1:10" ht="14.4" x14ac:dyDescent="0.3">
      <c r="A659"/>
      <c r="B659" t="s">
        <v>730</v>
      </c>
      <c r="C659" s="303" t="s">
        <v>115</v>
      </c>
      <c r="E659" s="326">
        <v>503</v>
      </c>
      <c r="F659" s="48">
        <f t="shared" si="17"/>
        <v>0</v>
      </c>
      <c r="G659" s="303"/>
      <c r="H659" s="40"/>
      <c r="I659" s="326"/>
      <c r="J659" s="48"/>
    </row>
    <row r="660" spans="1:10" ht="14.4" x14ac:dyDescent="0.3">
      <c r="A660"/>
      <c r="B660" t="s">
        <v>731</v>
      </c>
      <c r="C660" s="303" t="s">
        <v>115</v>
      </c>
      <c r="E660" s="326">
        <v>1809.63</v>
      </c>
      <c r="F660" s="48">
        <f t="shared" si="17"/>
        <v>0</v>
      </c>
      <c r="G660" s="303"/>
      <c r="H660" s="40"/>
      <c r="I660" s="326"/>
      <c r="J660" s="48"/>
    </row>
    <row r="661" spans="1:10" ht="14.4" x14ac:dyDescent="0.3">
      <c r="A661"/>
      <c r="B661" s="63" t="s">
        <v>732</v>
      </c>
      <c r="C661" s="303" t="s">
        <v>115</v>
      </c>
      <c r="E661" s="326">
        <v>1650</v>
      </c>
      <c r="F661" s="48">
        <f t="shared" si="17"/>
        <v>0</v>
      </c>
      <c r="G661" s="303"/>
      <c r="H661" s="40"/>
      <c r="I661" s="326"/>
      <c r="J661" s="48"/>
    </row>
    <row r="662" spans="1:10" ht="14.4" x14ac:dyDescent="0.3">
      <c r="A662"/>
      <c r="B662" s="63" t="s">
        <v>733</v>
      </c>
      <c r="C662" s="303" t="s">
        <v>115</v>
      </c>
      <c r="E662" s="326">
        <v>160</v>
      </c>
      <c r="F662" s="48">
        <f t="shared" si="17"/>
        <v>0</v>
      </c>
      <c r="G662" s="303"/>
      <c r="H662" s="40"/>
      <c r="I662" s="326"/>
      <c r="J662" s="48"/>
    </row>
    <row r="663" spans="1:10" ht="14.4" x14ac:dyDescent="0.3">
      <c r="A663"/>
      <c r="B663" s="63" t="s">
        <v>734</v>
      </c>
      <c r="C663" s="303" t="s">
        <v>115</v>
      </c>
      <c r="E663" s="326">
        <v>750</v>
      </c>
      <c r="F663" s="48">
        <f t="shared" si="17"/>
        <v>0</v>
      </c>
      <c r="G663" s="303"/>
      <c r="H663" s="40"/>
      <c r="I663" s="326"/>
      <c r="J663" s="48"/>
    </row>
    <row r="664" spans="1:10" ht="14.4" x14ac:dyDescent="0.3">
      <c r="A664"/>
      <c r="B664" s="63" t="s">
        <v>735</v>
      </c>
      <c r="C664" s="303" t="s">
        <v>115</v>
      </c>
      <c r="E664" s="326">
        <v>450</v>
      </c>
      <c r="F664" s="48">
        <f t="shared" si="17"/>
        <v>0</v>
      </c>
      <c r="G664" s="303"/>
      <c r="H664" s="40"/>
      <c r="I664" s="326"/>
      <c r="J664" s="48"/>
    </row>
    <row r="665" spans="1:10" ht="14.4" x14ac:dyDescent="0.3">
      <c r="A665"/>
      <c r="B665" s="63" t="s">
        <v>736</v>
      </c>
      <c r="C665" s="303" t="s">
        <v>115</v>
      </c>
      <c r="E665" s="326">
        <v>1250</v>
      </c>
      <c r="F665" s="48">
        <f t="shared" si="17"/>
        <v>0</v>
      </c>
      <c r="G665" s="303"/>
      <c r="H665" s="40"/>
      <c r="I665" s="326"/>
      <c r="J665" s="48"/>
    </row>
    <row r="666" spans="1:10" ht="14.4" x14ac:dyDescent="0.3">
      <c r="A666"/>
      <c r="B666" t="s">
        <v>737</v>
      </c>
      <c r="C666" s="303" t="s">
        <v>115</v>
      </c>
      <c r="E666" s="326">
        <v>190</v>
      </c>
      <c r="F666" s="48">
        <f t="shared" si="17"/>
        <v>0</v>
      </c>
      <c r="G666" s="303"/>
      <c r="H666" s="40"/>
      <c r="I666" s="326"/>
      <c r="J666" s="48"/>
    </row>
    <row r="667" spans="1:10" ht="14.4" x14ac:dyDescent="0.3">
      <c r="A667"/>
      <c r="B667" t="s">
        <v>738</v>
      </c>
      <c r="C667" s="303" t="s">
        <v>115</v>
      </c>
      <c r="E667" s="326">
        <v>412.59</v>
      </c>
      <c r="F667" s="48">
        <f t="shared" si="17"/>
        <v>0</v>
      </c>
      <c r="G667" s="303"/>
      <c r="H667" s="40"/>
      <c r="I667" s="326"/>
      <c r="J667" s="48"/>
    </row>
    <row r="668" spans="1:10" ht="14.4" x14ac:dyDescent="0.3">
      <c r="A668"/>
      <c r="B668" t="s">
        <v>739</v>
      </c>
      <c r="C668" s="303" t="s">
        <v>115</v>
      </c>
      <c r="E668" s="326">
        <v>50</v>
      </c>
      <c r="F668" s="48">
        <f t="shared" ref="F668:F682" si="18">E668*D668</f>
        <v>0</v>
      </c>
      <c r="G668" s="303"/>
      <c r="H668" s="40"/>
      <c r="I668" s="326"/>
      <c r="J668" s="48"/>
    </row>
    <row r="669" spans="1:10" ht="16.8" x14ac:dyDescent="0.3">
      <c r="A669"/>
      <c r="B669" s="331" t="s">
        <v>742</v>
      </c>
      <c r="C669" s="303" t="s">
        <v>115</v>
      </c>
      <c r="E669" s="326">
        <v>30</v>
      </c>
      <c r="F669" s="48">
        <f t="shared" si="18"/>
        <v>0</v>
      </c>
      <c r="G669" s="303"/>
      <c r="H669" s="40"/>
      <c r="I669" s="326"/>
      <c r="J669" s="48"/>
    </row>
    <row r="670" spans="1:10" ht="14.4" x14ac:dyDescent="0.3">
      <c r="A670"/>
      <c r="B670" t="s">
        <v>743</v>
      </c>
      <c r="C670" s="303" t="s">
        <v>115</v>
      </c>
      <c r="E670" s="326">
        <v>1850</v>
      </c>
      <c r="F670" s="48">
        <f t="shared" si="18"/>
        <v>0</v>
      </c>
      <c r="G670" s="303"/>
      <c r="H670" s="40"/>
      <c r="I670" s="326"/>
      <c r="J670" s="48"/>
    </row>
    <row r="671" spans="1:10" ht="14.4" x14ac:dyDescent="0.3">
      <c r="A671"/>
      <c r="B671" t="s">
        <v>744</v>
      </c>
      <c r="C671" s="303" t="s">
        <v>115</v>
      </c>
      <c r="E671" s="326">
        <v>1800</v>
      </c>
      <c r="F671" s="48">
        <f t="shared" si="18"/>
        <v>0</v>
      </c>
      <c r="G671" s="303"/>
      <c r="H671" s="40"/>
      <c r="I671" s="326"/>
      <c r="J671" s="48"/>
    </row>
    <row r="672" spans="1:10" ht="14.4" x14ac:dyDescent="0.3">
      <c r="A672"/>
      <c r="B672"/>
      <c r="C672" s="303"/>
      <c r="E672" s="326"/>
      <c r="F672" s="48">
        <f t="shared" si="18"/>
        <v>0</v>
      </c>
      <c r="G672" s="303"/>
      <c r="H672" s="40"/>
      <c r="I672" s="326"/>
      <c r="J672" s="48"/>
    </row>
    <row r="673" spans="1:10" ht="14.4" x14ac:dyDescent="0.3">
      <c r="A673" s="324"/>
      <c r="B673" s="420" t="s">
        <v>745</v>
      </c>
      <c r="C673" s="328" t="s">
        <v>115</v>
      </c>
      <c r="E673" s="326">
        <v>3800</v>
      </c>
      <c r="F673" s="48">
        <f t="shared" si="18"/>
        <v>0</v>
      </c>
      <c r="G673" s="328"/>
      <c r="H673" s="40"/>
      <c r="I673" s="326"/>
      <c r="J673" s="48"/>
    </row>
    <row r="674" spans="1:10" ht="14.4" x14ac:dyDescent="0.3">
      <c r="A674" s="324"/>
      <c r="B674" s="420" t="s">
        <v>746</v>
      </c>
      <c r="C674" s="419" t="s">
        <v>115</v>
      </c>
      <c r="E674" s="326">
        <v>371.37</v>
      </c>
      <c r="F674" s="48">
        <f t="shared" si="18"/>
        <v>0</v>
      </c>
      <c r="G674" s="419"/>
      <c r="H674" s="40"/>
      <c r="I674" s="326"/>
      <c r="J674" s="48"/>
    </row>
    <row r="675" spans="1:10" ht="14.4" x14ac:dyDescent="0.3">
      <c r="A675" s="324"/>
      <c r="B675" s="420" t="s">
        <v>747</v>
      </c>
      <c r="C675" s="419" t="s">
        <v>115</v>
      </c>
      <c r="E675" s="326">
        <f>430.67+38.37</f>
        <v>469.04</v>
      </c>
      <c r="F675" s="48">
        <f t="shared" si="18"/>
        <v>0</v>
      </c>
      <c r="G675" s="419"/>
      <c r="H675" s="40"/>
      <c r="I675" s="326"/>
      <c r="J675" s="48"/>
    </row>
    <row r="676" spans="1:10" ht="14.4" x14ac:dyDescent="0.3">
      <c r="A676" s="324"/>
      <c r="B676" s="420" t="s">
        <v>748</v>
      </c>
      <c r="C676" s="419" t="s">
        <v>115</v>
      </c>
      <c r="E676" s="326">
        <f>141.13+18.87+18.87+480.93</f>
        <v>659.8</v>
      </c>
      <c r="F676" s="48">
        <f t="shared" si="18"/>
        <v>0</v>
      </c>
      <c r="G676" s="419"/>
      <c r="H676" s="40"/>
      <c r="I676" s="326"/>
      <c r="J676" s="48"/>
    </row>
    <row r="677" spans="1:10" ht="14.4" x14ac:dyDescent="0.3">
      <c r="A677" s="324"/>
      <c r="B677" s="420" t="s">
        <v>749</v>
      </c>
      <c r="C677" s="328" t="s">
        <v>115</v>
      </c>
      <c r="E677" s="326">
        <v>587.96</v>
      </c>
      <c r="F677" s="48">
        <f t="shared" si="18"/>
        <v>0</v>
      </c>
      <c r="G677" s="328"/>
      <c r="H677" s="40"/>
      <c r="I677" s="326"/>
      <c r="J677" s="48"/>
    </row>
    <row r="678" spans="1:10" ht="14.4" x14ac:dyDescent="0.3">
      <c r="A678" s="324"/>
      <c r="B678" s="420" t="s">
        <v>750</v>
      </c>
      <c r="C678" s="328" t="s">
        <v>115</v>
      </c>
      <c r="E678" s="326">
        <v>641.58000000000004</v>
      </c>
      <c r="F678" s="48">
        <f t="shared" si="18"/>
        <v>0</v>
      </c>
      <c r="G678" s="328"/>
      <c r="H678" s="40"/>
      <c r="I678" s="326"/>
      <c r="J678" s="48"/>
    </row>
    <row r="679" spans="1:10" ht="14.4" x14ac:dyDescent="0.3">
      <c r="A679" s="324"/>
      <c r="B679" s="420" t="s">
        <v>752</v>
      </c>
      <c r="C679" s="419" t="s">
        <v>115</v>
      </c>
      <c r="E679" s="326">
        <v>50</v>
      </c>
      <c r="F679" s="48">
        <f t="shared" si="18"/>
        <v>0</v>
      </c>
      <c r="G679" s="419"/>
      <c r="H679" s="40"/>
      <c r="I679" s="326"/>
      <c r="J679" s="48"/>
    </row>
    <row r="680" spans="1:10" ht="14.4" x14ac:dyDescent="0.3">
      <c r="A680" s="324"/>
      <c r="B680" s="420" t="s">
        <v>753</v>
      </c>
      <c r="C680" s="328" t="s">
        <v>115</v>
      </c>
      <c r="E680" s="326">
        <v>31.71</v>
      </c>
      <c r="F680" s="48">
        <f t="shared" si="18"/>
        <v>0</v>
      </c>
      <c r="G680" s="328"/>
      <c r="H680" s="40"/>
      <c r="I680" s="326"/>
      <c r="J680" s="48"/>
    </row>
    <row r="681" spans="1:10" ht="14.4" x14ac:dyDescent="0.3">
      <c r="A681" s="324"/>
      <c r="B681" s="420" t="s">
        <v>754</v>
      </c>
      <c r="C681" s="328" t="s">
        <v>115</v>
      </c>
      <c r="E681" s="326">
        <v>146.09</v>
      </c>
      <c r="F681" s="48">
        <f t="shared" si="18"/>
        <v>0</v>
      </c>
      <c r="G681" s="328"/>
      <c r="H681" s="40"/>
      <c r="I681" s="326"/>
      <c r="J681" s="48"/>
    </row>
    <row r="682" spans="1:10" ht="14.4" x14ac:dyDescent="0.3">
      <c r="A682" s="324"/>
      <c r="B682" s="420" t="s">
        <v>755</v>
      </c>
      <c r="C682" s="328" t="s">
        <v>115</v>
      </c>
      <c r="E682" s="326">
        <v>99.49</v>
      </c>
      <c r="F682" s="48">
        <f t="shared" si="18"/>
        <v>0</v>
      </c>
      <c r="G682" s="328"/>
      <c r="H682" s="40"/>
      <c r="I682" s="326"/>
      <c r="J682" s="48"/>
    </row>
    <row r="683" spans="1:10" ht="14.4" x14ac:dyDescent="0.3">
      <c r="C683" s="328"/>
      <c r="E683" s="326"/>
      <c r="F683" s="48"/>
    </row>
    <row r="685" spans="1:10" ht="14.4" x14ac:dyDescent="0.3">
      <c r="B685" s="325" t="s">
        <v>762</v>
      </c>
    </row>
    <row r="686" spans="1:10" ht="14.4" x14ac:dyDescent="0.3">
      <c r="B686" s="327" t="s">
        <v>354</v>
      </c>
    </row>
    <row r="687" spans="1:10" ht="14.4" x14ac:dyDescent="0.3">
      <c r="B687" s="324"/>
    </row>
    <row r="688" spans="1:10" ht="14.4" x14ac:dyDescent="0.3">
      <c r="B688" s="324" t="s">
        <v>763</v>
      </c>
      <c r="C688" s="328" t="s">
        <v>149</v>
      </c>
      <c r="E688" s="385">
        <v>14.489999999999998</v>
      </c>
      <c r="F688" s="48">
        <f t="shared" ref="F688:F749" si="19">E688*D688</f>
        <v>0</v>
      </c>
    </row>
    <row r="689" spans="2:6" ht="14.4" x14ac:dyDescent="0.3">
      <c r="B689" s="420" t="s">
        <v>764</v>
      </c>
      <c r="C689" s="328" t="s">
        <v>149</v>
      </c>
      <c r="D689" s="40">
        <v>11</v>
      </c>
      <c r="E689" s="385">
        <v>9.5495999999999999</v>
      </c>
      <c r="F689" s="48">
        <f t="shared" si="19"/>
        <v>105.04559999999999</v>
      </c>
    </row>
    <row r="690" spans="2:6" ht="14.4" x14ac:dyDescent="0.3">
      <c r="B690" s="420" t="s">
        <v>765</v>
      </c>
      <c r="C690" s="419" t="s">
        <v>115</v>
      </c>
      <c r="E690" s="385">
        <v>9.66</v>
      </c>
      <c r="F690" s="48">
        <f t="shared" si="19"/>
        <v>0</v>
      </c>
    </row>
    <row r="691" spans="2:6" ht="14.4" x14ac:dyDescent="0.3">
      <c r="B691" s="420" t="s">
        <v>766</v>
      </c>
      <c r="C691" s="419" t="s">
        <v>115</v>
      </c>
      <c r="D691" s="40">
        <v>2</v>
      </c>
      <c r="E691" s="385">
        <v>4.7885999999999997</v>
      </c>
      <c r="F691" s="48">
        <f t="shared" si="19"/>
        <v>9.5771999999999995</v>
      </c>
    </row>
    <row r="692" spans="2:6" ht="14.4" x14ac:dyDescent="0.3">
      <c r="B692" s="420" t="s">
        <v>767</v>
      </c>
      <c r="C692" s="419" t="s">
        <v>115</v>
      </c>
      <c r="E692" s="385">
        <v>13.799999999999999</v>
      </c>
      <c r="F692" s="48">
        <f t="shared" si="19"/>
        <v>0</v>
      </c>
    </row>
    <row r="693" spans="2:6" ht="14.4" x14ac:dyDescent="0.3">
      <c r="B693" s="420" t="s">
        <v>768</v>
      </c>
      <c r="C693" s="419" t="s">
        <v>115</v>
      </c>
      <c r="E693" s="385">
        <v>6.5274000000000001</v>
      </c>
      <c r="F693" s="48">
        <f t="shared" si="19"/>
        <v>0</v>
      </c>
    </row>
    <row r="694" spans="2:6" ht="14.4" x14ac:dyDescent="0.3">
      <c r="B694" s="420" t="s">
        <v>769</v>
      </c>
      <c r="C694" s="419" t="s">
        <v>115</v>
      </c>
      <c r="E694" s="385">
        <v>8.5974000000000004</v>
      </c>
      <c r="F694" s="48">
        <f t="shared" si="19"/>
        <v>0</v>
      </c>
    </row>
    <row r="695" spans="2:6" ht="14.4" x14ac:dyDescent="0.3">
      <c r="B695" s="420" t="s">
        <v>770</v>
      </c>
      <c r="C695" s="419" t="s">
        <v>115</v>
      </c>
      <c r="E695" s="385">
        <v>6.8999999999999995</v>
      </c>
      <c r="F695" s="48">
        <f t="shared" si="19"/>
        <v>0</v>
      </c>
    </row>
    <row r="696" spans="2:6" ht="14.4" x14ac:dyDescent="0.3">
      <c r="B696" s="420" t="s">
        <v>771</v>
      </c>
      <c r="C696" s="419" t="s">
        <v>115</v>
      </c>
      <c r="E696" s="385">
        <v>6.8999999999999995</v>
      </c>
      <c r="F696" s="48">
        <f t="shared" si="19"/>
        <v>0</v>
      </c>
    </row>
    <row r="697" spans="2:6" ht="14.4" x14ac:dyDescent="0.3">
      <c r="B697" s="420" t="s">
        <v>772</v>
      </c>
      <c r="C697" s="419" t="s">
        <v>115</v>
      </c>
      <c r="D697" s="40">
        <v>5</v>
      </c>
      <c r="E697" s="385">
        <v>2.5667999999999997</v>
      </c>
      <c r="F697" s="48">
        <f t="shared" si="19"/>
        <v>12.834</v>
      </c>
    </row>
    <row r="698" spans="2:6" ht="14.4" x14ac:dyDescent="0.3">
      <c r="B698" s="420" t="s">
        <v>773</v>
      </c>
      <c r="C698" s="419" t="s">
        <v>115</v>
      </c>
      <c r="D698" s="40">
        <v>1</v>
      </c>
      <c r="E698" s="385">
        <v>2.3308200000000001</v>
      </c>
      <c r="F698" s="48">
        <f t="shared" si="19"/>
        <v>2.3308200000000001</v>
      </c>
    </row>
    <row r="699" spans="2:6" ht="14.4" x14ac:dyDescent="0.3">
      <c r="B699" s="420" t="s">
        <v>774</v>
      </c>
      <c r="C699" s="419" t="s">
        <v>115</v>
      </c>
      <c r="E699" s="385">
        <v>5.52</v>
      </c>
      <c r="F699" s="48">
        <f t="shared" si="19"/>
        <v>0</v>
      </c>
    </row>
    <row r="700" spans="2:6" ht="14.4" x14ac:dyDescent="0.3">
      <c r="B700" s="420" t="s">
        <v>984</v>
      </c>
      <c r="C700" s="419" t="s">
        <v>115</v>
      </c>
      <c r="E700" s="385">
        <v>3.5</v>
      </c>
      <c r="F700" s="48">
        <f t="shared" si="19"/>
        <v>0</v>
      </c>
    </row>
    <row r="701" spans="2:6" ht="14.4" x14ac:dyDescent="0.3">
      <c r="B701" s="420" t="s">
        <v>775</v>
      </c>
      <c r="C701" s="419" t="s">
        <v>115</v>
      </c>
      <c r="E701" s="385">
        <v>2.6771999999999996</v>
      </c>
      <c r="F701" s="48">
        <f t="shared" si="19"/>
        <v>0</v>
      </c>
    </row>
    <row r="702" spans="2:6" ht="14.4" x14ac:dyDescent="0.3">
      <c r="B702" s="324" t="s">
        <v>776</v>
      </c>
      <c r="C702" s="328" t="s">
        <v>149</v>
      </c>
      <c r="E702" s="385">
        <v>6.8999999999999995</v>
      </c>
      <c r="F702" s="48">
        <f t="shared" si="19"/>
        <v>0</v>
      </c>
    </row>
    <row r="703" spans="2:6" ht="14.4" x14ac:dyDescent="0.3">
      <c r="B703" s="420" t="s">
        <v>777</v>
      </c>
      <c r="C703" s="328" t="s">
        <v>149</v>
      </c>
      <c r="E703" s="385">
        <v>5.52</v>
      </c>
      <c r="F703" s="48">
        <f t="shared" si="19"/>
        <v>0</v>
      </c>
    </row>
    <row r="704" spans="2:6" ht="14.4" x14ac:dyDescent="0.3">
      <c r="B704" s="324" t="s">
        <v>778</v>
      </c>
      <c r="C704" s="328" t="s">
        <v>149</v>
      </c>
      <c r="E704" s="385">
        <v>8.7354000000000003</v>
      </c>
      <c r="F704" s="48">
        <f t="shared" si="19"/>
        <v>0</v>
      </c>
    </row>
    <row r="705" spans="2:6" ht="14.4" x14ac:dyDescent="0.3">
      <c r="B705" s="420" t="s">
        <v>779</v>
      </c>
      <c r="C705" s="328" t="s">
        <v>149</v>
      </c>
      <c r="E705" s="385">
        <v>3.726</v>
      </c>
      <c r="F705" s="48">
        <f t="shared" si="19"/>
        <v>0</v>
      </c>
    </row>
    <row r="706" spans="2:6" ht="14.4" x14ac:dyDescent="0.3">
      <c r="B706" s="420" t="s">
        <v>780</v>
      </c>
      <c r="C706" s="328" t="s">
        <v>149</v>
      </c>
      <c r="E706" s="385">
        <v>2.8979999999999997</v>
      </c>
      <c r="F706" s="48">
        <f t="shared" si="19"/>
        <v>0</v>
      </c>
    </row>
    <row r="707" spans="2:6" ht="14.4" x14ac:dyDescent="0.3">
      <c r="B707" s="420" t="s">
        <v>783</v>
      </c>
      <c r="C707" s="419" t="s">
        <v>115</v>
      </c>
      <c r="E707" s="385">
        <v>2.3321999999999998</v>
      </c>
      <c r="F707" s="48">
        <f t="shared" si="19"/>
        <v>0</v>
      </c>
    </row>
    <row r="708" spans="2:6" ht="14.4" x14ac:dyDescent="0.3">
      <c r="B708" s="420" t="s">
        <v>982</v>
      </c>
      <c r="C708" s="419" t="s">
        <v>115</v>
      </c>
      <c r="E708" s="385">
        <v>2.33</v>
      </c>
      <c r="F708" s="48">
        <f t="shared" si="19"/>
        <v>0</v>
      </c>
    </row>
    <row r="709" spans="2:6" ht="14.4" x14ac:dyDescent="0.3">
      <c r="B709" s="420" t="s">
        <v>784</v>
      </c>
      <c r="C709" s="419" t="s">
        <v>115</v>
      </c>
      <c r="E709" s="385">
        <v>4.1399999999999997</v>
      </c>
      <c r="F709" s="48">
        <f t="shared" si="19"/>
        <v>0</v>
      </c>
    </row>
    <row r="710" spans="2:6" ht="14.4" x14ac:dyDescent="0.3">
      <c r="B710" s="420" t="s">
        <v>785</v>
      </c>
      <c r="C710" s="419" t="s">
        <v>115</v>
      </c>
      <c r="E710" s="385">
        <v>0.93840000000000001</v>
      </c>
      <c r="F710" s="48">
        <f t="shared" si="19"/>
        <v>0</v>
      </c>
    </row>
    <row r="711" spans="2:6" ht="14.4" x14ac:dyDescent="0.3">
      <c r="B711" s="420" t="s">
        <v>786</v>
      </c>
      <c r="C711" s="419" t="s">
        <v>115</v>
      </c>
      <c r="E711" s="385">
        <v>11.716199999999999</v>
      </c>
      <c r="F711" s="48">
        <f t="shared" si="19"/>
        <v>0</v>
      </c>
    </row>
    <row r="712" spans="2:6" ht="14.4" x14ac:dyDescent="0.3">
      <c r="B712" s="324" t="s">
        <v>787</v>
      </c>
      <c r="C712" s="328" t="s">
        <v>149</v>
      </c>
      <c r="E712" s="326">
        <v>14</v>
      </c>
      <c r="F712" s="48">
        <f t="shared" si="19"/>
        <v>0</v>
      </c>
    </row>
    <row r="713" spans="2:6" ht="14.4" x14ac:dyDescent="0.3">
      <c r="B713" s="420" t="s">
        <v>788</v>
      </c>
      <c r="C713" s="328" t="s">
        <v>149</v>
      </c>
      <c r="E713" s="326">
        <v>6</v>
      </c>
      <c r="F713" s="48">
        <f t="shared" si="19"/>
        <v>0</v>
      </c>
    </row>
    <row r="714" spans="2:6" ht="14.4" x14ac:dyDescent="0.3">
      <c r="B714" s="324"/>
      <c r="C714" s="328"/>
      <c r="E714" s="328"/>
      <c r="F714" s="48">
        <f t="shared" si="19"/>
        <v>0</v>
      </c>
    </row>
    <row r="715" spans="2:6" ht="14.4" x14ac:dyDescent="0.3">
      <c r="B715" s="324" t="s">
        <v>789</v>
      </c>
      <c r="C715" s="328" t="s">
        <v>115</v>
      </c>
      <c r="E715" s="326">
        <v>40</v>
      </c>
      <c r="F715" s="48">
        <f t="shared" si="19"/>
        <v>0</v>
      </c>
    </row>
    <row r="716" spans="2:6" ht="14.4" x14ac:dyDescent="0.3">
      <c r="B716" s="420" t="s">
        <v>790</v>
      </c>
      <c r="C716" s="328" t="s">
        <v>115</v>
      </c>
      <c r="E716" s="326">
        <v>30</v>
      </c>
      <c r="F716" s="48">
        <f t="shared" si="19"/>
        <v>0</v>
      </c>
    </row>
    <row r="717" spans="2:6" ht="14.4" x14ac:dyDescent="0.3">
      <c r="B717" s="324" t="s">
        <v>791</v>
      </c>
      <c r="C717" s="328" t="s">
        <v>115</v>
      </c>
      <c r="E717" s="326">
        <v>33</v>
      </c>
      <c r="F717" s="48">
        <f t="shared" si="19"/>
        <v>0</v>
      </c>
    </row>
    <row r="718" spans="2:6" ht="14.4" x14ac:dyDescent="0.3">
      <c r="B718" s="420" t="s">
        <v>792</v>
      </c>
      <c r="C718" s="328" t="s">
        <v>115</v>
      </c>
      <c r="E718" s="326">
        <v>23.26</v>
      </c>
      <c r="F718" s="48">
        <f t="shared" si="19"/>
        <v>0</v>
      </c>
    </row>
    <row r="719" spans="2:6" ht="14.4" x14ac:dyDescent="0.3">
      <c r="B719" s="420" t="s">
        <v>793</v>
      </c>
      <c r="C719" s="328" t="s">
        <v>115</v>
      </c>
      <c r="D719" s="40">
        <v>1</v>
      </c>
      <c r="E719" s="326">
        <v>50</v>
      </c>
      <c r="F719" s="48">
        <f t="shared" si="19"/>
        <v>50</v>
      </c>
    </row>
    <row r="720" spans="2:6" ht="14.4" x14ac:dyDescent="0.3">
      <c r="B720" s="324" t="s">
        <v>794</v>
      </c>
      <c r="C720" s="328" t="s">
        <v>115</v>
      </c>
      <c r="E720" s="326">
        <v>7.65</v>
      </c>
      <c r="F720" s="48">
        <f t="shared" si="19"/>
        <v>0</v>
      </c>
    </row>
    <row r="721" spans="2:6" ht="14.4" x14ac:dyDescent="0.3">
      <c r="B721" s="324" t="s">
        <v>795</v>
      </c>
      <c r="C721" s="328" t="s">
        <v>115</v>
      </c>
      <c r="E721" s="326">
        <v>7.65</v>
      </c>
      <c r="F721" s="48">
        <f t="shared" si="19"/>
        <v>0</v>
      </c>
    </row>
    <row r="722" spans="2:6" ht="14.4" x14ac:dyDescent="0.3">
      <c r="B722" s="324" t="s">
        <v>796</v>
      </c>
      <c r="C722" s="328" t="s">
        <v>115</v>
      </c>
      <c r="E722" s="326">
        <v>13.59</v>
      </c>
      <c r="F722" s="48">
        <f t="shared" si="19"/>
        <v>0</v>
      </c>
    </row>
    <row r="723" spans="2:6" ht="14.4" x14ac:dyDescent="0.3">
      <c r="B723" s="324" t="s">
        <v>797</v>
      </c>
      <c r="C723" s="328" t="s">
        <v>115</v>
      </c>
      <c r="E723" s="326">
        <v>0</v>
      </c>
      <c r="F723" s="48">
        <f t="shared" si="19"/>
        <v>0</v>
      </c>
    </row>
    <row r="724" spans="2:6" ht="14.4" x14ac:dyDescent="0.3">
      <c r="B724" s="324" t="s">
        <v>798</v>
      </c>
      <c r="C724" s="328" t="s">
        <v>115</v>
      </c>
      <c r="E724" s="326">
        <v>75</v>
      </c>
      <c r="F724" s="48">
        <f t="shared" si="19"/>
        <v>0</v>
      </c>
    </row>
    <row r="725" spans="2:6" ht="14.4" x14ac:dyDescent="0.3">
      <c r="B725" s="324"/>
      <c r="C725" s="328"/>
      <c r="E725" s="324"/>
      <c r="F725" s="48">
        <f t="shared" si="19"/>
        <v>0</v>
      </c>
    </row>
    <row r="726" spans="2:6" ht="14.4" x14ac:dyDescent="0.3">
      <c r="B726" s="324" t="s">
        <v>799</v>
      </c>
      <c r="C726" s="328" t="s">
        <v>115</v>
      </c>
      <c r="E726" s="326">
        <v>2</v>
      </c>
      <c r="F726" s="48">
        <f t="shared" si="19"/>
        <v>0</v>
      </c>
    </row>
    <row r="727" spans="2:6" ht="14.4" x14ac:dyDescent="0.3">
      <c r="B727" s="324" t="s">
        <v>800</v>
      </c>
      <c r="C727" s="328" t="s">
        <v>115</v>
      </c>
      <c r="E727" s="326">
        <v>1.5</v>
      </c>
      <c r="F727" s="48">
        <f t="shared" si="19"/>
        <v>0</v>
      </c>
    </row>
    <row r="728" spans="2:6" ht="14.4" x14ac:dyDescent="0.3">
      <c r="B728" s="324" t="s">
        <v>491</v>
      </c>
      <c r="C728" s="328" t="s">
        <v>149</v>
      </c>
      <c r="E728" s="326">
        <f>E621</f>
        <v>0</v>
      </c>
      <c r="F728" s="48">
        <f t="shared" si="19"/>
        <v>0</v>
      </c>
    </row>
    <row r="729" spans="2:6" ht="14.4" x14ac:dyDescent="0.3">
      <c r="B729" s="324"/>
      <c r="C729" s="328"/>
      <c r="E729" s="326"/>
      <c r="F729" s="48">
        <f t="shared" si="19"/>
        <v>0</v>
      </c>
    </row>
    <row r="730" spans="2:6" ht="14.4" x14ac:dyDescent="0.3">
      <c r="B730" s="324" t="s">
        <v>801</v>
      </c>
      <c r="C730" s="328" t="s">
        <v>115</v>
      </c>
      <c r="E730" s="326">
        <v>26.4</v>
      </c>
      <c r="F730" s="48">
        <f t="shared" si="19"/>
        <v>0</v>
      </c>
    </row>
    <row r="731" spans="2:6" ht="14.4" x14ac:dyDescent="0.3">
      <c r="B731" s="324" t="s">
        <v>802</v>
      </c>
      <c r="C731" s="328" t="s">
        <v>115</v>
      </c>
      <c r="E731" s="326">
        <v>23</v>
      </c>
      <c r="F731" s="48">
        <f t="shared" si="19"/>
        <v>0</v>
      </c>
    </row>
    <row r="732" spans="2:6" ht="14.4" x14ac:dyDescent="0.3">
      <c r="B732" s="324" t="s">
        <v>803</v>
      </c>
      <c r="C732" s="328" t="s">
        <v>115</v>
      </c>
      <c r="E732" s="326">
        <v>75</v>
      </c>
      <c r="F732" s="48">
        <f t="shared" si="19"/>
        <v>0</v>
      </c>
    </row>
    <row r="733" spans="2:6" ht="14.4" x14ac:dyDescent="0.3">
      <c r="B733" s="324" t="s">
        <v>804</v>
      </c>
      <c r="C733" s="328" t="s">
        <v>115</v>
      </c>
      <c r="E733" s="326">
        <v>22</v>
      </c>
      <c r="F733" s="48">
        <f t="shared" si="19"/>
        <v>0</v>
      </c>
    </row>
    <row r="734" spans="2:6" ht="14.4" x14ac:dyDescent="0.3">
      <c r="B734" s="324" t="s">
        <v>805</v>
      </c>
      <c r="C734" s="328" t="s">
        <v>115</v>
      </c>
      <c r="E734" s="326">
        <v>10</v>
      </c>
      <c r="F734" s="48">
        <f t="shared" si="19"/>
        <v>0</v>
      </c>
    </row>
    <row r="735" spans="2:6" ht="14.4" x14ac:dyDescent="0.3">
      <c r="B735" s="324"/>
      <c r="C735" s="328"/>
      <c r="E735" s="326"/>
      <c r="F735" s="48">
        <f t="shared" si="19"/>
        <v>0</v>
      </c>
    </row>
    <row r="736" spans="2:6" ht="14.4" x14ac:dyDescent="0.3">
      <c r="B736" s="420" t="s">
        <v>806</v>
      </c>
      <c r="C736" s="328" t="s">
        <v>115</v>
      </c>
      <c r="E736" s="326">
        <v>520</v>
      </c>
      <c r="F736" s="48">
        <f t="shared" si="19"/>
        <v>0</v>
      </c>
    </row>
    <row r="737" spans="2:6" ht="14.4" x14ac:dyDescent="0.3">
      <c r="B737" s="420" t="s">
        <v>807</v>
      </c>
      <c r="C737" s="328" t="s">
        <v>115</v>
      </c>
      <c r="E737" s="326">
        <v>230</v>
      </c>
      <c r="F737" s="48">
        <f t="shared" si="19"/>
        <v>0</v>
      </c>
    </row>
    <row r="738" spans="2:6" ht="14.4" x14ac:dyDescent="0.3">
      <c r="B738" s="420" t="s">
        <v>808</v>
      </c>
      <c r="C738" s="328" t="s">
        <v>115</v>
      </c>
      <c r="E738" s="326">
        <v>2800</v>
      </c>
      <c r="F738" s="48">
        <f t="shared" si="19"/>
        <v>0</v>
      </c>
    </row>
    <row r="739" spans="2:6" ht="14.4" x14ac:dyDescent="0.3">
      <c r="B739" s="420" t="s">
        <v>809</v>
      </c>
      <c r="C739" s="328" t="s">
        <v>115</v>
      </c>
      <c r="E739" s="326">
        <v>950</v>
      </c>
      <c r="F739" s="48">
        <f t="shared" si="19"/>
        <v>0</v>
      </c>
    </row>
    <row r="740" spans="2:6" ht="14.4" x14ac:dyDescent="0.3">
      <c r="B740" s="420" t="s">
        <v>745</v>
      </c>
      <c r="C740" s="328" t="s">
        <v>115</v>
      </c>
      <c r="E740" s="326">
        <v>1250</v>
      </c>
      <c r="F740" s="48">
        <f t="shared" si="19"/>
        <v>0</v>
      </c>
    </row>
    <row r="741" spans="2:6" ht="14.4" x14ac:dyDescent="0.3">
      <c r="B741" s="420" t="s">
        <v>810</v>
      </c>
      <c r="C741" s="328" t="s">
        <v>115</v>
      </c>
      <c r="E741" s="334">
        <v>200</v>
      </c>
      <c r="F741" s="48">
        <f t="shared" si="19"/>
        <v>0</v>
      </c>
    </row>
    <row r="742" spans="2:6" ht="14.4" x14ac:dyDescent="0.3">
      <c r="B742" s="420" t="s">
        <v>811</v>
      </c>
      <c r="C742" s="328" t="s">
        <v>115</v>
      </c>
      <c r="E742" s="334">
        <v>60</v>
      </c>
      <c r="F742" s="48">
        <f t="shared" si="19"/>
        <v>0</v>
      </c>
    </row>
    <row r="743" spans="2:6" ht="14.4" x14ac:dyDescent="0.3">
      <c r="B743" s="420" t="s">
        <v>812</v>
      </c>
      <c r="C743" s="328" t="s">
        <v>115</v>
      </c>
      <c r="E743" s="334">
        <v>120</v>
      </c>
      <c r="F743" s="48">
        <f t="shared" si="19"/>
        <v>0</v>
      </c>
    </row>
    <row r="744" spans="2:6" ht="14.4" x14ac:dyDescent="0.3">
      <c r="B744" s="420" t="s">
        <v>813</v>
      </c>
      <c r="C744" s="328" t="s">
        <v>115</v>
      </c>
      <c r="E744" s="326">
        <v>61.33</v>
      </c>
      <c r="F744" s="48">
        <f t="shared" si="19"/>
        <v>0</v>
      </c>
    </row>
    <row r="745" spans="2:6" ht="14.4" x14ac:dyDescent="0.3">
      <c r="B745" s="420" t="s">
        <v>814</v>
      </c>
      <c r="C745" s="328" t="s">
        <v>115</v>
      </c>
      <c r="E745" s="334">
        <v>100</v>
      </c>
      <c r="F745" s="48">
        <f t="shared" si="19"/>
        <v>0</v>
      </c>
    </row>
    <row r="746" spans="2:6" ht="28.8" x14ac:dyDescent="0.3">
      <c r="B746" s="425" t="s">
        <v>815</v>
      </c>
      <c r="C746" s="328" t="s">
        <v>115</v>
      </c>
      <c r="E746" s="334">
        <v>250</v>
      </c>
      <c r="F746" s="48">
        <f t="shared" si="19"/>
        <v>0</v>
      </c>
    </row>
    <row r="747" spans="2:6" ht="43.2" x14ac:dyDescent="0.3">
      <c r="B747" s="425" t="s">
        <v>816</v>
      </c>
      <c r="C747" s="328" t="s">
        <v>115</v>
      </c>
      <c r="E747" s="334">
        <v>250</v>
      </c>
      <c r="F747" s="48">
        <f t="shared" si="19"/>
        <v>0</v>
      </c>
    </row>
    <row r="748" spans="2:6" ht="14.4" x14ac:dyDescent="0.3">
      <c r="B748" s="425" t="s">
        <v>817</v>
      </c>
      <c r="C748" s="328" t="s">
        <v>115</v>
      </c>
      <c r="E748" s="326">
        <v>300</v>
      </c>
      <c r="F748" s="48">
        <f t="shared" si="19"/>
        <v>0</v>
      </c>
    </row>
    <row r="749" spans="2:6" ht="14.4" x14ac:dyDescent="0.3">
      <c r="B749" s="425" t="s">
        <v>818</v>
      </c>
      <c r="C749" s="328" t="s">
        <v>115</v>
      </c>
      <c r="E749" s="334">
        <v>1200</v>
      </c>
      <c r="F749" s="48">
        <f t="shared" si="19"/>
        <v>0</v>
      </c>
    </row>
    <row r="752" spans="2:6" ht="14.4" x14ac:dyDescent="0.3">
      <c r="B752" s="325" t="s">
        <v>840</v>
      </c>
    </row>
    <row r="753" spans="2:6" ht="14.4" x14ac:dyDescent="0.3">
      <c r="B753" s="327" t="s">
        <v>354</v>
      </c>
    </row>
    <row r="754" spans="2:6" ht="14.4" x14ac:dyDescent="0.3">
      <c r="B754" s="324"/>
    </row>
    <row r="755" spans="2:6" ht="14.4" x14ac:dyDescent="0.3">
      <c r="B755" s="324"/>
    </row>
    <row r="756" spans="2:6" ht="14.4" x14ac:dyDescent="0.3">
      <c r="B756" s="420" t="s">
        <v>841</v>
      </c>
      <c r="C756" s="328" t="s">
        <v>149</v>
      </c>
      <c r="E756" s="385">
        <v>165.6</v>
      </c>
      <c r="F756" s="48">
        <f>E756*D756</f>
        <v>0</v>
      </c>
    </row>
    <row r="757" spans="2:6" ht="14.4" x14ac:dyDescent="0.3">
      <c r="B757" s="420" t="s">
        <v>842</v>
      </c>
      <c r="C757" s="328" t="s">
        <v>149</v>
      </c>
      <c r="E757" s="385">
        <v>89.699999999999989</v>
      </c>
      <c r="F757" s="48">
        <f t="shared" ref="F757:F820" si="20">E757*D757</f>
        <v>0</v>
      </c>
    </row>
    <row r="758" spans="2:6" ht="14.4" x14ac:dyDescent="0.3">
      <c r="B758" s="420" t="s">
        <v>843</v>
      </c>
      <c r="C758" s="328" t="s">
        <v>149</v>
      </c>
      <c r="E758" s="385">
        <v>66.239999999999995</v>
      </c>
      <c r="F758" s="48">
        <f t="shared" si="20"/>
        <v>0</v>
      </c>
    </row>
    <row r="759" spans="2:6" ht="14.4" x14ac:dyDescent="0.3">
      <c r="B759" s="420" t="s">
        <v>844</v>
      </c>
      <c r="C759" s="328" t="s">
        <v>149</v>
      </c>
      <c r="E759" s="385">
        <v>0</v>
      </c>
      <c r="F759" s="48">
        <f t="shared" si="20"/>
        <v>0</v>
      </c>
    </row>
    <row r="760" spans="2:6" ht="14.4" x14ac:dyDescent="0.3">
      <c r="B760" s="420" t="s">
        <v>845</v>
      </c>
      <c r="C760" s="328" t="s">
        <v>149</v>
      </c>
      <c r="E760" s="385">
        <v>85.104599999999991</v>
      </c>
      <c r="F760" s="48">
        <f t="shared" si="20"/>
        <v>0</v>
      </c>
    </row>
    <row r="761" spans="2:6" ht="14.4" x14ac:dyDescent="0.3">
      <c r="B761" s="420" t="s">
        <v>846</v>
      </c>
      <c r="C761" s="328" t="s">
        <v>149</v>
      </c>
      <c r="E761" s="385">
        <v>84.179999999999993</v>
      </c>
      <c r="F761" s="48">
        <f t="shared" si="20"/>
        <v>0</v>
      </c>
    </row>
    <row r="762" spans="2:6" ht="14.4" x14ac:dyDescent="0.3">
      <c r="B762" s="324" t="s">
        <v>847</v>
      </c>
      <c r="C762" s="328" t="s">
        <v>149</v>
      </c>
      <c r="E762" s="385">
        <v>68.77</v>
      </c>
      <c r="F762" s="48">
        <f t="shared" si="20"/>
        <v>0</v>
      </c>
    </row>
    <row r="763" spans="2:6" ht="14.4" x14ac:dyDescent="0.3">
      <c r="B763" s="324" t="s">
        <v>848</v>
      </c>
      <c r="C763" s="328" t="s">
        <v>149</v>
      </c>
      <c r="E763" s="385">
        <v>55.199999999999996</v>
      </c>
      <c r="F763" s="48">
        <f t="shared" si="20"/>
        <v>0</v>
      </c>
    </row>
    <row r="764" spans="2:6" ht="14.4" x14ac:dyDescent="0.3">
      <c r="B764" s="420" t="s">
        <v>849</v>
      </c>
      <c r="C764" s="328" t="s">
        <v>149</v>
      </c>
      <c r="E764" s="385">
        <v>55.199999999999996</v>
      </c>
      <c r="F764" s="48">
        <f t="shared" si="20"/>
        <v>0</v>
      </c>
    </row>
    <row r="765" spans="2:6" ht="14.4" x14ac:dyDescent="0.3">
      <c r="B765" s="420" t="s">
        <v>850</v>
      </c>
      <c r="C765" s="328" t="s">
        <v>149</v>
      </c>
      <c r="E765" s="385">
        <v>42.779999999999994</v>
      </c>
      <c r="F765" s="48">
        <f t="shared" si="20"/>
        <v>0</v>
      </c>
    </row>
    <row r="766" spans="2:6" ht="14.4" x14ac:dyDescent="0.3">
      <c r="B766" s="324" t="s">
        <v>851</v>
      </c>
      <c r="C766" s="328" t="s">
        <v>149</v>
      </c>
      <c r="E766" s="385">
        <v>32.659999999999997</v>
      </c>
      <c r="F766" s="48">
        <f t="shared" si="20"/>
        <v>0</v>
      </c>
    </row>
    <row r="767" spans="2:6" ht="14.4" x14ac:dyDescent="0.3">
      <c r="B767" s="420" t="s">
        <v>852</v>
      </c>
      <c r="C767" s="328" t="s">
        <v>149</v>
      </c>
      <c r="E767" s="385">
        <v>19.549999999999997</v>
      </c>
      <c r="F767" s="48">
        <f t="shared" si="20"/>
        <v>0</v>
      </c>
    </row>
    <row r="768" spans="2:6" ht="14.4" x14ac:dyDescent="0.3">
      <c r="B768" s="324" t="s">
        <v>853</v>
      </c>
      <c r="C768" s="328" t="s">
        <v>149</v>
      </c>
      <c r="E768" s="385">
        <v>16.099999999999998</v>
      </c>
      <c r="F768" s="48">
        <f t="shared" si="20"/>
        <v>0</v>
      </c>
    </row>
    <row r="769" spans="2:6" ht="14.4" x14ac:dyDescent="0.3">
      <c r="B769" s="324" t="s">
        <v>854</v>
      </c>
      <c r="C769" s="328" t="s">
        <v>149</v>
      </c>
      <c r="E769" s="385">
        <v>19.549999999999997</v>
      </c>
      <c r="F769" s="48">
        <f t="shared" si="20"/>
        <v>0</v>
      </c>
    </row>
    <row r="770" spans="2:6" ht="14.4" x14ac:dyDescent="0.3">
      <c r="B770" s="420" t="s">
        <v>853</v>
      </c>
      <c r="C770" s="419" t="s">
        <v>149</v>
      </c>
      <c r="E770" s="385">
        <v>16.559999999999999</v>
      </c>
      <c r="F770" s="48">
        <f t="shared" si="20"/>
        <v>0</v>
      </c>
    </row>
    <row r="771" spans="2:6" ht="14.4" x14ac:dyDescent="0.3">
      <c r="B771" s="420" t="s">
        <v>764</v>
      </c>
      <c r="C771" s="419" t="s">
        <v>149</v>
      </c>
      <c r="E771" s="385">
        <f>(2415.3/(83*6))*1.38</f>
        <v>6.6930000000000005</v>
      </c>
      <c r="F771" s="48">
        <f t="shared" si="20"/>
        <v>0</v>
      </c>
    </row>
    <row r="772" spans="2:6" ht="14.4" x14ac:dyDescent="0.3">
      <c r="B772" s="420" t="s">
        <v>855</v>
      </c>
      <c r="C772" s="419" t="s">
        <v>149</v>
      </c>
      <c r="E772" s="385">
        <v>6.8999999999999995</v>
      </c>
      <c r="F772" s="48">
        <f t="shared" si="20"/>
        <v>0</v>
      </c>
    </row>
    <row r="773" spans="2:6" ht="14.4" x14ac:dyDescent="0.3">
      <c r="B773" s="420" t="s">
        <v>856</v>
      </c>
      <c r="C773" s="419" t="s">
        <v>149</v>
      </c>
      <c r="E773" s="385">
        <f>(2415.3/(83*6))*1.38</f>
        <v>6.6930000000000005</v>
      </c>
      <c r="F773" s="48">
        <f t="shared" si="20"/>
        <v>0</v>
      </c>
    </row>
    <row r="774" spans="2:6" ht="14.4" x14ac:dyDescent="0.3">
      <c r="B774" s="420"/>
      <c r="C774" s="419"/>
      <c r="E774" s="385">
        <v>0</v>
      </c>
      <c r="F774" s="48">
        <f t="shared" si="20"/>
        <v>0</v>
      </c>
    </row>
    <row r="775" spans="2:6" ht="14.4" x14ac:dyDescent="0.3">
      <c r="B775" s="335" t="s">
        <v>857</v>
      </c>
      <c r="C775" s="328"/>
      <c r="E775" s="385">
        <v>0</v>
      </c>
      <c r="F775" s="48">
        <f t="shared" si="20"/>
        <v>0</v>
      </c>
    </row>
    <row r="776" spans="2:6" ht="14.4" x14ac:dyDescent="0.3">
      <c r="B776" s="420"/>
      <c r="C776" s="328" t="s">
        <v>115</v>
      </c>
      <c r="E776" s="385">
        <v>0</v>
      </c>
      <c r="F776" s="48">
        <f t="shared" si="20"/>
        <v>0</v>
      </c>
    </row>
    <row r="777" spans="2:6" ht="14.4" x14ac:dyDescent="0.3">
      <c r="B777" t="s">
        <v>858</v>
      </c>
      <c r="C777" s="328" t="s">
        <v>115</v>
      </c>
      <c r="E777" s="385">
        <v>676.19999999999993</v>
      </c>
      <c r="F777" s="48">
        <f t="shared" si="20"/>
        <v>0</v>
      </c>
    </row>
    <row r="778" spans="2:6" ht="14.4" x14ac:dyDescent="0.3">
      <c r="B778" t="s">
        <v>859</v>
      </c>
      <c r="C778" s="328" t="s">
        <v>115</v>
      </c>
      <c r="E778" s="385">
        <v>896.99999999999989</v>
      </c>
      <c r="F778" s="48">
        <f t="shared" si="20"/>
        <v>0</v>
      </c>
    </row>
    <row r="779" spans="2:6" ht="14.4" x14ac:dyDescent="0.3">
      <c r="B779" t="s">
        <v>860</v>
      </c>
      <c r="C779" s="328" t="s">
        <v>115</v>
      </c>
      <c r="E779" s="385">
        <v>1517.9999999999998</v>
      </c>
      <c r="F779" s="48">
        <f t="shared" si="20"/>
        <v>0</v>
      </c>
    </row>
    <row r="780" spans="2:6" ht="14.4" x14ac:dyDescent="0.3">
      <c r="B780" t="s">
        <v>861</v>
      </c>
      <c r="C780" s="328" t="s">
        <v>115</v>
      </c>
      <c r="E780" s="385">
        <v>634.79999999999995</v>
      </c>
      <c r="F780" s="48">
        <f t="shared" si="20"/>
        <v>0</v>
      </c>
    </row>
    <row r="781" spans="2:6" ht="14.4" x14ac:dyDescent="0.3">
      <c r="B781" t="s">
        <v>862</v>
      </c>
      <c r="C781" s="328" t="s">
        <v>115</v>
      </c>
      <c r="E781" s="385">
        <v>800.4</v>
      </c>
      <c r="F781" s="48">
        <f t="shared" si="20"/>
        <v>0</v>
      </c>
    </row>
    <row r="782" spans="2:6" ht="14.4" x14ac:dyDescent="0.3">
      <c r="B782" t="s">
        <v>863</v>
      </c>
      <c r="C782" s="328" t="s">
        <v>115</v>
      </c>
      <c r="E782" s="385">
        <v>441.59999999999997</v>
      </c>
      <c r="F782" s="48">
        <f t="shared" si="20"/>
        <v>0</v>
      </c>
    </row>
    <row r="783" spans="2:6" ht="14.4" x14ac:dyDescent="0.3">
      <c r="B783" s="420" t="s">
        <v>864</v>
      </c>
      <c r="C783" s="328" t="s">
        <v>115</v>
      </c>
      <c r="E783" s="385">
        <v>579.59999999999991</v>
      </c>
      <c r="F783" s="48">
        <f t="shared" si="20"/>
        <v>0</v>
      </c>
    </row>
    <row r="784" spans="2:6" ht="14.4" x14ac:dyDescent="0.3">
      <c r="B784" s="420" t="s">
        <v>865</v>
      </c>
      <c r="C784" s="328" t="s">
        <v>115</v>
      </c>
      <c r="E784" s="385">
        <v>776.09819999999991</v>
      </c>
      <c r="F784" s="48">
        <f t="shared" si="20"/>
        <v>0</v>
      </c>
    </row>
    <row r="785" spans="2:6" ht="14.4" x14ac:dyDescent="0.3">
      <c r="B785" s="420" t="s">
        <v>866</v>
      </c>
      <c r="C785" s="328" t="s">
        <v>115</v>
      </c>
      <c r="E785" s="385">
        <v>777.4781999999999</v>
      </c>
      <c r="F785" s="48">
        <f t="shared" si="20"/>
        <v>0</v>
      </c>
    </row>
    <row r="786" spans="2:6" ht="14.4" x14ac:dyDescent="0.3">
      <c r="B786" s="420" t="s">
        <v>867</v>
      </c>
      <c r="C786" s="328" t="s">
        <v>115</v>
      </c>
      <c r="E786" s="385">
        <v>524.4</v>
      </c>
      <c r="F786" s="48">
        <f t="shared" si="20"/>
        <v>0</v>
      </c>
    </row>
    <row r="787" spans="2:6" ht="14.4" x14ac:dyDescent="0.3">
      <c r="B787" s="420" t="s">
        <v>868</v>
      </c>
      <c r="C787" s="328" t="s">
        <v>115</v>
      </c>
      <c r="E787" s="385">
        <v>496.79999999999995</v>
      </c>
      <c r="F787" s="48">
        <f t="shared" si="20"/>
        <v>0</v>
      </c>
    </row>
    <row r="788" spans="2:6" ht="14.4" x14ac:dyDescent="0.3">
      <c r="B788" s="420" t="s">
        <v>869</v>
      </c>
      <c r="C788" s="328" t="s">
        <v>115</v>
      </c>
      <c r="E788" s="385">
        <v>745.19999999999993</v>
      </c>
      <c r="F788" s="48">
        <f t="shared" si="20"/>
        <v>0</v>
      </c>
    </row>
    <row r="789" spans="2:6" ht="14.4" x14ac:dyDescent="0.3">
      <c r="B789" s="420" t="s">
        <v>870</v>
      </c>
      <c r="C789" s="328" t="s">
        <v>115</v>
      </c>
      <c r="E789" s="385">
        <v>621</v>
      </c>
      <c r="F789" s="48">
        <f t="shared" si="20"/>
        <v>0</v>
      </c>
    </row>
    <row r="790" spans="2:6" ht="14.4" x14ac:dyDescent="0.3">
      <c r="B790" s="420" t="s">
        <v>871</v>
      </c>
      <c r="C790" s="328" t="s">
        <v>115</v>
      </c>
      <c r="E790" s="385">
        <v>496.79999999999995</v>
      </c>
      <c r="F790" s="48">
        <f t="shared" si="20"/>
        <v>0</v>
      </c>
    </row>
    <row r="791" spans="2:6" ht="14.4" x14ac:dyDescent="0.3">
      <c r="B791" s="420" t="s">
        <v>872</v>
      </c>
      <c r="C791" s="328" t="s">
        <v>115</v>
      </c>
      <c r="E791" s="385">
        <v>441.59999999999997</v>
      </c>
      <c r="F791" s="48">
        <f t="shared" si="20"/>
        <v>0</v>
      </c>
    </row>
    <row r="792" spans="2:6" ht="14.4" x14ac:dyDescent="0.3">
      <c r="B792" s="420" t="s">
        <v>873</v>
      </c>
      <c r="C792" s="328" t="s">
        <v>115</v>
      </c>
      <c r="E792" s="385">
        <v>262.2</v>
      </c>
      <c r="F792" s="48">
        <f t="shared" si="20"/>
        <v>0</v>
      </c>
    </row>
    <row r="793" spans="2:6" ht="14.4" x14ac:dyDescent="0.3">
      <c r="B793" s="420" t="s">
        <v>874</v>
      </c>
      <c r="C793" s="328" t="s">
        <v>115</v>
      </c>
      <c r="E793" s="385">
        <v>345</v>
      </c>
      <c r="F793" s="48">
        <f t="shared" si="20"/>
        <v>0</v>
      </c>
    </row>
    <row r="794" spans="2:6" ht="14.4" x14ac:dyDescent="0.3">
      <c r="B794" s="420" t="s">
        <v>875</v>
      </c>
      <c r="C794" s="328" t="s">
        <v>115</v>
      </c>
      <c r="E794" s="385">
        <v>262.2</v>
      </c>
      <c r="F794" s="48">
        <f t="shared" si="20"/>
        <v>0</v>
      </c>
    </row>
    <row r="795" spans="2:6" ht="14.4" x14ac:dyDescent="0.3">
      <c r="B795" s="420" t="s">
        <v>876</v>
      </c>
      <c r="C795" s="328" t="s">
        <v>115</v>
      </c>
      <c r="E795" s="385">
        <v>455.4</v>
      </c>
      <c r="F795" s="48">
        <f t="shared" si="20"/>
        <v>0</v>
      </c>
    </row>
    <row r="796" spans="2:6" ht="14.4" x14ac:dyDescent="0.3">
      <c r="B796" s="420" t="s">
        <v>877</v>
      </c>
      <c r="C796" s="328" t="s">
        <v>115</v>
      </c>
      <c r="E796" s="385">
        <v>117.645</v>
      </c>
      <c r="F796" s="48">
        <f t="shared" si="20"/>
        <v>0</v>
      </c>
    </row>
    <row r="797" spans="2:6" ht="14.4" x14ac:dyDescent="0.3">
      <c r="B797" s="420" t="s">
        <v>878</v>
      </c>
      <c r="C797" s="328" t="s">
        <v>115</v>
      </c>
      <c r="E797" s="385">
        <v>289.79999999999995</v>
      </c>
      <c r="F797" s="48">
        <f t="shared" si="20"/>
        <v>0</v>
      </c>
    </row>
    <row r="798" spans="2:6" ht="14.4" x14ac:dyDescent="0.3">
      <c r="B798" s="420" t="s">
        <v>879</v>
      </c>
      <c r="C798" s="328" t="s">
        <v>115</v>
      </c>
      <c r="E798" s="385">
        <v>85.559999999999988</v>
      </c>
      <c r="F798" s="48">
        <f t="shared" si="20"/>
        <v>0</v>
      </c>
    </row>
    <row r="799" spans="2:6" ht="14.4" x14ac:dyDescent="0.3">
      <c r="B799" s="420" t="s">
        <v>880</v>
      </c>
      <c r="C799" s="328" t="s">
        <v>115</v>
      </c>
      <c r="E799" s="385">
        <v>84.179999999999993</v>
      </c>
      <c r="F799" s="48">
        <f t="shared" si="20"/>
        <v>0</v>
      </c>
    </row>
    <row r="800" spans="2:6" ht="14.4" x14ac:dyDescent="0.3">
      <c r="B800" s="420" t="s">
        <v>881</v>
      </c>
      <c r="C800" s="419" t="s">
        <v>115</v>
      </c>
      <c r="E800" s="385">
        <v>62.099999999999994</v>
      </c>
      <c r="F800" s="48">
        <f t="shared" si="20"/>
        <v>0</v>
      </c>
    </row>
    <row r="801" spans="2:6" ht="14.4" x14ac:dyDescent="0.3">
      <c r="B801" s="420" t="s">
        <v>882</v>
      </c>
      <c r="C801" s="328" t="s">
        <v>115</v>
      </c>
      <c r="E801" s="385">
        <v>24.839999999999996</v>
      </c>
      <c r="F801" s="48">
        <f t="shared" si="20"/>
        <v>0</v>
      </c>
    </row>
    <row r="802" spans="2:6" ht="14.4" x14ac:dyDescent="0.3">
      <c r="B802" s="420" t="s">
        <v>883</v>
      </c>
      <c r="C802" s="328" t="s">
        <v>115</v>
      </c>
      <c r="E802" s="385">
        <v>22.08</v>
      </c>
      <c r="F802" s="48">
        <f t="shared" si="20"/>
        <v>0</v>
      </c>
    </row>
    <row r="803" spans="2:6" ht="14.4" x14ac:dyDescent="0.3">
      <c r="B803" s="420" t="s">
        <v>884</v>
      </c>
      <c r="C803" s="328" t="s">
        <v>115</v>
      </c>
      <c r="E803" s="385">
        <v>16.559999999999999</v>
      </c>
      <c r="F803" s="48">
        <f t="shared" si="20"/>
        <v>0</v>
      </c>
    </row>
    <row r="804" spans="2:6" ht="14.4" x14ac:dyDescent="0.3">
      <c r="B804" s="420" t="s">
        <v>885</v>
      </c>
      <c r="C804" s="419" t="s">
        <v>115</v>
      </c>
      <c r="E804" s="385">
        <v>22.08</v>
      </c>
      <c r="F804" s="48">
        <f t="shared" si="20"/>
        <v>0</v>
      </c>
    </row>
    <row r="805" spans="2:6" ht="14.4" x14ac:dyDescent="0.3">
      <c r="B805" s="420" t="s">
        <v>886</v>
      </c>
      <c r="C805" s="419" t="s">
        <v>115</v>
      </c>
      <c r="E805" s="385">
        <v>22.08</v>
      </c>
      <c r="F805" s="48">
        <f t="shared" si="20"/>
        <v>0</v>
      </c>
    </row>
    <row r="806" spans="2:6" ht="14.4" x14ac:dyDescent="0.3">
      <c r="B806" s="420" t="s">
        <v>766</v>
      </c>
      <c r="C806" s="419" t="s">
        <v>115</v>
      </c>
      <c r="E806" s="385">
        <v>6.4859999999999998</v>
      </c>
      <c r="F806" s="48">
        <f t="shared" si="20"/>
        <v>0</v>
      </c>
    </row>
    <row r="807" spans="2:6" ht="14.4" x14ac:dyDescent="0.3">
      <c r="B807" s="420" t="s">
        <v>887</v>
      </c>
      <c r="C807" s="419" t="s">
        <v>115</v>
      </c>
      <c r="E807" s="385">
        <v>22.08</v>
      </c>
      <c r="F807" s="48">
        <f t="shared" si="20"/>
        <v>0</v>
      </c>
    </row>
    <row r="808" spans="2:6" ht="14.4" x14ac:dyDescent="0.3">
      <c r="B808" s="420" t="s">
        <v>888</v>
      </c>
      <c r="C808" s="419" t="s">
        <v>115</v>
      </c>
      <c r="E808" s="385">
        <v>22.08</v>
      </c>
      <c r="F808" s="48">
        <f t="shared" si="20"/>
        <v>0</v>
      </c>
    </row>
    <row r="809" spans="2:6" ht="14.4" x14ac:dyDescent="0.3">
      <c r="B809" s="420" t="s">
        <v>772</v>
      </c>
      <c r="C809" s="419" t="s">
        <v>115</v>
      </c>
      <c r="E809" s="385">
        <v>16.559999999999999</v>
      </c>
      <c r="F809" s="48">
        <f t="shared" si="20"/>
        <v>0</v>
      </c>
    </row>
    <row r="810" spans="2:6" ht="14.4" x14ac:dyDescent="0.3">
      <c r="B810" s="420" t="s">
        <v>773</v>
      </c>
      <c r="C810" s="419" t="s">
        <v>115</v>
      </c>
      <c r="E810" s="385">
        <v>16.559999999999999</v>
      </c>
      <c r="F810" s="48">
        <f t="shared" si="20"/>
        <v>0</v>
      </c>
    </row>
    <row r="811" spans="2:6" ht="14.4" x14ac:dyDescent="0.3">
      <c r="B811" s="420" t="s">
        <v>889</v>
      </c>
      <c r="C811" s="419" t="s">
        <v>115</v>
      </c>
      <c r="E811" s="385">
        <v>19.32</v>
      </c>
      <c r="F811" s="48">
        <f t="shared" si="20"/>
        <v>0</v>
      </c>
    </row>
    <row r="812" spans="2:6" ht="14.4" x14ac:dyDescent="0.3">
      <c r="B812" s="420" t="s">
        <v>890</v>
      </c>
      <c r="C812" s="419" t="s">
        <v>115</v>
      </c>
      <c r="E812" s="385">
        <v>0.89699999999999991</v>
      </c>
      <c r="F812" s="48">
        <f t="shared" si="20"/>
        <v>0</v>
      </c>
    </row>
    <row r="813" spans="2:6" ht="14.4" x14ac:dyDescent="0.3">
      <c r="B813" s="420" t="s">
        <v>891</v>
      </c>
      <c r="C813" s="419" t="s">
        <v>115</v>
      </c>
      <c r="E813" s="385">
        <v>0.89699999999999991</v>
      </c>
      <c r="F813" s="48">
        <f t="shared" si="20"/>
        <v>0</v>
      </c>
    </row>
    <row r="814" spans="2:6" ht="14.4" x14ac:dyDescent="0.3">
      <c r="B814" s="420"/>
      <c r="C814" s="419"/>
      <c r="E814" s="385">
        <v>0</v>
      </c>
      <c r="F814" s="48">
        <f t="shared" si="20"/>
        <v>0</v>
      </c>
    </row>
    <row r="815" spans="2:6" ht="14.4" x14ac:dyDescent="0.3">
      <c r="B815" s="420"/>
      <c r="C815" s="419"/>
      <c r="E815" s="385">
        <v>0</v>
      </c>
      <c r="F815" s="48">
        <f t="shared" si="20"/>
        <v>0</v>
      </c>
    </row>
    <row r="816" spans="2:6" ht="14.4" x14ac:dyDescent="0.3">
      <c r="B816" s="324" t="s">
        <v>892</v>
      </c>
      <c r="C816" s="328" t="s">
        <v>115</v>
      </c>
      <c r="E816" s="385">
        <v>2.6219999999999999</v>
      </c>
      <c r="F816" s="48">
        <f t="shared" si="20"/>
        <v>0</v>
      </c>
    </row>
    <row r="817" spans="2:6" ht="14.4" x14ac:dyDescent="0.3">
      <c r="B817" s="324" t="s">
        <v>491</v>
      </c>
      <c r="C817" s="328" t="s">
        <v>149</v>
      </c>
      <c r="E817" s="385">
        <v>2.76</v>
      </c>
      <c r="F817" s="48">
        <f t="shared" si="20"/>
        <v>0</v>
      </c>
    </row>
    <row r="818" spans="2:6" ht="14.4" x14ac:dyDescent="0.3">
      <c r="B818" s="324" t="s">
        <v>801</v>
      </c>
      <c r="C818" s="328" t="s">
        <v>115</v>
      </c>
      <c r="E818" s="385">
        <v>36.431999999999995</v>
      </c>
      <c r="F818" s="48">
        <f t="shared" si="20"/>
        <v>0</v>
      </c>
    </row>
    <row r="819" spans="2:6" ht="14.4" x14ac:dyDescent="0.3">
      <c r="B819" s="324" t="s">
        <v>802</v>
      </c>
      <c r="C819" s="328" t="s">
        <v>115</v>
      </c>
      <c r="E819" s="385">
        <v>31.74</v>
      </c>
      <c r="F819" s="48">
        <f t="shared" si="20"/>
        <v>0</v>
      </c>
    </row>
    <row r="820" spans="2:6" ht="14.4" x14ac:dyDescent="0.3">
      <c r="B820" s="324"/>
      <c r="C820" s="328"/>
      <c r="E820" s="385">
        <v>0</v>
      </c>
      <c r="F820" s="48">
        <f t="shared" si="20"/>
        <v>0</v>
      </c>
    </row>
    <row r="821" spans="2:6" ht="14.4" x14ac:dyDescent="0.3">
      <c r="B821" s="426" t="s">
        <v>893</v>
      </c>
      <c r="C821" s="328"/>
      <c r="E821" s="385">
        <v>0</v>
      </c>
      <c r="F821" s="48">
        <f t="shared" ref="F821:F834" si="21">E821*D821</f>
        <v>0</v>
      </c>
    </row>
    <row r="822" spans="2:6" ht="14.4" x14ac:dyDescent="0.3">
      <c r="B822" s="324"/>
      <c r="C822" s="328"/>
      <c r="E822" s="385">
        <v>0</v>
      </c>
      <c r="F822" s="48">
        <f t="shared" si="21"/>
        <v>0</v>
      </c>
    </row>
    <row r="823" spans="2:6" ht="14.4" x14ac:dyDescent="0.3">
      <c r="B823" s="420" t="s">
        <v>894</v>
      </c>
      <c r="C823" s="328" t="s">
        <v>115</v>
      </c>
      <c r="E823" s="385">
        <v>362.13959999999997</v>
      </c>
      <c r="F823" s="48">
        <f t="shared" si="21"/>
        <v>0</v>
      </c>
    </row>
    <row r="824" spans="2:6" ht="14.4" x14ac:dyDescent="0.3">
      <c r="B824" s="420" t="s">
        <v>895</v>
      </c>
      <c r="C824" s="328" t="s">
        <v>115</v>
      </c>
      <c r="E824" s="385">
        <v>827.99999999999989</v>
      </c>
      <c r="F824" s="48">
        <f t="shared" si="21"/>
        <v>0</v>
      </c>
    </row>
    <row r="825" spans="2:6" ht="14.4" x14ac:dyDescent="0.3">
      <c r="B825" s="420" t="s">
        <v>896</v>
      </c>
      <c r="C825" s="328" t="s">
        <v>115</v>
      </c>
      <c r="E825" s="385">
        <v>552</v>
      </c>
      <c r="F825" s="48">
        <f t="shared" si="21"/>
        <v>0</v>
      </c>
    </row>
    <row r="826" spans="2:6" ht="14.4" x14ac:dyDescent="0.3">
      <c r="B826" s="420"/>
      <c r="C826" s="328"/>
      <c r="E826" s="385">
        <v>0</v>
      </c>
      <c r="F826" s="48">
        <f t="shared" si="21"/>
        <v>0</v>
      </c>
    </row>
    <row r="827" spans="2:6" ht="14.4" x14ac:dyDescent="0.3">
      <c r="B827" s="420" t="s">
        <v>897</v>
      </c>
      <c r="C827" s="328" t="s">
        <v>115</v>
      </c>
      <c r="E827" s="385">
        <v>690</v>
      </c>
      <c r="F827" s="48">
        <f t="shared" si="21"/>
        <v>0</v>
      </c>
    </row>
    <row r="828" spans="2:6" ht="14.4" x14ac:dyDescent="0.3">
      <c r="B828" s="420" t="s">
        <v>898</v>
      </c>
      <c r="C828" s="328" t="s">
        <v>115</v>
      </c>
      <c r="E828" s="385">
        <v>413.99999999999994</v>
      </c>
      <c r="F828" s="48">
        <f t="shared" si="21"/>
        <v>0</v>
      </c>
    </row>
    <row r="829" spans="2:6" ht="14.4" x14ac:dyDescent="0.3">
      <c r="B829" s="420" t="s">
        <v>899</v>
      </c>
      <c r="C829" s="328" t="s">
        <v>115</v>
      </c>
      <c r="E829" s="385">
        <v>413.99999999999994</v>
      </c>
      <c r="F829" s="48">
        <f t="shared" si="21"/>
        <v>0</v>
      </c>
    </row>
    <row r="830" spans="2:6" ht="14.4" x14ac:dyDescent="0.3">
      <c r="B830" s="420" t="s">
        <v>898</v>
      </c>
      <c r="C830" s="328" t="s">
        <v>115</v>
      </c>
      <c r="E830" s="385">
        <v>413.99999999999994</v>
      </c>
      <c r="F830" s="48">
        <f t="shared" si="21"/>
        <v>0</v>
      </c>
    </row>
    <row r="831" spans="2:6" ht="14.4" x14ac:dyDescent="0.3">
      <c r="B831" s="420"/>
      <c r="C831" s="328" t="s">
        <v>115</v>
      </c>
      <c r="E831" s="385">
        <v>0</v>
      </c>
      <c r="F831" s="48">
        <f t="shared" si="21"/>
        <v>0</v>
      </c>
    </row>
    <row r="832" spans="2:6" ht="14.4" x14ac:dyDescent="0.3">
      <c r="B832" s="420" t="s">
        <v>905</v>
      </c>
      <c r="C832" s="328" t="s">
        <v>115</v>
      </c>
      <c r="E832" s="385">
        <v>20.7</v>
      </c>
      <c r="F832" s="48">
        <f t="shared" si="21"/>
        <v>0</v>
      </c>
    </row>
    <row r="833" spans="2:6" ht="14.4" x14ac:dyDescent="0.3">
      <c r="B833" s="420" t="s">
        <v>906</v>
      </c>
      <c r="C833" s="419" t="s">
        <v>115</v>
      </c>
      <c r="E833" s="385">
        <v>110.39999999999999</v>
      </c>
      <c r="F833" s="48">
        <f t="shared" si="21"/>
        <v>0</v>
      </c>
    </row>
    <row r="834" spans="2:6" ht="14.4" x14ac:dyDescent="0.3">
      <c r="B834" s="420" t="s">
        <v>907</v>
      </c>
      <c r="C834" s="419" t="s">
        <v>115</v>
      </c>
      <c r="E834" s="326">
        <v>180</v>
      </c>
      <c r="F834" s="48">
        <f t="shared" si="21"/>
        <v>0</v>
      </c>
    </row>
    <row r="837" spans="2:6" ht="14.4" x14ac:dyDescent="0.3">
      <c r="B837" s="325" t="s">
        <v>908</v>
      </c>
    </row>
    <row r="839" spans="2:6" ht="14.4" x14ac:dyDescent="0.3">
      <c r="B839" t="s">
        <v>909</v>
      </c>
      <c r="C839" s="419" t="s">
        <v>115</v>
      </c>
      <c r="D839" s="40">
        <v>5</v>
      </c>
      <c r="E839" s="326">
        <v>180</v>
      </c>
      <c r="F839" s="48">
        <f t="shared" ref="F839:F840" si="22">E839*D839</f>
        <v>900</v>
      </c>
    </row>
    <row r="840" spans="2:6" ht="14.4" x14ac:dyDescent="0.3">
      <c r="B840" t="s">
        <v>909</v>
      </c>
      <c r="C840" s="419" t="s">
        <v>115</v>
      </c>
      <c r="E840" s="326">
        <v>0</v>
      </c>
      <c r="F840" s="48">
        <f t="shared" si="22"/>
        <v>0</v>
      </c>
    </row>
    <row r="844" spans="2:6" x14ac:dyDescent="0.2">
      <c r="C844" s="548" t="s">
        <v>910</v>
      </c>
      <c r="D844" s="548"/>
      <c r="E844" s="548"/>
    </row>
    <row r="845" spans="2:6" x14ac:dyDescent="0.2">
      <c r="C845" s="548"/>
      <c r="D845" s="548"/>
      <c r="E845" s="548"/>
      <c r="F845" s="41">
        <f>SUM(F15:F844)</f>
        <v>37745.388021002516</v>
      </c>
    </row>
    <row r="846" spans="2:6" x14ac:dyDescent="0.2">
      <c r="C846" s="548"/>
      <c r="D846" s="548"/>
      <c r="E846" s="548"/>
    </row>
    <row r="848" spans="2:6" x14ac:dyDescent="0.2">
      <c r="E848" s="392" t="s">
        <v>911</v>
      </c>
      <c r="F848" s="393">
        <v>1.18</v>
      </c>
    </row>
    <row r="849" spans="2:11" x14ac:dyDescent="0.2">
      <c r="E849" s="392" t="s">
        <v>912</v>
      </c>
      <c r="F849" s="41">
        <v>3650</v>
      </c>
    </row>
    <row r="851" spans="2:11" x14ac:dyDescent="0.2">
      <c r="C851" s="548" t="s">
        <v>14</v>
      </c>
      <c r="D851" s="548"/>
      <c r="E851" s="548"/>
    </row>
    <row r="852" spans="2:11" x14ac:dyDescent="0.2">
      <c r="C852" s="548"/>
      <c r="D852" s="548"/>
      <c r="E852" s="548"/>
      <c r="F852" s="41">
        <f>F845*F848+F849</f>
        <v>48189.557864782968</v>
      </c>
    </row>
    <row r="853" spans="2:11" x14ac:dyDescent="0.2">
      <c r="C853" s="548"/>
      <c r="D853" s="548"/>
      <c r="E853" s="548"/>
    </row>
    <row r="857" spans="2:11" ht="10.8" thickBot="1" x14ac:dyDescent="0.25"/>
    <row r="858" spans="2:11" s="120" customFormat="1" ht="15" thickBot="1" x14ac:dyDescent="0.35">
      <c r="B858" s="173" t="s">
        <v>913</v>
      </c>
      <c r="C858" s="121"/>
      <c r="D858" s="122"/>
      <c r="E858" s="125"/>
      <c r="F858" s="125"/>
      <c r="G858" s="125"/>
      <c r="H858" s="124"/>
      <c r="K858" s="196"/>
    </row>
    <row r="859" spans="2:11" s="120" customFormat="1" ht="14.4" x14ac:dyDescent="0.3">
      <c r="B859" s="126"/>
      <c r="C859" s="193" t="s">
        <v>914</v>
      </c>
      <c r="D859" s="193" t="s">
        <v>102</v>
      </c>
      <c r="E859" s="194"/>
      <c r="F859" s="194"/>
      <c r="G859" s="125"/>
      <c r="H859" s="124"/>
      <c r="K859" s="196"/>
    </row>
    <row r="860" spans="2:11" s="120" customFormat="1" ht="14.4" x14ac:dyDescent="0.3">
      <c r="B860" s="427" t="s">
        <v>915</v>
      </c>
      <c r="C860" s="196">
        <f>C864</f>
        <v>23</v>
      </c>
      <c r="D860" s="196" t="s">
        <v>149</v>
      </c>
      <c r="E860" s="125"/>
      <c r="F860" s="125"/>
      <c r="G860" s="125"/>
      <c r="H860" s="124"/>
      <c r="K860" s="196"/>
    </row>
    <row r="861" spans="2:11" s="120" customFormat="1" ht="14.4" x14ac:dyDescent="0.3">
      <c r="B861" s="336" t="s">
        <v>916</v>
      </c>
      <c r="C861" s="196">
        <v>0</v>
      </c>
      <c r="D861" s="196" t="s">
        <v>149</v>
      </c>
      <c r="E861" s="125"/>
      <c r="F861" s="125"/>
      <c r="G861" s="125"/>
      <c r="H861" s="124"/>
      <c r="K861" s="196"/>
    </row>
    <row r="862" spans="2:11" s="120" customFormat="1" ht="14.4" x14ac:dyDescent="0.3">
      <c r="B862" s="336" t="s">
        <v>917</v>
      </c>
      <c r="C862" s="196">
        <v>0</v>
      </c>
      <c r="D862" s="196" t="s">
        <v>154</v>
      </c>
      <c r="E862" s="125"/>
      <c r="F862" s="125"/>
      <c r="G862" s="125"/>
      <c r="H862" s="124"/>
      <c r="K862" s="196"/>
    </row>
    <row r="863" spans="2:11" s="120" customFormat="1" ht="14.4" x14ac:dyDescent="0.3">
      <c r="B863" s="336" t="s">
        <v>918</v>
      </c>
      <c r="C863" s="196">
        <v>0</v>
      </c>
      <c r="D863" s="196" t="s">
        <v>149</v>
      </c>
      <c r="E863" s="125"/>
      <c r="F863" s="125"/>
      <c r="G863" s="125"/>
      <c r="H863" s="124"/>
      <c r="K863" s="196"/>
    </row>
    <row r="864" spans="2:11" s="120" customFormat="1" ht="14.4" x14ac:dyDescent="0.3">
      <c r="B864" s="427" t="s">
        <v>919</v>
      </c>
      <c r="C864" s="428">
        <f>SUM(D171:D174)+SUM(D347:D356)+D689+D704+D702+D703+SUM(D756:D773)</f>
        <v>23</v>
      </c>
      <c r="D864" s="196" t="s">
        <v>149</v>
      </c>
      <c r="E864" s="125"/>
      <c r="F864" s="125"/>
      <c r="G864" s="125"/>
      <c r="H864" s="124"/>
      <c r="K864" s="196"/>
    </row>
    <row r="865" spans="2:15" s="120" customFormat="1" ht="14.4" x14ac:dyDescent="0.3">
      <c r="B865" s="427" t="s">
        <v>920</v>
      </c>
      <c r="C865" s="338"/>
      <c r="D865" s="196" t="s">
        <v>149</v>
      </c>
      <c r="E865" s="125"/>
      <c r="F865" s="125"/>
      <c r="G865" s="125"/>
      <c r="H865" s="124"/>
      <c r="K865" s="196"/>
    </row>
    <row r="866" spans="2:15" s="120" customFormat="1" ht="14.4" x14ac:dyDescent="0.3">
      <c r="B866" s="427" t="s">
        <v>921</v>
      </c>
      <c r="C866" s="339">
        <v>0.1</v>
      </c>
      <c r="D866" s="196" t="s">
        <v>149</v>
      </c>
      <c r="F866" s="125"/>
      <c r="G866" s="125"/>
      <c r="H866" s="124"/>
      <c r="K866" s="196"/>
    </row>
    <row r="867" spans="2:15" s="120" customFormat="1" ht="14.4" x14ac:dyDescent="0.3">
      <c r="B867" s="427" t="s">
        <v>922</v>
      </c>
      <c r="C867" s="339"/>
      <c r="D867" s="196" t="s">
        <v>149</v>
      </c>
      <c r="E867" s="429">
        <f>C867/(C864+C865)</f>
        <v>0</v>
      </c>
      <c r="F867" s="125"/>
      <c r="G867" s="125"/>
      <c r="H867" s="124"/>
      <c r="K867" s="196"/>
    </row>
    <row r="868" spans="2:15" s="120" customFormat="1" ht="14.4" x14ac:dyDescent="0.3">
      <c r="B868" s="427" t="s">
        <v>923</v>
      </c>
      <c r="C868" s="339"/>
      <c r="D868" s="196" t="s">
        <v>149</v>
      </c>
      <c r="E868" s="429">
        <f>C868/(C864+C865)</f>
        <v>0</v>
      </c>
      <c r="F868" s="125"/>
      <c r="G868" s="125"/>
      <c r="H868" s="124"/>
      <c r="K868" s="196"/>
    </row>
    <row r="869" spans="2:15" s="120" customFormat="1" ht="14.4" x14ac:dyDescent="0.3">
      <c r="B869" s="427" t="s">
        <v>924</v>
      </c>
      <c r="C869" s="339"/>
      <c r="D869" s="196" t="s">
        <v>149</v>
      </c>
      <c r="E869" s="429">
        <f>C869/(C864+C865)</f>
        <v>0</v>
      </c>
      <c r="F869" s="125"/>
      <c r="G869" s="125"/>
      <c r="H869" s="124"/>
      <c r="K869" s="196"/>
    </row>
    <row r="870" spans="2:15" s="120" customFormat="1" ht="14.4" x14ac:dyDescent="0.3">
      <c r="B870" s="336"/>
      <c r="F870" s="125"/>
      <c r="G870" s="125"/>
      <c r="H870" s="124"/>
      <c r="K870" s="196"/>
    </row>
    <row r="871" spans="2:15" s="120" customFormat="1" ht="14.4" x14ac:dyDescent="0.3">
      <c r="B871" s="126"/>
      <c r="E871" s="125"/>
      <c r="F871" s="125"/>
      <c r="G871" s="125"/>
      <c r="H871" s="124"/>
      <c r="K871" s="196"/>
    </row>
    <row r="872" spans="2:15" s="340" customFormat="1" ht="72" x14ac:dyDescent="0.25">
      <c r="B872" s="341"/>
      <c r="C872" s="342" t="s">
        <v>32</v>
      </c>
      <c r="D872" s="342" t="s">
        <v>925</v>
      </c>
      <c r="E872" s="125" t="s">
        <v>926</v>
      </c>
      <c r="F872" s="430" t="s">
        <v>927</v>
      </c>
      <c r="G872" s="431" t="s">
        <v>928</v>
      </c>
      <c r="H872" s="343" t="s">
        <v>929</v>
      </c>
      <c r="I872" s="344" t="s">
        <v>930</v>
      </c>
      <c r="J872" s="344" t="s">
        <v>931</v>
      </c>
      <c r="K872" s="344" t="s">
        <v>932</v>
      </c>
      <c r="L872" s="431" t="s">
        <v>933</v>
      </c>
    </row>
    <row r="873" spans="2:15" s="120" customFormat="1" ht="14.4" x14ac:dyDescent="0.3">
      <c r="B873" s="336" t="str">
        <f>B864</f>
        <v>L/M of Inground Pipe (Average Depth)</v>
      </c>
      <c r="C873" s="345">
        <v>0.95</v>
      </c>
      <c r="D873" s="345">
        <v>0.6</v>
      </c>
      <c r="E873" s="337">
        <f>C864</f>
        <v>23</v>
      </c>
      <c r="F873" s="432">
        <v>1.3</v>
      </c>
      <c r="G873" s="346">
        <f>C866</f>
        <v>0.1</v>
      </c>
      <c r="H873" s="199">
        <f>(C873*D873*E873)*F873-(C873*D873*E873*G873)</f>
        <v>15.731999999999999</v>
      </c>
      <c r="I873" s="347"/>
      <c r="J873" s="347"/>
      <c r="K873" s="348"/>
    </row>
    <row r="874" spans="2:15" s="120" customFormat="1" ht="14.4" x14ac:dyDescent="0.3">
      <c r="B874" s="427" t="str">
        <f>B865</f>
        <v>L/M of Inground Pipe (Deeper Than Average Depth)</v>
      </c>
      <c r="C874" s="345">
        <v>1.1000000000000001</v>
      </c>
      <c r="D874" s="345">
        <v>0.5</v>
      </c>
      <c r="E874" s="337">
        <f>C865</f>
        <v>0</v>
      </c>
      <c r="F874" s="432">
        <v>1.3</v>
      </c>
      <c r="G874" s="345">
        <v>0</v>
      </c>
      <c r="H874" s="199">
        <f>(C874*D874*E874)*F874</f>
        <v>0</v>
      </c>
      <c r="I874" s="347"/>
      <c r="J874" s="347"/>
      <c r="K874" s="348"/>
    </row>
    <row r="875" spans="2:15" s="120" customFormat="1" ht="14.4" x14ac:dyDescent="0.3">
      <c r="B875" s="427" t="s">
        <v>934</v>
      </c>
      <c r="C875" s="345">
        <v>0.35</v>
      </c>
      <c r="D875" s="346">
        <f>D873</f>
        <v>0.6</v>
      </c>
      <c r="E875" s="346">
        <f>E873</f>
        <v>23</v>
      </c>
      <c r="F875" s="432">
        <v>0</v>
      </c>
      <c r="G875" s="346">
        <f>C866</f>
        <v>0.1</v>
      </c>
      <c r="H875" s="199"/>
      <c r="I875" s="199">
        <f>(C875*D875*E875)-(C875*D875*E875*G875)</f>
        <v>4.3470000000000004</v>
      </c>
      <c r="J875" s="199"/>
      <c r="K875" s="348"/>
    </row>
    <row r="876" spans="2:15" s="120" customFormat="1" ht="14.4" x14ac:dyDescent="0.3">
      <c r="B876" s="427" t="s">
        <v>935</v>
      </c>
      <c r="C876" s="345">
        <v>0.2</v>
      </c>
      <c r="D876" s="346">
        <f>D874</f>
        <v>0.5</v>
      </c>
      <c r="E876" s="349">
        <f>E874</f>
        <v>0</v>
      </c>
      <c r="F876" s="432">
        <v>0</v>
      </c>
      <c r="G876" s="346">
        <f>G874</f>
        <v>0</v>
      </c>
      <c r="H876" s="199"/>
      <c r="I876" s="199">
        <f>(C876*D876*E876)-(C876*D876*E876*G876)</f>
        <v>0</v>
      </c>
      <c r="J876" s="199"/>
      <c r="K876" s="348"/>
    </row>
    <row r="877" spans="2:15" s="120" customFormat="1" ht="14.4" x14ac:dyDescent="0.3">
      <c r="B877" s="427" t="s">
        <v>936</v>
      </c>
      <c r="C877" s="346">
        <f>C873</f>
        <v>0.95</v>
      </c>
      <c r="D877" s="346">
        <f>D873</f>
        <v>0.6</v>
      </c>
      <c r="E877" s="349">
        <f>E873</f>
        <v>23</v>
      </c>
      <c r="F877" s="432">
        <v>1.3</v>
      </c>
      <c r="G877" s="346">
        <f>C866</f>
        <v>0.1</v>
      </c>
      <c r="H877" s="199"/>
      <c r="I877" s="199"/>
      <c r="J877" s="199">
        <f>(C877*D877*E877*F877)-(C877*D877*E877*G877)-I875</f>
        <v>11.384999999999998</v>
      </c>
      <c r="K877" s="348"/>
    </row>
    <row r="878" spans="2:15" s="120" customFormat="1" ht="14.4" x14ac:dyDescent="0.3">
      <c r="B878" s="427" t="s">
        <v>937</v>
      </c>
      <c r="C878" s="346">
        <f>C874</f>
        <v>1.1000000000000001</v>
      </c>
      <c r="D878" s="346">
        <f t="shared" ref="D878:E878" si="23">D874</f>
        <v>0.5</v>
      </c>
      <c r="E878" s="346">
        <f t="shared" si="23"/>
        <v>0</v>
      </c>
      <c r="F878" s="432">
        <v>1.3</v>
      </c>
      <c r="G878" s="346">
        <f>G874</f>
        <v>0</v>
      </c>
      <c r="H878" s="199"/>
      <c r="I878" s="199"/>
      <c r="J878" s="199">
        <f>(C878*D878*E878*F878)-(C878*D878*E878*G878)-I876</f>
        <v>0</v>
      </c>
      <c r="K878" s="348"/>
    </row>
    <row r="879" spans="2:15" s="120" customFormat="1" ht="15" thickBot="1" x14ac:dyDescent="0.35">
      <c r="B879" s="336"/>
      <c r="C879" s="348"/>
      <c r="D879" s="348"/>
      <c r="E879" s="348"/>
      <c r="F879" s="433"/>
      <c r="G879" s="199"/>
      <c r="H879" s="348"/>
      <c r="I879" s="347"/>
      <c r="J879" s="347"/>
      <c r="K879" s="199" t="s">
        <v>938</v>
      </c>
      <c r="L879" s="350" t="s">
        <v>939</v>
      </c>
      <c r="M879" s="350" t="s">
        <v>940</v>
      </c>
    </row>
    <row r="880" spans="2:15" s="120" customFormat="1" ht="15" thickBot="1" x14ac:dyDescent="0.35">
      <c r="B880" s="336"/>
      <c r="C880" s="348"/>
      <c r="D880" s="348"/>
      <c r="E880" s="348"/>
      <c r="F880" s="433"/>
      <c r="G880" s="199"/>
      <c r="H880" s="351">
        <f>SUM(H873:H879)</f>
        <v>15.731999999999999</v>
      </c>
      <c r="I880" s="351">
        <f>SUM(I873:I879)</f>
        <v>4.3470000000000004</v>
      </c>
      <c r="J880" s="351">
        <f>SUM(J873:J879)</f>
        <v>11.384999999999998</v>
      </c>
      <c r="K880" s="352">
        <f>H880-J880</f>
        <v>4.3470000000000013</v>
      </c>
      <c r="L880" s="353">
        <v>15</v>
      </c>
      <c r="M880" s="354">
        <f>K880*L880</f>
        <v>65.205000000000013</v>
      </c>
      <c r="O880" s="192"/>
    </row>
    <row r="881" spans="2:18" s="120" customFormat="1" ht="14.4" x14ac:dyDescent="0.3">
      <c r="B881" s="336"/>
      <c r="C881" s="196"/>
      <c r="D881" s="196"/>
      <c r="E881" s="196"/>
      <c r="F881" s="433"/>
      <c r="G881" s="199"/>
      <c r="H881" s="124"/>
      <c r="K881" s="196"/>
      <c r="O881" s="347"/>
    </row>
    <row r="882" spans="2:18" s="120" customFormat="1" ht="14.4" x14ac:dyDescent="0.3">
      <c r="B882" s="336"/>
      <c r="C882" s="196"/>
      <c r="D882" s="196"/>
      <c r="E882" s="196"/>
      <c r="F882" s="433"/>
      <c r="G882" s="199"/>
      <c r="H882" s="124"/>
      <c r="K882" s="196"/>
      <c r="O882" s="347"/>
    </row>
    <row r="883" spans="2:18" s="120" customFormat="1" ht="14.4" x14ac:dyDescent="0.3">
      <c r="B883" s="336"/>
      <c r="C883" s="196"/>
      <c r="D883" s="196"/>
      <c r="E883" s="196"/>
      <c r="F883" s="433"/>
      <c r="G883" s="199"/>
      <c r="H883" s="124"/>
      <c r="K883" s="196"/>
      <c r="O883" s="347"/>
    </row>
    <row r="884" spans="2:18" s="120" customFormat="1" ht="14.4" x14ac:dyDescent="0.3">
      <c r="B884" s="336"/>
      <c r="C884" s="196"/>
      <c r="D884" s="196"/>
      <c r="E884" s="196"/>
      <c r="F884" s="433"/>
      <c r="G884" s="199"/>
      <c r="H884" s="124"/>
      <c r="K884" s="196"/>
      <c r="O884" s="347"/>
    </row>
    <row r="885" spans="2:18" s="120" customFormat="1" ht="7.2" customHeight="1" x14ac:dyDescent="0.3">
      <c r="B885" s="355"/>
      <c r="C885" s="232"/>
      <c r="D885" s="232"/>
      <c r="E885" s="232"/>
      <c r="F885" s="233"/>
      <c r="G885" s="233"/>
      <c r="H885" s="234"/>
      <c r="I885" s="232"/>
      <c r="K885" s="196"/>
    </row>
    <row r="886" spans="2:18" s="120" customFormat="1" ht="14.4" x14ac:dyDescent="0.3">
      <c r="B886" s="126" t="s">
        <v>941</v>
      </c>
      <c r="C886" s="196" t="s">
        <v>942</v>
      </c>
      <c r="D886" s="196" t="s">
        <v>914</v>
      </c>
      <c r="E886" s="125" t="s">
        <v>943</v>
      </c>
      <c r="F886" s="120" t="s">
        <v>911</v>
      </c>
      <c r="G886" s="194" t="s">
        <v>943</v>
      </c>
      <c r="H886" s="200" t="s">
        <v>944</v>
      </c>
      <c r="K886" s="196"/>
    </row>
    <row r="887" spans="2:18" s="120" customFormat="1" ht="14.4" x14ac:dyDescent="0.3">
      <c r="B887" s="336"/>
      <c r="C887" s="196">
        <v>0.1</v>
      </c>
      <c r="D887" s="339"/>
      <c r="E887" s="196">
        <f>D887*C887</f>
        <v>0</v>
      </c>
      <c r="F887" s="433">
        <v>1.1000000000000001</v>
      </c>
      <c r="G887" s="198">
        <f>E887*F887</f>
        <v>0</v>
      </c>
      <c r="H887" s="124">
        <f>G887*E912</f>
        <v>0</v>
      </c>
      <c r="I887" s="195"/>
      <c r="K887" s="196"/>
    </row>
    <row r="888" spans="2:18" s="324" customFormat="1" ht="14.4" x14ac:dyDescent="0.3">
      <c r="C888" s="328"/>
      <c r="D888" s="328"/>
      <c r="E888" s="326"/>
      <c r="F888" s="326"/>
    </row>
    <row r="889" spans="2:18" s="324" customFormat="1" ht="15" thickBot="1" x14ac:dyDescent="0.35">
      <c r="C889" s="328"/>
      <c r="D889" s="328"/>
      <c r="E889" s="326"/>
      <c r="F889" s="326"/>
    </row>
    <row r="890" spans="2:18" s="324" customFormat="1" ht="15" thickBot="1" x14ac:dyDescent="0.35">
      <c r="B890" s="173" t="s">
        <v>945</v>
      </c>
      <c r="C890" s="121"/>
      <c r="D890" s="122"/>
      <c r="E890" s="125"/>
      <c r="F890" s="125"/>
      <c r="G890" s="125"/>
      <c r="H890" s="124"/>
      <c r="I890" s="120"/>
      <c r="J890" s="120"/>
      <c r="K890" s="120"/>
      <c r="L890" s="120"/>
      <c r="M890" s="120"/>
      <c r="N890" s="120"/>
      <c r="O890" s="120"/>
      <c r="P890" s="120"/>
    </row>
    <row r="891" spans="2:18" s="324" customFormat="1" ht="15" thickBot="1" x14ac:dyDescent="0.35">
      <c r="B891" s="192"/>
      <c r="C891" s="120"/>
      <c r="D891" s="120"/>
      <c r="E891" s="125"/>
      <c r="F891" s="125"/>
      <c r="G891" s="125"/>
      <c r="H891" s="124"/>
      <c r="I891" s="120"/>
      <c r="J891" s="120"/>
      <c r="K891" s="120"/>
      <c r="L891" s="120"/>
      <c r="M891" s="342">
        <v>1.4</v>
      </c>
      <c r="N891" s="120"/>
      <c r="O891" s="120"/>
      <c r="P891" s="120"/>
    </row>
    <row r="892" spans="2:18" s="356" customFormat="1" ht="43.8" thickBot="1" x14ac:dyDescent="0.3">
      <c r="B892" s="357" t="s">
        <v>354</v>
      </c>
      <c r="C892" s="350" t="s">
        <v>946</v>
      </c>
      <c r="D892" s="350" t="s">
        <v>102</v>
      </c>
      <c r="E892" s="194" t="s">
        <v>939</v>
      </c>
      <c r="F892" s="194" t="s">
        <v>947</v>
      </c>
      <c r="G892" s="125"/>
      <c r="H892" s="125"/>
      <c r="I892" s="350" t="s">
        <v>938</v>
      </c>
      <c r="J892" s="344" t="s">
        <v>928</v>
      </c>
      <c r="K892" s="350" t="s">
        <v>948</v>
      </c>
      <c r="L892" s="350" t="s">
        <v>940</v>
      </c>
      <c r="M892" s="350" t="s">
        <v>911</v>
      </c>
      <c r="N892" s="358" t="s">
        <v>23</v>
      </c>
      <c r="O892" s="434" t="s">
        <v>949</v>
      </c>
      <c r="P892" s="431" t="s">
        <v>950</v>
      </c>
      <c r="Q892" s="435" t="s">
        <v>951</v>
      </c>
    </row>
    <row r="893" spans="2:18" s="324" customFormat="1" ht="15" thickBot="1" x14ac:dyDescent="0.35">
      <c r="B893" s="120" t="s">
        <v>952</v>
      </c>
      <c r="C893" s="359">
        <v>0.20300000000000001</v>
      </c>
      <c r="D893" s="360" t="s">
        <v>953</v>
      </c>
      <c r="E893" s="361">
        <f>E905</f>
        <v>62</v>
      </c>
      <c r="F893" s="361">
        <f>E893*C893</f>
        <v>12.586</v>
      </c>
      <c r="G893" s="125"/>
      <c r="H893" s="124"/>
      <c r="I893" s="362">
        <f>C893*(C864+C865)</f>
        <v>4.6690000000000005</v>
      </c>
      <c r="J893" s="346">
        <f>C866</f>
        <v>0.1</v>
      </c>
      <c r="K893" s="363">
        <f>I893-(I893*J893)</f>
        <v>4.2021000000000006</v>
      </c>
      <c r="L893" s="195">
        <f>K893*E893</f>
        <v>260.53020000000004</v>
      </c>
      <c r="M893" s="326">
        <f>(L893*M891)-L893</f>
        <v>104.21208000000001</v>
      </c>
      <c r="N893" s="364">
        <f>L893*M891</f>
        <v>364.74228000000005</v>
      </c>
      <c r="O893" s="195">
        <f>N893*E867</f>
        <v>0</v>
      </c>
      <c r="P893" s="120"/>
      <c r="Q893" s="326"/>
      <c r="R893" s="326"/>
    </row>
    <row r="894" spans="2:18" s="324" customFormat="1" ht="14.4" x14ac:dyDescent="0.3">
      <c r="B894" s="120" t="s">
        <v>952</v>
      </c>
      <c r="C894" s="359">
        <v>0.14000000000000001</v>
      </c>
      <c r="D894" s="196" t="s">
        <v>954</v>
      </c>
      <c r="E894" s="125">
        <f>E905</f>
        <v>62</v>
      </c>
      <c r="F894" s="125">
        <f>(E894*C894)*1.95</f>
        <v>16.926000000000002</v>
      </c>
      <c r="G894" s="125"/>
      <c r="H894" s="124"/>
      <c r="I894" s="120"/>
      <c r="J894" s="120"/>
      <c r="L894" s="195"/>
      <c r="N894" s="365"/>
      <c r="O894" s="120"/>
      <c r="P894" s="120"/>
    </row>
    <row r="895" spans="2:18" s="324" customFormat="1" ht="14.4" x14ac:dyDescent="0.3">
      <c r="B895" s="120" t="s">
        <v>955</v>
      </c>
      <c r="C895" s="359">
        <v>0.45</v>
      </c>
      <c r="D895" s="196" t="s">
        <v>953</v>
      </c>
      <c r="E895" s="125">
        <f>E906</f>
        <v>62</v>
      </c>
      <c r="F895" s="125">
        <f>E895*C895</f>
        <v>27.900000000000002</v>
      </c>
      <c r="G895" s="125"/>
      <c r="H895" s="124"/>
      <c r="I895" s="120">
        <v>0</v>
      </c>
      <c r="J895" s="120"/>
      <c r="L895" s="195">
        <f>I895*E895</f>
        <v>0</v>
      </c>
      <c r="N895" s="366">
        <f>L895*$L$289</f>
        <v>0</v>
      </c>
      <c r="O895" s="120"/>
      <c r="P895" s="120"/>
    </row>
    <row r="896" spans="2:18" s="324" customFormat="1" ht="15" thickBot="1" x14ac:dyDescent="0.35">
      <c r="B896" s="120" t="s">
        <v>956</v>
      </c>
      <c r="C896" s="120">
        <v>0</v>
      </c>
      <c r="D896" s="196" t="s">
        <v>953</v>
      </c>
      <c r="E896" s="125">
        <f>E907</f>
        <v>25</v>
      </c>
      <c r="F896" s="125">
        <f t="shared" ref="F896:F901" si="24">E896*C896</f>
        <v>0</v>
      </c>
      <c r="G896" s="125"/>
      <c r="H896" s="124"/>
      <c r="I896" s="120">
        <v>0</v>
      </c>
      <c r="J896" s="120"/>
      <c r="L896" s="195">
        <f>I896*E896</f>
        <v>0</v>
      </c>
      <c r="N896" s="366">
        <f>L896*$L$289</f>
        <v>0</v>
      </c>
      <c r="O896" s="120"/>
      <c r="P896" s="120"/>
    </row>
    <row r="897" spans="2:17" s="324" customFormat="1" ht="15" thickBot="1" x14ac:dyDescent="0.35">
      <c r="B897" s="120" t="s">
        <v>957</v>
      </c>
      <c r="C897" s="359">
        <v>0.22500000000000001</v>
      </c>
      <c r="D897" s="360" t="s">
        <v>953</v>
      </c>
      <c r="E897" s="361">
        <f>E908</f>
        <v>62</v>
      </c>
      <c r="F897" s="361">
        <f t="shared" si="24"/>
        <v>13.950000000000001</v>
      </c>
      <c r="G897" s="125"/>
      <c r="H897" s="124"/>
      <c r="I897" s="362">
        <f>C897*(C864+C865)</f>
        <v>5.1749999999999998</v>
      </c>
      <c r="J897" s="346">
        <f>C866</f>
        <v>0.1</v>
      </c>
      <c r="K897" s="363">
        <f>I897-(I897*J897)</f>
        <v>4.6574999999999998</v>
      </c>
      <c r="L897" s="195">
        <f>K897*E897</f>
        <v>288.76499999999999</v>
      </c>
      <c r="M897" s="326">
        <f>(L897*M891)-L897</f>
        <v>115.50599999999997</v>
      </c>
      <c r="N897" s="364">
        <f>L897*M891</f>
        <v>404.27099999999996</v>
      </c>
      <c r="O897" s="120"/>
      <c r="P897" s="195">
        <f>N897*E868</f>
        <v>0</v>
      </c>
      <c r="Q897" s="326">
        <f>N897*E869</f>
        <v>0</v>
      </c>
    </row>
    <row r="898" spans="2:17" s="324" customFormat="1" ht="14.4" x14ac:dyDescent="0.3">
      <c r="B898" s="120" t="s">
        <v>957</v>
      </c>
      <c r="C898" s="359">
        <v>0.14000000000000001</v>
      </c>
      <c r="D898" s="196" t="s">
        <v>954</v>
      </c>
      <c r="E898" s="125">
        <f>E908</f>
        <v>62</v>
      </c>
      <c r="F898" s="125">
        <f>(E898*C898)*1.5</f>
        <v>13.020000000000003</v>
      </c>
      <c r="G898" s="125"/>
      <c r="H898" s="124"/>
      <c r="I898" s="120"/>
      <c r="J898" s="120"/>
      <c r="L898" s="195"/>
      <c r="N898" s="365"/>
      <c r="O898" s="120"/>
      <c r="P898" s="120"/>
    </row>
    <row r="899" spans="2:17" s="324" customFormat="1" ht="14.4" x14ac:dyDescent="0.3">
      <c r="B899" s="120" t="s">
        <v>958</v>
      </c>
      <c r="C899" s="359">
        <v>0.36</v>
      </c>
      <c r="D899" s="196" t="s">
        <v>953</v>
      </c>
      <c r="E899" s="125">
        <f>F909</f>
        <v>27</v>
      </c>
      <c r="F899" s="125">
        <f t="shared" si="24"/>
        <v>9.7199999999999989</v>
      </c>
      <c r="G899" s="125"/>
      <c r="H899" s="124"/>
      <c r="I899" s="120">
        <f>C863*C899</f>
        <v>0</v>
      </c>
      <c r="J899" s="120"/>
      <c r="L899" s="195">
        <f>I899*E899</f>
        <v>0</v>
      </c>
      <c r="N899" s="366">
        <f>L899*$L$289</f>
        <v>0</v>
      </c>
      <c r="O899" s="120"/>
      <c r="P899" s="120"/>
    </row>
    <row r="900" spans="2:17" s="324" customFormat="1" ht="14.4" x14ac:dyDescent="0.3">
      <c r="B900" s="120" t="s">
        <v>959</v>
      </c>
      <c r="C900" s="359">
        <v>0.36</v>
      </c>
      <c r="D900" s="196" t="s">
        <v>953</v>
      </c>
      <c r="E900" s="125">
        <f>F910</f>
        <v>30</v>
      </c>
      <c r="F900" s="125">
        <f t="shared" si="24"/>
        <v>10.799999999999999</v>
      </c>
      <c r="G900" s="125"/>
      <c r="H900" s="124"/>
      <c r="I900" s="120">
        <f>C900*C863</f>
        <v>0</v>
      </c>
      <c r="J900" s="120"/>
      <c r="L900" s="195">
        <f>I900*E900</f>
        <v>0</v>
      </c>
      <c r="N900" s="366">
        <f>L900*$L$289</f>
        <v>0</v>
      </c>
      <c r="O900" s="120"/>
      <c r="P900" s="120"/>
    </row>
    <row r="901" spans="2:17" s="324" customFormat="1" ht="15" thickBot="1" x14ac:dyDescent="0.35">
      <c r="B901" s="120" t="s">
        <v>960</v>
      </c>
      <c r="C901" s="359">
        <v>0.3</v>
      </c>
      <c r="D901" s="196" t="s">
        <v>954</v>
      </c>
      <c r="E901" s="125">
        <f>N911</f>
        <v>0</v>
      </c>
      <c r="F901" s="125">
        <f t="shared" si="24"/>
        <v>0</v>
      </c>
      <c r="G901" s="125"/>
      <c r="H901" s="124"/>
      <c r="I901" s="120">
        <f>C901*C861</f>
        <v>0</v>
      </c>
      <c r="J901" s="120"/>
      <c r="L901" s="195">
        <f>E901*I901</f>
        <v>0</v>
      </c>
      <c r="N901" s="367">
        <f>L901*$L$289</f>
        <v>0</v>
      </c>
      <c r="O901" s="120"/>
      <c r="P901" s="120"/>
    </row>
    <row r="902" spans="2:17" s="324" customFormat="1" ht="15" thickBot="1" x14ac:dyDescent="0.35">
      <c r="B902" s="120"/>
      <c r="C902" s="120"/>
      <c r="D902" s="196"/>
      <c r="E902" s="368"/>
      <c r="F902" s="368"/>
      <c r="G902" s="125"/>
      <c r="H902" s="124"/>
      <c r="I902" s="120"/>
      <c r="J902" s="120"/>
      <c r="K902" s="120"/>
      <c r="L902" s="120"/>
      <c r="M902" s="120"/>
      <c r="N902" s="120"/>
      <c r="O902" s="120"/>
      <c r="P902" s="120"/>
    </row>
    <row r="903" spans="2:17" s="324" customFormat="1" ht="14.4" x14ac:dyDescent="0.3">
      <c r="B903" s="123"/>
      <c r="C903" s="369"/>
      <c r="D903" s="370"/>
      <c r="E903" s="371" t="s">
        <v>961</v>
      </c>
      <c r="F903" s="372" t="s">
        <v>962</v>
      </c>
      <c r="G903" s="124"/>
      <c r="H903" s="125"/>
      <c r="I903" s="125"/>
      <c r="J903" s="125"/>
      <c r="K903" s="125"/>
      <c r="L903" s="125"/>
      <c r="M903" s="125"/>
      <c r="N903" s="125"/>
      <c r="O903" s="125"/>
    </row>
    <row r="904" spans="2:17" s="324" customFormat="1" ht="15" thickBot="1" x14ac:dyDescent="0.35">
      <c r="B904" s="373" t="s">
        <v>354</v>
      </c>
      <c r="C904" s="374"/>
      <c r="D904" s="375" t="s">
        <v>102</v>
      </c>
      <c r="E904" s="376" t="s">
        <v>939</v>
      </c>
      <c r="F904" s="376" t="s">
        <v>939</v>
      </c>
      <c r="G904" s="377"/>
      <c r="H904" s="125"/>
      <c r="I904" s="124"/>
      <c r="J904" s="125"/>
      <c r="K904" s="124"/>
      <c r="L904" s="125"/>
      <c r="M904" s="124"/>
      <c r="N904" s="125"/>
      <c r="O904" s="124"/>
    </row>
    <row r="905" spans="2:17" s="324" customFormat="1" ht="14.4" x14ac:dyDescent="0.3">
      <c r="B905" s="120" t="s">
        <v>952</v>
      </c>
      <c r="C905" s="196"/>
      <c r="D905" s="378" t="s">
        <v>963</v>
      </c>
      <c r="E905" s="379">
        <v>62</v>
      </c>
      <c r="F905" s="380">
        <v>31</v>
      </c>
      <c r="G905" s="124"/>
      <c r="H905" s="125"/>
      <c r="I905" s="124"/>
      <c r="J905" s="125"/>
      <c r="K905" s="124"/>
      <c r="L905" s="125"/>
      <c r="M905" s="124"/>
      <c r="N905" s="125"/>
      <c r="O905" s="124"/>
    </row>
    <row r="906" spans="2:17" s="324" customFormat="1" ht="14.4" x14ac:dyDescent="0.3">
      <c r="B906" s="120" t="s">
        <v>955</v>
      </c>
      <c r="C906" s="196"/>
      <c r="D906" s="378" t="s">
        <v>963</v>
      </c>
      <c r="E906" s="379">
        <v>62</v>
      </c>
      <c r="F906" s="381">
        <v>39</v>
      </c>
      <c r="G906" s="124"/>
      <c r="H906" s="125"/>
      <c r="I906" s="124"/>
      <c r="J906" s="125"/>
      <c r="K906" s="124"/>
      <c r="L906" s="125"/>
      <c r="M906" s="124"/>
      <c r="N906" s="125"/>
      <c r="O906" s="124"/>
    </row>
    <row r="907" spans="2:17" s="324" customFormat="1" ht="14.4" x14ac:dyDescent="0.3">
      <c r="B907" s="120" t="s">
        <v>956</v>
      </c>
      <c r="C907" s="196"/>
      <c r="D907" s="378" t="s">
        <v>963</v>
      </c>
      <c r="E907" s="382">
        <v>25</v>
      </c>
      <c r="F907" s="381">
        <v>29</v>
      </c>
      <c r="G907" s="124"/>
      <c r="H907" s="125"/>
      <c r="I907" s="124"/>
      <c r="J907" s="436"/>
      <c r="K907" s="124"/>
      <c r="L907" s="125"/>
      <c r="M907" s="124"/>
      <c r="N907" s="125"/>
      <c r="O907" s="124"/>
    </row>
    <row r="908" spans="2:17" s="324" customFormat="1" ht="14.4" x14ac:dyDescent="0.3">
      <c r="B908" s="120" t="s">
        <v>957</v>
      </c>
      <c r="C908" s="196"/>
      <c r="D908" s="378" t="s">
        <v>963</v>
      </c>
      <c r="E908" s="379">
        <v>62</v>
      </c>
      <c r="F908" s="381">
        <v>26</v>
      </c>
      <c r="G908" s="124"/>
      <c r="H908" s="125"/>
      <c r="I908" s="124"/>
      <c r="J908" s="125"/>
      <c r="K908" s="348"/>
      <c r="L908" s="436"/>
      <c r="M908" s="124"/>
      <c r="N908" s="125"/>
      <c r="O908" s="124"/>
    </row>
    <row r="909" spans="2:17" s="324" customFormat="1" ht="14.4" x14ac:dyDescent="0.3">
      <c r="B909" s="120" t="s">
        <v>958</v>
      </c>
      <c r="C909" s="196"/>
      <c r="D909" s="378" t="s">
        <v>963</v>
      </c>
      <c r="E909" s="382">
        <v>48</v>
      </c>
      <c r="F909" s="381">
        <v>27</v>
      </c>
      <c r="G909" s="124"/>
      <c r="H909" s="125"/>
      <c r="I909" s="124"/>
      <c r="J909" s="125"/>
      <c r="K909" s="348"/>
      <c r="L909" s="436"/>
      <c r="M909" s="124"/>
      <c r="N909" s="125"/>
      <c r="O909" s="124"/>
    </row>
    <row r="910" spans="2:17" s="324" customFormat="1" ht="14.4" x14ac:dyDescent="0.3">
      <c r="B910" s="120" t="s">
        <v>959</v>
      </c>
      <c r="C910" s="196"/>
      <c r="D910" s="378" t="s">
        <v>963</v>
      </c>
      <c r="E910" s="382">
        <v>50</v>
      </c>
      <c r="F910" s="381">
        <v>30</v>
      </c>
      <c r="G910" s="124"/>
      <c r="H910" s="125"/>
      <c r="I910" s="124"/>
      <c r="J910" s="125"/>
      <c r="K910" s="348"/>
      <c r="L910" s="436"/>
      <c r="M910" s="124"/>
      <c r="N910" s="125"/>
      <c r="O910" s="124"/>
    </row>
    <row r="911" spans="2:17" s="324" customFormat="1" ht="14.4" x14ac:dyDescent="0.3">
      <c r="B911" s="120" t="s">
        <v>964</v>
      </c>
      <c r="C911" s="196"/>
      <c r="D911" s="378" t="s">
        <v>965</v>
      </c>
      <c r="E911" s="383">
        <v>168</v>
      </c>
      <c r="F911" s="381">
        <v>0</v>
      </c>
      <c r="G911" s="124"/>
      <c r="H911" s="125"/>
      <c r="I911" s="124"/>
      <c r="J911" s="125"/>
      <c r="K911" s="124"/>
      <c r="L911" s="125"/>
      <c r="M911" s="124"/>
      <c r="N911" s="125"/>
      <c r="O911" s="124"/>
    </row>
    <row r="912" spans="2:17" s="324" customFormat="1" ht="15" thickBot="1" x14ac:dyDescent="0.35">
      <c r="B912" s="120" t="s">
        <v>966</v>
      </c>
      <c r="C912" s="348"/>
      <c r="D912" s="378" t="s">
        <v>965</v>
      </c>
      <c r="E912" s="384">
        <v>153</v>
      </c>
      <c r="F912" s="384">
        <v>0</v>
      </c>
      <c r="G912" s="124"/>
      <c r="H912" s="125"/>
      <c r="I912" s="124"/>
      <c r="J912" s="125"/>
      <c r="K912" s="348"/>
      <c r="L912" s="436"/>
      <c r="M912" s="124"/>
      <c r="N912" s="125"/>
      <c r="O912" s="124"/>
    </row>
  </sheetData>
  <mergeCells count="6">
    <mergeCell ref="C851:E853"/>
    <mergeCell ref="A6:F6"/>
    <mergeCell ref="B9:G9"/>
    <mergeCell ref="D14:E14"/>
    <mergeCell ref="J14:P14"/>
    <mergeCell ref="C844:E846"/>
  </mergeCells>
  <printOptions gridLines="1"/>
  <pageMargins left="0.46" right="0.42" top="0.37" bottom="0.4" header="0.39" footer="0.38"/>
  <pageSetup paperSize="8" scale="80" orientation="portrait" horizontalDpi="1200" verticalDpi="12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01C1-BE2F-4F6A-8F1D-A853A2E42F4E}">
  <sheetPr>
    <tabColor theme="7"/>
  </sheetPr>
  <dimension ref="A1:R998"/>
  <sheetViews>
    <sheetView topLeftCell="A925" zoomScale="115" zoomScaleNormal="115" workbookViewId="0">
      <selection activeCell="H829" sqref="H829"/>
    </sheetView>
  </sheetViews>
  <sheetFormatPr defaultColWidth="9.109375" defaultRowHeight="10.199999999999999" x14ac:dyDescent="0.2"/>
  <cols>
    <col min="1" max="1" width="8.109375" style="38" customWidth="1"/>
    <col min="2" max="2" width="76.44140625" style="38" customWidth="1"/>
    <col min="3" max="3" width="23.5546875" style="40" customWidth="1"/>
    <col min="4" max="4" width="10.44140625" style="40" customWidth="1"/>
    <col min="5" max="5" width="17.33203125" style="41" customWidth="1"/>
    <col min="6" max="6" width="14.109375" style="41" customWidth="1"/>
    <col min="7"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23"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v>30</v>
      </c>
      <c r="E18" s="48">
        <f>'LabourProject Rates_Master'!$E$37</f>
        <v>2650.394536340852</v>
      </c>
      <c r="F18" s="48">
        <f t="shared" si="0"/>
        <v>79511.836090225566</v>
      </c>
      <c r="K18" s="149" t="s">
        <v>143</v>
      </c>
      <c r="L18" s="189">
        <v>0.15</v>
      </c>
      <c r="M18" s="40">
        <v>1.1499999999999999</v>
      </c>
    </row>
    <row r="19" spans="1:13" s="40" customFormat="1" x14ac:dyDescent="0.2">
      <c r="A19" s="42"/>
      <c r="B19" s="38" t="str">
        <f>'LabourProject Rates_Master'!$B$43</f>
        <v>Crew #2 - InGround Water/Fire</v>
      </c>
      <c r="C19" s="40" t="s">
        <v>93</v>
      </c>
      <c r="D19" s="333">
        <v>6</v>
      </c>
      <c r="E19" s="48">
        <f>'LabourProject Rates_Master'!$E$44</f>
        <v>2650.394536340852</v>
      </c>
      <c r="F19" s="48">
        <f t="shared" si="0"/>
        <v>15902.367218045112</v>
      </c>
      <c r="K19" s="149" t="s">
        <v>144</v>
      </c>
      <c r="L19" s="189">
        <v>0.2</v>
      </c>
      <c r="M19" s="40">
        <v>1.2</v>
      </c>
    </row>
    <row r="20" spans="1:13" s="40" customFormat="1" x14ac:dyDescent="0.2">
      <c r="A20" s="42"/>
      <c r="B20" s="38" t="str">
        <f>'LabourProject Rates_Master'!B51</f>
        <v>Crew #3 - Above Ground Drainage</v>
      </c>
      <c r="C20" s="40" t="s">
        <v>93</v>
      </c>
      <c r="D20" s="333">
        <v>31</v>
      </c>
      <c r="E20" s="48">
        <f>'LabourProject Rates_Master'!E52</f>
        <v>2650.394536340852</v>
      </c>
      <c r="F20" s="48">
        <f t="shared" si="0"/>
        <v>82162.230626566408</v>
      </c>
      <c r="K20" s="149"/>
      <c r="L20" s="189"/>
    </row>
    <row r="21" spans="1:13" s="40" customFormat="1" x14ac:dyDescent="0.2">
      <c r="A21" s="42"/>
      <c r="B21" s="38" t="str">
        <f>'LabourProject Rates_Master'!B59</f>
        <v>Crew #4 - Above Ground WATER/FIRE</v>
      </c>
      <c r="C21" s="40" t="s">
        <v>93</v>
      </c>
      <c r="D21" s="333">
        <v>63</v>
      </c>
      <c r="E21" s="48">
        <f>'LabourProject Rates_Master'!E60</f>
        <v>2650.394536340852</v>
      </c>
      <c r="F21" s="48">
        <f t="shared" si="0"/>
        <v>166974.85578947369</v>
      </c>
      <c r="K21" s="149"/>
      <c r="L21" s="189"/>
    </row>
    <row r="22" spans="1:13" s="40" customFormat="1" x14ac:dyDescent="0.2">
      <c r="A22" s="42"/>
      <c r="B22" s="38" t="str">
        <f>'LabourProject Rates_Master'!B67</f>
        <v>Crew #5 - Above Ground FitOff / Misc</v>
      </c>
      <c r="C22" s="40" t="s">
        <v>93</v>
      </c>
      <c r="D22" s="333">
        <v>50</v>
      </c>
      <c r="E22" s="48">
        <f>'LabourProject Rates_Master'!E68</f>
        <v>2650.394536340852</v>
      </c>
      <c r="F22" s="48">
        <f t="shared" si="0"/>
        <v>132519.7268170426</v>
      </c>
      <c r="K22" s="149"/>
      <c r="L22" s="189"/>
    </row>
    <row r="23" spans="1:13" s="40" customFormat="1" x14ac:dyDescent="0.2">
      <c r="A23" s="42"/>
      <c r="B23" s="38" t="str">
        <f>'LabourProject Rates_Master'!B75</f>
        <v>Crew #6 - DEMO</v>
      </c>
      <c r="C23" s="40" t="s">
        <v>93</v>
      </c>
      <c r="D23" s="333">
        <v>13</v>
      </c>
      <c r="E23" s="48">
        <f>'LabourProject Rates_Master'!E76</f>
        <v>1709.2298078529657</v>
      </c>
      <c r="F23" s="48">
        <f t="shared" si="0"/>
        <v>22219.987502088552</v>
      </c>
      <c r="K23" s="149"/>
      <c r="L23" s="189"/>
    </row>
    <row r="24" spans="1:13" s="40" customFormat="1" ht="6.6" customHeight="1" x14ac:dyDescent="0.2">
      <c r="A24" s="42"/>
      <c r="B24" s="38"/>
      <c r="E24" s="311"/>
      <c r="F24" s="41"/>
    </row>
    <row r="25" spans="1:13" s="40" customFormat="1" x14ac:dyDescent="0.2">
      <c r="A25" s="38"/>
      <c r="B25" s="191" t="s">
        <v>145</v>
      </c>
      <c r="C25" s="42"/>
      <c r="D25" s="42"/>
      <c r="E25" s="45"/>
      <c r="F25" s="48"/>
    </row>
    <row r="26" spans="1:13" s="40" customFormat="1" x14ac:dyDescent="0.2">
      <c r="A26" s="38"/>
      <c r="B26" s="38" t="str">
        <f>'LabourProject Rates_Master'!$B$14</f>
        <v>TRADESMAN_LEADING HAND</v>
      </c>
      <c r="C26" s="40" t="s">
        <v>146</v>
      </c>
      <c r="D26" s="40">
        <v>0</v>
      </c>
      <c r="E26" s="48">
        <f>'LabourProject Rates_Master'!$E$14</f>
        <v>123.11428571428571</v>
      </c>
      <c r="F26" s="48">
        <f t="shared" ref="F26:F30" si="1">E26*D26</f>
        <v>0</v>
      </c>
    </row>
    <row r="27" spans="1:13" s="40" customFormat="1" ht="11.4" customHeight="1" x14ac:dyDescent="0.2">
      <c r="A27" s="38"/>
      <c r="B27" s="38" t="str">
        <f>'LabourProject Rates_Master'!$B$23</f>
        <v>TRADESMAN_PLUMBER_OPERATOR</v>
      </c>
      <c r="C27" s="40" t="s">
        <v>146</v>
      </c>
      <c r="D27" s="40">
        <v>0</v>
      </c>
      <c r="E27" s="48">
        <f>'LabourProject Rates_Master'!$E$21</f>
        <v>94.116472848788632</v>
      </c>
      <c r="F27" s="48">
        <f t="shared" si="1"/>
        <v>0</v>
      </c>
    </row>
    <row r="28" spans="1:13" s="40" customFormat="1" ht="11.4" customHeight="1" x14ac:dyDescent="0.2">
      <c r="A28" s="42"/>
      <c r="B28" s="38" t="str">
        <f>'LabourProject Rates_Master'!$B$30</f>
        <v>T/A &amp; Apprentice</v>
      </c>
      <c r="C28" s="40" t="s">
        <v>146</v>
      </c>
      <c r="D28" s="40">
        <v>0</v>
      </c>
      <c r="E28" s="48">
        <f>'LabourProject Rates_Master'!$E$28</f>
        <v>76.806507936507941</v>
      </c>
      <c r="F28" s="48">
        <f t="shared" si="1"/>
        <v>0</v>
      </c>
    </row>
    <row r="29" spans="1:13" s="40" customFormat="1" ht="11.4" customHeight="1" x14ac:dyDescent="0.2">
      <c r="A29" s="42"/>
      <c r="B29" s="38" t="str">
        <f>'LabourProject Rates_Master'!$B$36</f>
        <v>Crew #1 - InGround Drainage</v>
      </c>
      <c r="C29" s="40" t="s">
        <v>146</v>
      </c>
      <c r="D29" s="40">
        <v>0</v>
      </c>
      <c r="E29" s="48">
        <f>'LabourProject Rates_Master'!$E$36</f>
        <v>265.03945363408519</v>
      </c>
      <c r="F29" s="48">
        <f t="shared" si="1"/>
        <v>0</v>
      </c>
    </row>
    <row r="30" spans="1:13" s="40" customFormat="1" x14ac:dyDescent="0.2">
      <c r="A30" s="42"/>
      <c r="B30" s="38" t="str">
        <f>'LabourProject Rates_Master'!$B$43</f>
        <v>Crew #2 - InGround Water/Fire</v>
      </c>
      <c r="C30" s="40" t="s">
        <v>146</v>
      </c>
      <c r="D30" s="40">
        <v>0</v>
      </c>
      <c r="E30" s="48">
        <f>'LabourProject Rates_Master'!$E$43</f>
        <v>265.03945363408519</v>
      </c>
      <c r="F30" s="48">
        <f t="shared" si="1"/>
        <v>0</v>
      </c>
    </row>
    <row r="31" spans="1:13" ht="7.5" customHeight="1" x14ac:dyDescent="0.2">
      <c r="E31" s="48"/>
    </row>
    <row r="32" spans="1:13" ht="10.8" thickBot="1" x14ac:dyDescent="0.25">
      <c r="A32" s="40"/>
      <c r="E32" s="48"/>
      <c r="F32" s="48"/>
    </row>
    <row r="33" spans="1:6" ht="10.8" thickBot="1" x14ac:dyDescent="0.25">
      <c r="A33" s="42"/>
      <c r="B33" s="386" t="s">
        <v>147</v>
      </c>
      <c r="C33" s="387"/>
      <c r="D33" s="387"/>
      <c r="E33" s="388"/>
      <c r="F33" s="388"/>
    </row>
    <row r="34" spans="1:6" x14ac:dyDescent="0.2">
      <c r="A34" s="40"/>
      <c r="B34" s="389" t="s">
        <v>148</v>
      </c>
      <c r="C34" s="387"/>
      <c r="D34" s="387"/>
      <c r="E34" s="388"/>
      <c r="F34" s="388"/>
    </row>
    <row r="35" spans="1:6" x14ac:dyDescent="0.2">
      <c r="A35" s="40"/>
      <c r="B35" s="390" t="str">
        <f>'Misc Subbie Rates_Master'!A49</f>
        <v>Asphalt Cutting</v>
      </c>
      <c r="C35" s="387" t="s">
        <v>149</v>
      </c>
      <c r="D35" s="391"/>
      <c r="E35" s="388">
        <f>'Misc Subbie Rates_Master'!D49+('Misc Subbie Rates_Master'!D49*$L$18)</f>
        <v>15.525</v>
      </c>
      <c r="F35" s="388">
        <f>E35*D35</f>
        <v>0</v>
      </c>
    </row>
    <row r="36" spans="1:6" x14ac:dyDescent="0.2">
      <c r="A36" s="40"/>
      <c r="B36" s="390" t="str">
        <f>'Misc Subbie Rates_Master'!A50</f>
        <v>Concrete Cutting</v>
      </c>
      <c r="C36" s="387" t="s">
        <v>149</v>
      </c>
      <c r="D36" s="387"/>
      <c r="E36" s="388">
        <f>'Misc Subbie Rates_Master'!D50+('Misc Subbie Rates_Master'!D50*$L$18)</f>
        <v>18.399999999999999</v>
      </c>
      <c r="F36" s="388">
        <f t="shared" ref="F36:F46" si="2">E36*D36</f>
        <v>0</v>
      </c>
    </row>
    <row r="37" spans="1:6" x14ac:dyDescent="0.2">
      <c r="A37" s="40"/>
      <c r="B37" s="390" t="s">
        <v>150</v>
      </c>
      <c r="C37" s="387" t="s">
        <v>115</v>
      </c>
      <c r="D37" s="387"/>
      <c r="E37" s="388">
        <f>'Misc Subbie Rates_Master'!D51+('Misc Subbie Rates_Master'!D51*$L$18)</f>
        <v>92</v>
      </c>
      <c r="F37" s="388">
        <f t="shared" si="2"/>
        <v>0</v>
      </c>
    </row>
    <row r="38" spans="1:6" x14ac:dyDescent="0.2">
      <c r="A38" s="40"/>
      <c r="B38" s="389" t="s">
        <v>151</v>
      </c>
      <c r="C38" s="387"/>
      <c r="D38" s="387"/>
      <c r="E38" s="388"/>
      <c r="F38" s="388"/>
    </row>
    <row r="39" spans="1:6" x14ac:dyDescent="0.2">
      <c r="A39" s="40"/>
      <c r="B39" s="390" t="str">
        <f>'Misc Subbie Rates_Master'!A56</f>
        <v>Road/Drveway Reinstate; 1mW x 150 Thck, N25/20/80, Incl Reinforcement</v>
      </c>
      <c r="C39" s="387" t="s">
        <v>149</v>
      </c>
      <c r="D39" s="387"/>
      <c r="E39" s="388">
        <f>'Misc Subbie Rates_Master'!D56</f>
        <v>145</v>
      </c>
      <c r="F39" s="388">
        <f t="shared" si="2"/>
        <v>0</v>
      </c>
    </row>
    <row r="40" spans="1:6" x14ac:dyDescent="0.2">
      <c r="A40" s="40"/>
      <c r="B40" s="390" t="str">
        <f>'Misc Subbie Rates_Master'!A57</f>
        <v>Kerb &amp; Channel - 1m Wide</v>
      </c>
      <c r="C40" s="387" t="s">
        <v>115</v>
      </c>
      <c r="D40" s="387"/>
      <c r="E40" s="388">
        <f>'Misc Subbie Rates_Master'!D57</f>
        <v>155</v>
      </c>
      <c r="F40" s="388">
        <f t="shared" si="2"/>
        <v>0</v>
      </c>
    </row>
    <row r="41" spans="1:6" x14ac:dyDescent="0.2">
      <c r="A41" s="40"/>
      <c r="B41" s="390" t="str">
        <f>'Misc Subbie Rates_Master'!A58</f>
        <v>Footpath - 1.5mW, N25/20/80, Incl Reinforcement</v>
      </c>
      <c r="C41" s="387" t="s">
        <v>152</v>
      </c>
      <c r="D41" s="387"/>
      <c r="E41" s="388">
        <f>'Misc Subbie Rates_Master'!D58</f>
        <v>180</v>
      </c>
      <c r="F41" s="388">
        <f t="shared" si="2"/>
        <v>0</v>
      </c>
    </row>
    <row r="42" spans="1:6" x14ac:dyDescent="0.2">
      <c r="A42" s="40"/>
      <c r="B42" s="390" t="str">
        <f>'Misc Subbie Rates_Master'!A59</f>
        <v>Footpath - 1.5mW, EXPOSED AGG, N25/20/80, Incl Reinforcement</v>
      </c>
      <c r="C42" s="387" t="s">
        <v>152</v>
      </c>
      <c r="D42" s="387"/>
      <c r="E42" s="388">
        <f>'Misc Subbie Rates_Master'!D59</f>
        <v>185</v>
      </c>
      <c r="F42" s="388">
        <f t="shared" si="2"/>
        <v>0</v>
      </c>
    </row>
    <row r="43" spans="1:6" x14ac:dyDescent="0.2">
      <c r="A43" s="40"/>
      <c r="B43" s="389" t="s">
        <v>153</v>
      </c>
      <c r="C43" s="387"/>
      <c r="D43" s="387"/>
      <c r="E43" s="388"/>
      <c r="F43" s="388"/>
    </row>
    <row r="44" spans="1:6" x14ac:dyDescent="0.2">
      <c r="A44" s="40"/>
      <c r="B44" s="390" t="str">
        <f>'Misc Subbie Rates_Master'!A64</f>
        <v xml:space="preserve">50mm Thck - Trench Reinstatement Through Road/Driveway </v>
      </c>
      <c r="C44" s="387" t="s">
        <v>154</v>
      </c>
      <c r="D44" s="387"/>
      <c r="E44" s="388">
        <f>'Misc Subbie Rates_Master'!D64</f>
        <v>97</v>
      </c>
      <c r="F44" s="388">
        <f t="shared" si="2"/>
        <v>0</v>
      </c>
    </row>
    <row r="45" spans="1:6" x14ac:dyDescent="0.2">
      <c r="A45" s="40"/>
      <c r="B45" s="390" t="str">
        <f>'Misc Subbie Rates_Master'!A65</f>
        <v xml:space="preserve">50mm Thck - 1.5-2m Wide Footpath reinstatements </v>
      </c>
      <c r="C45" s="387" t="s">
        <v>154</v>
      </c>
      <c r="D45" s="387"/>
      <c r="E45" s="388">
        <f>'Misc Subbie Rates_Master'!D65</f>
        <v>97</v>
      </c>
      <c r="F45" s="388">
        <f t="shared" si="2"/>
        <v>0</v>
      </c>
    </row>
    <row r="46" spans="1:6" x14ac:dyDescent="0.2">
      <c r="A46" s="40"/>
      <c r="B46" s="390" t="str">
        <f>'Misc Subbie Rates_Master'!A66</f>
        <v>Establishment Fee (1 per stage)</v>
      </c>
      <c r="C46" s="387" t="s">
        <v>155</v>
      </c>
      <c r="D46" s="387"/>
      <c r="E46" s="388">
        <f>'Misc Subbie Rates_Master'!D66</f>
        <v>5500</v>
      </c>
      <c r="F46" s="388">
        <f t="shared" si="2"/>
        <v>0</v>
      </c>
    </row>
    <row r="47" spans="1:6" ht="10.8" thickBot="1" x14ac:dyDescent="0.25">
      <c r="A47" s="40"/>
      <c r="E47" s="48"/>
      <c r="F47" s="48"/>
    </row>
    <row r="48" spans="1:6" ht="10.8" thickBot="1" x14ac:dyDescent="0.25">
      <c r="A48" s="42"/>
      <c r="B48" s="49" t="s">
        <v>156</v>
      </c>
      <c r="E48" s="48"/>
      <c r="F48" s="48"/>
    </row>
    <row r="49" spans="1:6" x14ac:dyDescent="0.2">
      <c r="A49" s="40"/>
      <c r="E49" s="48"/>
      <c r="F49" s="48"/>
    </row>
    <row r="50" spans="1:6" x14ac:dyDescent="0.2">
      <c r="B50" s="284" t="s">
        <v>157</v>
      </c>
      <c r="E50" s="48"/>
      <c r="F50" s="48"/>
    </row>
    <row r="51" spans="1:6" x14ac:dyDescent="0.2">
      <c r="B51" s="38" t="s">
        <v>158</v>
      </c>
      <c r="C51" s="40" t="s">
        <v>159</v>
      </c>
      <c r="E51" s="48">
        <f>'Misc Subbie Rates_Master'!D10</f>
        <v>100</v>
      </c>
      <c r="F51" s="48">
        <f>E51*D51</f>
        <v>0</v>
      </c>
    </row>
    <row r="52" spans="1:6" x14ac:dyDescent="0.2">
      <c r="B52" s="38" t="s">
        <v>160</v>
      </c>
      <c r="C52" s="40" t="s">
        <v>159</v>
      </c>
      <c r="E52" s="48">
        <f>'Misc Subbie Rates_Master'!D11</f>
        <v>115</v>
      </c>
      <c r="F52" s="48">
        <f t="shared" ref="F52:F69" si="3">E52*D52</f>
        <v>0</v>
      </c>
    </row>
    <row r="53" spans="1:6" x14ac:dyDescent="0.2">
      <c r="B53" s="38" t="s">
        <v>161</v>
      </c>
      <c r="C53" s="40" t="s">
        <v>159</v>
      </c>
      <c r="E53" s="48">
        <f>'Misc Subbie Rates_Master'!D12</f>
        <v>154</v>
      </c>
      <c r="F53" s="48">
        <f t="shared" si="3"/>
        <v>0</v>
      </c>
    </row>
    <row r="54" spans="1:6" x14ac:dyDescent="0.2">
      <c r="B54" s="38" t="s">
        <v>162</v>
      </c>
      <c r="C54" s="40" t="s">
        <v>159</v>
      </c>
      <c r="E54" s="48">
        <f>'Misc Subbie Rates_Master'!D13</f>
        <v>21</v>
      </c>
      <c r="F54" s="48">
        <f t="shared" si="3"/>
        <v>0</v>
      </c>
    </row>
    <row r="55" spans="1:6" x14ac:dyDescent="0.2">
      <c r="B55" s="38" t="s">
        <v>163</v>
      </c>
      <c r="C55" s="40" t="s">
        <v>159</v>
      </c>
      <c r="E55" s="48">
        <f>'Misc Subbie Rates_Master'!D14</f>
        <v>10</v>
      </c>
      <c r="F55" s="48">
        <f t="shared" si="3"/>
        <v>0</v>
      </c>
    </row>
    <row r="56" spans="1:6" x14ac:dyDescent="0.2">
      <c r="B56" s="38" t="s">
        <v>164</v>
      </c>
      <c r="C56" s="40" t="s">
        <v>159</v>
      </c>
      <c r="E56" s="48">
        <f>'Misc Subbie Rates_Master'!D15</f>
        <v>150</v>
      </c>
      <c r="F56" s="48">
        <f t="shared" si="3"/>
        <v>0</v>
      </c>
    </row>
    <row r="57" spans="1:6" x14ac:dyDescent="0.2">
      <c r="B57" s="38" t="s">
        <v>165</v>
      </c>
      <c r="C57" s="40" t="s">
        <v>159</v>
      </c>
      <c r="E57" s="48">
        <f>'Misc Subbie Rates_Master'!D16</f>
        <v>50</v>
      </c>
      <c r="F57" s="48">
        <f t="shared" si="3"/>
        <v>0</v>
      </c>
    </row>
    <row r="58" spans="1:6" x14ac:dyDescent="0.2">
      <c r="B58" s="38" t="s">
        <v>166</v>
      </c>
      <c r="C58" s="40" t="s">
        <v>159</v>
      </c>
      <c r="E58" s="48">
        <f>'Misc Subbie Rates_Master'!D17</f>
        <v>140</v>
      </c>
      <c r="F58" s="48">
        <f t="shared" si="3"/>
        <v>0</v>
      </c>
    </row>
    <row r="59" spans="1:6" x14ac:dyDescent="0.2">
      <c r="B59" s="38" t="s">
        <v>167</v>
      </c>
      <c r="C59" s="40" t="s">
        <v>159</v>
      </c>
      <c r="E59" s="48">
        <f>'Misc Subbie Rates_Master'!D18</f>
        <v>128</v>
      </c>
      <c r="F59" s="48">
        <f t="shared" si="3"/>
        <v>0</v>
      </c>
    </row>
    <row r="60" spans="1:6" x14ac:dyDescent="0.2">
      <c r="B60" s="38" t="s">
        <v>168</v>
      </c>
      <c r="C60" s="40" t="s">
        <v>159</v>
      </c>
      <c r="E60" s="48">
        <f>'Misc Subbie Rates_Master'!D19</f>
        <v>26</v>
      </c>
      <c r="F60" s="48">
        <f t="shared" si="3"/>
        <v>0</v>
      </c>
    </row>
    <row r="61" spans="1:6" x14ac:dyDescent="0.2">
      <c r="B61" s="38" t="s">
        <v>169</v>
      </c>
      <c r="C61" s="40" t="s">
        <v>159</v>
      </c>
      <c r="E61" s="48">
        <f>'Misc Subbie Rates_Master'!D20</f>
        <v>10</v>
      </c>
      <c r="F61" s="48">
        <f t="shared" si="3"/>
        <v>0</v>
      </c>
    </row>
    <row r="62" spans="1:6" x14ac:dyDescent="0.2">
      <c r="B62" s="38" t="s">
        <v>170</v>
      </c>
      <c r="C62" s="40" t="s">
        <v>159</v>
      </c>
      <c r="E62" s="48">
        <f>'Misc Subbie Rates_Master'!D21</f>
        <v>153</v>
      </c>
      <c r="F62" s="48">
        <f t="shared" si="3"/>
        <v>0</v>
      </c>
    </row>
    <row r="63" spans="1:6" x14ac:dyDescent="0.2">
      <c r="B63" s="38" t="s">
        <v>171</v>
      </c>
      <c r="C63" s="40" t="s">
        <v>159</v>
      </c>
      <c r="E63" s="48">
        <f>'Misc Subbie Rates_Master'!D22</f>
        <v>36</v>
      </c>
      <c r="F63" s="48">
        <f t="shared" si="3"/>
        <v>0</v>
      </c>
    </row>
    <row r="64" spans="1:6" x14ac:dyDescent="0.2">
      <c r="B64" s="38" t="s">
        <v>172</v>
      </c>
      <c r="C64" s="40" t="s">
        <v>159</v>
      </c>
      <c r="E64" s="48">
        <f>'Misc Subbie Rates_Master'!D23</f>
        <v>10</v>
      </c>
      <c r="F64" s="48">
        <f t="shared" si="3"/>
        <v>0</v>
      </c>
    </row>
    <row r="65" spans="1:6" x14ac:dyDescent="0.2">
      <c r="B65" s="38" t="s">
        <v>173</v>
      </c>
      <c r="C65" s="40" t="s">
        <v>159</v>
      </c>
      <c r="E65" s="48">
        <f>'Misc Subbie Rates_Master'!D24</f>
        <v>190</v>
      </c>
      <c r="F65" s="48">
        <f t="shared" si="3"/>
        <v>0</v>
      </c>
    </row>
    <row r="66" spans="1:6" x14ac:dyDescent="0.2">
      <c r="B66" s="38" t="s">
        <v>174</v>
      </c>
      <c r="C66" s="40" t="s">
        <v>159</v>
      </c>
      <c r="E66" s="48">
        <f>'Misc Subbie Rates_Master'!D25</f>
        <v>220</v>
      </c>
      <c r="F66" s="48">
        <f t="shared" si="3"/>
        <v>0</v>
      </c>
    </row>
    <row r="67" spans="1:6" x14ac:dyDescent="0.2">
      <c r="B67" s="38" t="s">
        <v>175</v>
      </c>
      <c r="C67" s="40" t="s">
        <v>159</v>
      </c>
      <c r="E67" s="48">
        <f>'Misc Subbie Rates_Master'!D26</f>
        <v>250</v>
      </c>
      <c r="F67" s="48">
        <f t="shared" si="3"/>
        <v>0</v>
      </c>
    </row>
    <row r="68" spans="1:6" x14ac:dyDescent="0.2">
      <c r="B68" s="38" t="s">
        <v>176</v>
      </c>
      <c r="C68" s="40" t="s">
        <v>159</v>
      </c>
      <c r="E68" s="48">
        <f>'Misc Subbie Rates_Master'!D27</f>
        <v>110</v>
      </c>
      <c r="F68" s="48">
        <f t="shared" si="3"/>
        <v>0</v>
      </c>
    </row>
    <row r="69" spans="1:6" x14ac:dyDescent="0.2">
      <c r="B69" s="38" t="s">
        <v>177</v>
      </c>
      <c r="C69" s="40" t="s">
        <v>159</v>
      </c>
      <c r="E69" s="48">
        <f>'Misc Subbie Rates_Master'!D28</f>
        <v>110</v>
      </c>
      <c r="F69" s="48">
        <f t="shared" si="3"/>
        <v>0</v>
      </c>
    </row>
    <row r="70" spans="1:6" x14ac:dyDescent="0.2">
      <c r="E70" s="48"/>
      <c r="F70" s="48"/>
    </row>
    <row r="71" spans="1:6" x14ac:dyDescent="0.2">
      <c r="B71" s="284" t="s">
        <v>178</v>
      </c>
      <c r="E71" s="48"/>
      <c r="F71" s="48"/>
    </row>
    <row r="72" spans="1:6" x14ac:dyDescent="0.2">
      <c r="A72" s="40"/>
      <c r="B72" s="201" t="s">
        <v>179</v>
      </c>
      <c r="C72" s="40" t="s">
        <v>93</v>
      </c>
      <c r="D72" s="40">
        <v>30</v>
      </c>
      <c r="E72" s="48">
        <f>'Equip&amp;HIRE_Master'!D4</f>
        <v>225.43333333333334</v>
      </c>
      <c r="F72" s="48">
        <f>E72*D72</f>
        <v>6763</v>
      </c>
    </row>
    <row r="73" spans="1:6" x14ac:dyDescent="0.2">
      <c r="A73" s="40"/>
      <c r="B73" s="201" t="s">
        <v>180</v>
      </c>
      <c r="C73" s="40" t="s">
        <v>93</v>
      </c>
      <c r="E73" s="48">
        <f>'Equip&amp;HIRE_Master'!D5</f>
        <v>163.96666666666667</v>
      </c>
      <c r="F73" s="48">
        <f t="shared" ref="F73:F136" si="4">E73*D73</f>
        <v>0</v>
      </c>
    </row>
    <row r="74" spans="1:6" x14ac:dyDescent="0.2">
      <c r="A74" s="40"/>
      <c r="B74" s="201" t="s">
        <v>181</v>
      </c>
      <c r="C74" s="40" t="s">
        <v>93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182</v>
      </c>
      <c r="C76" s="40" t="s">
        <v>93</v>
      </c>
      <c r="D76" s="40">
        <v>30</v>
      </c>
      <c r="E76" s="48">
        <f>'Equip&amp;HIRE_Master'!D8</f>
        <v>137.14285714285714</v>
      </c>
      <c r="F76" s="48">
        <f t="shared" si="4"/>
        <v>4114.2857142857138</v>
      </c>
    </row>
    <row r="77" spans="1:6" x14ac:dyDescent="0.2">
      <c r="A77" s="40"/>
      <c r="B77" s="201" t="s">
        <v>183</v>
      </c>
      <c r="C77" s="40" t="s">
        <v>93</v>
      </c>
      <c r="E77" s="48">
        <f>'Equip&amp;HIRE_Master'!D9</f>
        <v>0</v>
      </c>
      <c r="F77" s="48">
        <f t="shared" si="4"/>
        <v>0</v>
      </c>
    </row>
    <row r="78" spans="1:6" x14ac:dyDescent="0.2">
      <c r="A78" s="40"/>
      <c r="B78" s="201" t="s">
        <v>184</v>
      </c>
      <c r="C78" s="40" t="s">
        <v>93</v>
      </c>
      <c r="D78" s="40">
        <v>20</v>
      </c>
      <c r="E78" s="48">
        <f>'Equip&amp;HIRE_Master'!D10</f>
        <v>238.66666666666666</v>
      </c>
      <c r="F78" s="48">
        <f t="shared" si="4"/>
        <v>4773.333333333333</v>
      </c>
    </row>
    <row r="79" spans="1:6" x14ac:dyDescent="0.2">
      <c r="A79" s="40"/>
      <c r="B79" s="201" t="s">
        <v>185</v>
      </c>
      <c r="C79" s="40" t="s">
        <v>93</v>
      </c>
      <c r="E79" s="48">
        <f>'Equip&amp;HIRE_Master'!D11</f>
        <v>261.16666666666669</v>
      </c>
      <c r="F79" s="48">
        <f t="shared" si="4"/>
        <v>0</v>
      </c>
    </row>
    <row r="80" spans="1:6" x14ac:dyDescent="0.2">
      <c r="A80" s="40"/>
      <c r="B80" s="201" t="s">
        <v>186</v>
      </c>
      <c r="C80" s="40" t="s">
        <v>93</v>
      </c>
      <c r="E80" s="48">
        <f>'Equip&amp;HIRE_Master'!D12</f>
        <v>0</v>
      </c>
      <c r="F80" s="48">
        <f t="shared" si="4"/>
        <v>0</v>
      </c>
    </row>
    <row r="81" spans="1:6" x14ac:dyDescent="0.2">
      <c r="A81" s="40"/>
      <c r="B81" s="201" t="s">
        <v>187</v>
      </c>
      <c r="C81" s="40" t="s">
        <v>93</v>
      </c>
      <c r="E81" s="48">
        <f>'Equip&amp;HIRE_Master'!D13</f>
        <v>317.2</v>
      </c>
      <c r="F81" s="48">
        <f t="shared" si="4"/>
        <v>0</v>
      </c>
    </row>
    <row r="82" spans="1:6" x14ac:dyDescent="0.2">
      <c r="A82" s="40"/>
      <c r="B82" s="201" t="s">
        <v>188</v>
      </c>
      <c r="C82" s="40" t="s">
        <v>93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189</v>
      </c>
      <c r="C84" s="40" t="s">
        <v>93</v>
      </c>
      <c r="E84" s="48">
        <f>'Equip&amp;HIRE_Master'!D16</f>
        <v>0</v>
      </c>
      <c r="F84" s="48">
        <f t="shared" si="4"/>
        <v>0</v>
      </c>
    </row>
    <row r="85" spans="1:6" x14ac:dyDescent="0.2">
      <c r="A85" s="40"/>
      <c r="B85" s="201" t="s">
        <v>190</v>
      </c>
      <c r="C85" s="40" t="s">
        <v>93</v>
      </c>
      <c r="D85" s="40">
        <v>20</v>
      </c>
      <c r="E85" s="48">
        <f>'Equip&amp;HIRE_Master'!D17</f>
        <v>32.74</v>
      </c>
      <c r="F85" s="48">
        <f t="shared" si="4"/>
        <v>654.80000000000007</v>
      </c>
    </row>
    <row r="86" spans="1:6" x14ac:dyDescent="0.2">
      <c r="A86" s="40"/>
      <c r="B86" s="201" t="s">
        <v>191</v>
      </c>
      <c r="C86" s="40" t="s">
        <v>93</v>
      </c>
      <c r="E86" s="48">
        <f>'Equip&amp;HIRE_Master'!D18</f>
        <v>0</v>
      </c>
      <c r="F86" s="48">
        <f t="shared" si="4"/>
        <v>0</v>
      </c>
    </row>
    <row r="87" spans="1:6" x14ac:dyDescent="0.2">
      <c r="A87" s="40"/>
      <c r="B87" s="201" t="s">
        <v>192</v>
      </c>
      <c r="C87" s="40" t="s">
        <v>93</v>
      </c>
      <c r="E87" s="48">
        <f>'Equip&amp;HIRE_Master'!D19</f>
        <v>40.380000000000003</v>
      </c>
      <c r="F87" s="48">
        <f t="shared" si="4"/>
        <v>0</v>
      </c>
    </row>
    <row r="88" spans="1:6" x14ac:dyDescent="0.2">
      <c r="A88" s="40"/>
      <c r="B88" s="201" t="s">
        <v>193</v>
      </c>
      <c r="C88" s="40" t="s">
        <v>93</v>
      </c>
      <c r="E88" s="48">
        <f>'Equip&amp;HIRE_Master'!D20</f>
        <v>123.33</v>
      </c>
      <c r="F88" s="48">
        <f t="shared" si="4"/>
        <v>0</v>
      </c>
    </row>
    <row r="89" spans="1:6" x14ac:dyDescent="0.2">
      <c r="A89" s="40"/>
      <c r="B89" s="201" t="s">
        <v>194</v>
      </c>
      <c r="C89" s="40" t="s">
        <v>93</v>
      </c>
      <c r="E89" s="48">
        <f>'Equip&amp;HIRE_Master'!D21</f>
        <v>165.89</v>
      </c>
      <c r="F89" s="48">
        <f t="shared" si="4"/>
        <v>0</v>
      </c>
    </row>
    <row r="90" spans="1:6" x14ac:dyDescent="0.2">
      <c r="A90" s="40"/>
      <c r="B90" s="201" t="s">
        <v>195</v>
      </c>
      <c r="C90" s="40" t="s">
        <v>93</v>
      </c>
      <c r="D90" s="40">
        <v>8</v>
      </c>
      <c r="E90" s="48">
        <f>'Equip&amp;HIRE_Master'!D22</f>
        <v>165.89</v>
      </c>
      <c r="F90" s="48">
        <f t="shared" si="4"/>
        <v>1327.12</v>
      </c>
    </row>
    <row r="91" spans="1:6" x14ac:dyDescent="0.2">
      <c r="A91" s="40"/>
      <c r="B91" s="201" t="s">
        <v>196</v>
      </c>
      <c r="C91" s="40" t="s">
        <v>93</v>
      </c>
      <c r="E91" s="48">
        <f>'Equip&amp;HIRE_Master'!D23</f>
        <v>0</v>
      </c>
      <c r="F91" s="48">
        <f t="shared" si="4"/>
        <v>0</v>
      </c>
    </row>
    <row r="92" spans="1:6" x14ac:dyDescent="0.2">
      <c r="A92" s="40"/>
      <c r="B92" s="201" t="s">
        <v>197</v>
      </c>
      <c r="C92" s="40" t="s">
        <v>93</v>
      </c>
      <c r="E92" s="48">
        <f>'Equip&amp;HIRE_Master'!D24</f>
        <v>203</v>
      </c>
      <c r="F92" s="48">
        <f t="shared" si="4"/>
        <v>0</v>
      </c>
    </row>
    <row r="93" spans="1:6" x14ac:dyDescent="0.2">
      <c r="A93" s="40"/>
      <c r="B93" s="201" t="s">
        <v>198</v>
      </c>
      <c r="E93" s="48">
        <f>'Equip&amp;HIRE_Master'!D25</f>
        <v>0</v>
      </c>
      <c r="F93" s="48">
        <f t="shared" si="4"/>
        <v>0</v>
      </c>
    </row>
    <row r="94" spans="1:6" x14ac:dyDescent="0.2">
      <c r="A94" s="40"/>
      <c r="B94" s="201" t="s">
        <v>199</v>
      </c>
      <c r="E94" s="48">
        <f>'Equip&amp;HIRE_Master'!D26</f>
        <v>0</v>
      </c>
      <c r="F94" s="48">
        <f t="shared" si="4"/>
        <v>0</v>
      </c>
    </row>
    <row r="95" spans="1:6" ht="4.95" customHeight="1" x14ac:dyDescent="0.2">
      <c r="A95" s="40"/>
      <c r="B95" s="201"/>
      <c r="E95" s="48">
        <f>'Equip&amp;HIRE_Master'!D27</f>
        <v>0</v>
      </c>
      <c r="F95" s="48">
        <f t="shared" si="4"/>
        <v>0</v>
      </c>
    </row>
    <row r="96" spans="1:6" x14ac:dyDescent="0.2">
      <c r="A96" s="40"/>
      <c r="B96" s="201" t="s">
        <v>200</v>
      </c>
      <c r="C96" s="40" t="s">
        <v>93</v>
      </c>
      <c r="D96" s="40">
        <v>20</v>
      </c>
      <c r="E96" s="48">
        <f>'Equip&amp;HIRE_Master'!D28</f>
        <v>205</v>
      </c>
      <c r="F96" s="48">
        <f t="shared" si="4"/>
        <v>4100</v>
      </c>
    </row>
    <row r="97" spans="1:6" x14ac:dyDescent="0.2">
      <c r="A97" s="40"/>
      <c r="B97" s="201" t="s">
        <v>201</v>
      </c>
      <c r="C97" s="40" t="s">
        <v>93</v>
      </c>
      <c r="E97" s="48">
        <f>'Equip&amp;HIRE_Master'!D29</f>
        <v>166.98</v>
      </c>
      <c r="F97" s="48">
        <f t="shared" si="4"/>
        <v>0</v>
      </c>
    </row>
    <row r="98" spans="1:6" x14ac:dyDescent="0.2">
      <c r="A98" s="40"/>
      <c r="B98" s="201" t="s">
        <v>202</v>
      </c>
      <c r="C98" s="40" t="s">
        <v>93</v>
      </c>
      <c r="E98" s="48">
        <f>'Equip&amp;HIRE_Master'!D30</f>
        <v>171.42857142857142</v>
      </c>
      <c r="F98" s="48">
        <f t="shared" si="4"/>
        <v>0</v>
      </c>
    </row>
    <row r="99" spans="1:6" ht="4.2" customHeight="1" x14ac:dyDescent="0.2">
      <c r="A99" s="40"/>
      <c r="B99" s="201"/>
      <c r="E99" s="48">
        <f>'Equip&amp;HIRE_Master'!D31</f>
        <v>0</v>
      </c>
      <c r="F99" s="48">
        <f t="shared" si="4"/>
        <v>0</v>
      </c>
    </row>
    <row r="100" spans="1:6" x14ac:dyDescent="0.2">
      <c r="A100" s="40"/>
      <c r="B100" s="201" t="s">
        <v>203</v>
      </c>
      <c r="C100" s="40" t="s">
        <v>93</v>
      </c>
      <c r="E100" s="48">
        <f>'Equip&amp;HIRE_Master'!D32</f>
        <v>0</v>
      </c>
      <c r="F100" s="48">
        <f t="shared" si="4"/>
        <v>0</v>
      </c>
    </row>
    <row r="101" spans="1:6" x14ac:dyDescent="0.2">
      <c r="A101" s="40"/>
      <c r="B101" s="201" t="s">
        <v>204</v>
      </c>
      <c r="C101" s="40" t="s">
        <v>93</v>
      </c>
      <c r="D101" s="40">
        <v>30</v>
      </c>
      <c r="E101" s="48">
        <f>'Equip&amp;HIRE_Master'!D33</f>
        <v>34.285714285714285</v>
      </c>
      <c r="F101" s="48">
        <f t="shared" si="4"/>
        <v>1028.5714285714284</v>
      </c>
    </row>
    <row r="102" spans="1:6" x14ac:dyDescent="0.2">
      <c r="A102" s="40"/>
      <c r="B102" s="201" t="s">
        <v>205</v>
      </c>
      <c r="C102" s="40" t="s">
        <v>93</v>
      </c>
      <c r="E102" s="48">
        <f>'Equip&amp;HIRE_Master'!D34</f>
        <v>165</v>
      </c>
      <c r="F102" s="48">
        <f t="shared" si="4"/>
        <v>0</v>
      </c>
    </row>
    <row r="103" spans="1:6" x14ac:dyDescent="0.2">
      <c r="A103" s="40"/>
      <c r="B103" s="201" t="s">
        <v>206</v>
      </c>
      <c r="C103" s="40" t="s">
        <v>93</v>
      </c>
      <c r="E103" s="48">
        <f>'Equip&amp;HIRE_Master'!D35</f>
        <v>0</v>
      </c>
      <c r="F103" s="48">
        <f t="shared" si="4"/>
        <v>0</v>
      </c>
    </row>
    <row r="104" spans="1:6" x14ac:dyDescent="0.2">
      <c r="A104" s="40"/>
      <c r="B104" s="201" t="s">
        <v>207</v>
      </c>
      <c r="C104" s="40" t="s">
        <v>93</v>
      </c>
      <c r="D104" s="40">
        <v>20</v>
      </c>
      <c r="E104" s="48">
        <v>250</v>
      </c>
      <c r="F104" s="48">
        <f t="shared" si="4"/>
        <v>5000</v>
      </c>
    </row>
    <row r="105" spans="1:6" x14ac:dyDescent="0.2">
      <c r="A105" s="40"/>
      <c r="B105" s="201" t="s">
        <v>208</v>
      </c>
      <c r="C105" s="40" t="s">
        <v>93</v>
      </c>
      <c r="E105" s="48">
        <f>'Equip&amp;HIRE_Master'!D37</f>
        <v>0</v>
      </c>
      <c r="F105" s="48">
        <f t="shared" si="4"/>
        <v>0</v>
      </c>
    </row>
    <row r="106" spans="1:6" x14ac:dyDescent="0.2">
      <c r="A106" s="40"/>
      <c r="B106" s="201" t="s">
        <v>209</v>
      </c>
      <c r="C106" s="40" t="s">
        <v>93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210</v>
      </c>
      <c r="C108" s="40" t="s">
        <v>93</v>
      </c>
      <c r="E108" s="48">
        <f>'Equip&amp;HIRE_Master'!D40</f>
        <v>5.46</v>
      </c>
      <c r="F108" s="48">
        <f t="shared" si="4"/>
        <v>0</v>
      </c>
    </row>
    <row r="109" spans="1:6" x14ac:dyDescent="0.2">
      <c r="A109" s="40"/>
      <c r="B109" s="201" t="s">
        <v>211</v>
      </c>
      <c r="C109" s="40" t="s">
        <v>93</v>
      </c>
      <c r="E109" s="48">
        <f>'Equip&amp;HIRE_Master'!D41</f>
        <v>23</v>
      </c>
      <c r="F109" s="48">
        <f t="shared" si="4"/>
        <v>0</v>
      </c>
    </row>
    <row r="110" spans="1:6" x14ac:dyDescent="0.2">
      <c r="A110" s="40"/>
      <c r="B110" s="201" t="s">
        <v>212</v>
      </c>
      <c r="C110" s="40" t="s">
        <v>93</v>
      </c>
      <c r="E110" s="48">
        <f>'Equip&amp;HIRE_Master'!D42</f>
        <v>23</v>
      </c>
      <c r="F110" s="48">
        <f t="shared" si="4"/>
        <v>0</v>
      </c>
    </row>
    <row r="111" spans="1:6" hidden="1" x14ac:dyDescent="0.2">
      <c r="A111" s="40"/>
      <c r="B111" s="201" t="s">
        <v>213</v>
      </c>
      <c r="C111" s="40" t="s">
        <v>93</v>
      </c>
      <c r="E111" s="48">
        <f>'Equip&amp;HIRE_Master'!D43</f>
        <v>0</v>
      </c>
      <c r="F111" s="48">
        <f t="shared" si="4"/>
        <v>0</v>
      </c>
    </row>
    <row r="112" spans="1:6" hidden="1" x14ac:dyDescent="0.2">
      <c r="A112" s="40"/>
      <c r="B112" s="201" t="s">
        <v>214</v>
      </c>
      <c r="C112" s="40" t="s">
        <v>93</v>
      </c>
      <c r="E112" s="48">
        <f>'Equip&amp;HIRE_Master'!D44</f>
        <v>0</v>
      </c>
      <c r="F112" s="48">
        <f t="shared" si="4"/>
        <v>0</v>
      </c>
    </row>
    <row r="113" spans="1:6" hidden="1" x14ac:dyDescent="0.2">
      <c r="A113" s="40"/>
      <c r="B113" s="201" t="s">
        <v>215</v>
      </c>
      <c r="C113" s="40" t="s">
        <v>93</v>
      </c>
      <c r="E113" s="48">
        <f>'Equip&amp;HIRE_Master'!D45</f>
        <v>0</v>
      </c>
      <c r="F113" s="48">
        <f t="shared" si="4"/>
        <v>0</v>
      </c>
    </row>
    <row r="114" spans="1:6" hidden="1" x14ac:dyDescent="0.2">
      <c r="A114" s="40"/>
      <c r="B114" s="201" t="s">
        <v>216</v>
      </c>
      <c r="C114" s="40" t="s">
        <v>93</v>
      </c>
      <c r="E114" s="48">
        <f>'Equip&amp;HIRE_Master'!D46</f>
        <v>0</v>
      </c>
      <c r="F114" s="48">
        <f t="shared" si="4"/>
        <v>0</v>
      </c>
    </row>
    <row r="115" spans="1:6" hidden="1" x14ac:dyDescent="0.2">
      <c r="A115" s="40"/>
      <c r="B115" s="201" t="s">
        <v>217</v>
      </c>
      <c r="C115" s="40" t="s">
        <v>93</v>
      </c>
      <c r="E115" s="48">
        <f>'Equip&amp;HIRE_Master'!D47</f>
        <v>0</v>
      </c>
      <c r="F115" s="48">
        <f t="shared" si="4"/>
        <v>0</v>
      </c>
    </row>
    <row r="116" spans="1:6" hidden="1" x14ac:dyDescent="0.2">
      <c r="A116" s="40"/>
      <c r="B116" s="201" t="s">
        <v>218</v>
      </c>
      <c r="C116" s="40" t="s">
        <v>93</v>
      </c>
      <c r="E116" s="48">
        <f>'Equip&amp;HIRE_Master'!D48</f>
        <v>0</v>
      </c>
      <c r="F116" s="48">
        <f t="shared" si="4"/>
        <v>0</v>
      </c>
    </row>
    <row r="117" spans="1:6" hidden="1" x14ac:dyDescent="0.2">
      <c r="A117" s="40"/>
      <c r="B117" s="201" t="s">
        <v>219</v>
      </c>
      <c r="C117" s="40" t="s">
        <v>93</v>
      </c>
      <c r="E117" s="48">
        <f>'Equip&amp;HIRE_Master'!D49</f>
        <v>0</v>
      </c>
      <c r="F117" s="48">
        <f t="shared" si="4"/>
        <v>0</v>
      </c>
    </row>
    <row r="118" spans="1:6" hidden="1" x14ac:dyDescent="0.2">
      <c r="A118" s="40"/>
      <c r="B118" s="201" t="s">
        <v>220</v>
      </c>
      <c r="C118" s="40" t="s">
        <v>93</v>
      </c>
      <c r="E118" s="48">
        <f>'Equip&amp;HIRE_Master'!D50</f>
        <v>0</v>
      </c>
      <c r="F118" s="48">
        <f t="shared" si="4"/>
        <v>0</v>
      </c>
    </row>
    <row r="119" spans="1:6" hidden="1" x14ac:dyDescent="0.2">
      <c r="A119" s="40"/>
      <c r="B119" s="201" t="s">
        <v>221</v>
      </c>
      <c r="C119" s="40" t="s">
        <v>93</v>
      </c>
      <c r="E119" s="48">
        <f>'Equip&amp;HIRE_Master'!D51</f>
        <v>0</v>
      </c>
      <c r="F119" s="48">
        <f t="shared" si="4"/>
        <v>0</v>
      </c>
    </row>
    <row r="120" spans="1:6" hidden="1" x14ac:dyDescent="0.2">
      <c r="A120" s="40"/>
      <c r="B120" s="201" t="s">
        <v>222</v>
      </c>
      <c r="C120" s="40" t="s">
        <v>93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223</v>
      </c>
      <c r="C122" s="40" t="s">
        <v>93</v>
      </c>
      <c r="E122" s="48">
        <f>'Equip&amp;HIRE_Master'!D54</f>
        <v>0</v>
      </c>
      <c r="F122" s="48">
        <f t="shared" si="4"/>
        <v>0</v>
      </c>
    </row>
    <row r="123" spans="1:6" x14ac:dyDescent="0.2">
      <c r="A123" s="40"/>
      <c r="B123" s="201" t="s">
        <v>224</v>
      </c>
      <c r="C123" s="40" t="s">
        <v>225</v>
      </c>
      <c r="E123" s="48">
        <f>'Equip&amp;HIRE_Master'!D55</f>
        <v>230</v>
      </c>
      <c r="F123" s="48">
        <f t="shared" si="4"/>
        <v>0</v>
      </c>
    </row>
    <row r="124" spans="1:6" x14ac:dyDescent="0.2">
      <c r="A124" s="40"/>
      <c r="B124" s="201" t="s">
        <v>226</v>
      </c>
      <c r="C124" s="40" t="s">
        <v>227</v>
      </c>
      <c r="E124" s="48">
        <f>'Equip&amp;HIRE_Master'!D56</f>
        <v>309</v>
      </c>
      <c r="F124" s="48">
        <f t="shared" si="4"/>
        <v>0</v>
      </c>
    </row>
    <row r="125" spans="1:6" x14ac:dyDescent="0.2">
      <c r="A125" s="40"/>
      <c r="B125" s="201" t="s">
        <v>228</v>
      </c>
      <c r="C125" s="40" t="s">
        <v>229</v>
      </c>
      <c r="E125" s="48">
        <f>'Equip&amp;HIRE_Master'!D57</f>
        <v>35</v>
      </c>
      <c r="F125" s="48">
        <f t="shared" si="4"/>
        <v>0</v>
      </c>
    </row>
    <row r="126" spans="1:6" x14ac:dyDescent="0.2">
      <c r="A126" s="40"/>
      <c r="B126" s="201" t="s">
        <v>230</v>
      </c>
      <c r="C126" s="40" t="s">
        <v>231</v>
      </c>
      <c r="E126" s="48">
        <f>'Equip&amp;HIRE_Master'!D58</f>
        <v>229.9</v>
      </c>
      <c r="F126" s="48">
        <f t="shared" si="4"/>
        <v>0</v>
      </c>
    </row>
    <row r="127" spans="1:6" x14ac:dyDescent="0.2">
      <c r="A127" s="40"/>
      <c r="B127" s="201" t="s">
        <v>232</v>
      </c>
      <c r="C127" s="40" t="s">
        <v>231</v>
      </c>
      <c r="E127" s="48">
        <f>'Equip&amp;HIRE_Master'!D59</f>
        <v>239.8</v>
      </c>
      <c r="F127" s="48">
        <f t="shared" si="4"/>
        <v>0</v>
      </c>
    </row>
    <row r="128" spans="1:6" x14ac:dyDescent="0.2">
      <c r="A128" s="40"/>
      <c r="B128" s="201" t="s">
        <v>233</v>
      </c>
      <c r="C128" s="40" t="s">
        <v>227</v>
      </c>
      <c r="E128" s="48">
        <f>'Equip&amp;HIRE_Master'!D60</f>
        <v>309</v>
      </c>
      <c r="F128" s="48">
        <f t="shared" si="4"/>
        <v>0</v>
      </c>
    </row>
    <row r="129" spans="1:6" x14ac:dyDescent="0.2">
      <c r="A129" s="40"/>
      <c r="B129" s="201" t="s">
        <v>234</v>
      </c>
      <c r="C129" s="40" t="s">
        <v>229</v>
      </c>
      <c r="E129" s="48">
        <f>'Equip&amp;HIRE_Master'!D61</f>
        <v>35</v>
      </c>
      <c r="F129" s="48">
        <f t="shared" si="4"/>
        <v>0</v>
      </c>
    </row>
    <row r="130" spans="1:6" x14ac:dyDescent="0.2">
      <c r="A130" s="40"/>
      <c r="B130" s="201" t="s">
        <v>235</v>
      </c>
      <c r="C130" s="40" t="s">
        <v>93</v>
      </c>
      <c r="E130" s="48">
        <f>'Equip&amp;HIRE_Master'!D62</f>
        <v>295.77</v>
      </c>
      <c r="F130" s="48">
        <f t="shared" si="4"/>
        <v>0</v>
      </c>
    </row>
    <row r="131" spans="1:6" x14ac:dyDescent="0.2">
      <c r="A131" s="40"/>
      <c r="B131" s="201" t="s">
        <v>236</v>
      </c>
      <c r="C131" s="40" t="s">
        <v>93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237</v>
      </c>
      <c r="C133" s="40" t="s">
        <v>93</v>
      </c>
      <c r="E133" s="48">
        <f>'Equip&amp;HIRE_Master'!D65</f>
        <v>0</v>
      </c>
      <c r="F133" s="48">
        <f t="shared" si="4"/>
        <v>0</v>
      </c>
    </row>
    <row r="134" spans="1:6" x14ac:dyDescent="0.2">
      <c r="A134" s="40"/>
      <c r="B134" s="201" t="s">
        <v>238</v>
      </c>
      <c r="C134" s="40" t="s">
        <v>239</v>
      </c>
      <c r="E134" s="48">
        <f>'Equip&amp;HIRE_Master'!D66</f>
        <v>180</v>
      </c>
      <c r="F134" s="48">
        <f t="shared" si="4"/>
        <v>0</v>
      </c>
    </row>
    <row r="135" spans="1:6" x14ac:dyDescent="0.2">
      <c r="A135" s="40"/>
      <c r="B135" s="201" t="s">
        <v>240</v>
      </c>
      <c r="C135" s="40" t="s">
        <v>239</v>
      </c>
      <c r="E135" s="48">
        <f>'Equip&amp;HIRE_Master'!D67</f>
        <v>125</v>
      </c>
      <c r="F135" s="48">
        <f t="shared" si="4"/>
        <v>0</v>
      </c>
    </row>
    <row r="136" spans="1:6" x14ac:dyDescent="0.2">
      <c r="A136" s="40"/>
      <c r="B136" s="201" t="s">
        <v>241</v>
      </c>
      <c r="C136" s="40" t="s">
        <v>239</v>
      </c>
      <c r="E136" s="48">
        <f>'Equip&amp;HIRE_Master'!D68</f>
        <v>160</v>
      </c>
      <c r="F136" s="48">
        <f t="shared" si="4"/>
        <v>0</v>
      </c>
    </row>
    <row r="137" spans="1:6" x14ac:dyDescent="0.2">
      <c r="A137" s="40"/>
      <c r="B137" s="201" t="s">
        <v>242</v>
      </c>
      <c r="C137" s="40" t="s">
        <v>239</v>
      </c>
      <c r="E137" s="48">
        <f>'Equip&amp;HIRE_Master'!D69</f>
        <v>200</v>
      </c>
      <c r="F137" s="48">
        <f t="shared" ref="F137" si="5">E137*D137</f>
        <v>0</v>
      </c>
    </row>
    <row r="138" spans="1:6" x14ac:dyDescent="0.2">
      <c r="A138" s="40"/>
      <c r="E138" s="48"/>
      <c r="F138" s="48"/>
    </row>
    <row r="139" spans="1:6" x14ac:dyDescent="0.2">
      <c r="A139" s="40"/>
      <c r="B139" s="201" t="s">
        <v>244</v>
      </c>
      <c r="C139" s="40" t="s">
        <v>229</v>
      </c>
      <c r="D139" s="40">
        <v>4</v>
      </c>
      <c r="E139" s="48">
        <v>1850</v>
      </c>
      <c r="F139" s="48">
        <f t="shared" ref="F139" si="6">E139*D139</f>
        <v>7400</v>
      </c>
    </row>
    <row r="140" spans="1:6" ht="10.8" thickBot="1" x14ac:dyDescent="0.25">
      <c r="A140" s="40"/>
      <c r="E140" s="48"/>
      <c r="F140" s="48"/>
    </row>
    <row r="141" spans="1:6" ht="10.8" thickBot="1" x14ac:dyDescent="0.25">
      <c r="A141" s="42"/>
      <c r="B141" s="49" t="s">
        <v>245</v>
      </c>
      <c r="E141" s="48"/>
      <c r="F141" s="48"/>
    </row>
    <row r="142" spans="1:6" x14ac:dyDescent="0.2">
      <c r="E142" s="48"/>
      <c r="F142" s="48"/>
    </row>
    <row r="143" spans="1:6" x14ac:dyDescent="0.2">
      <c r="B143" s="38" t="s">
        <v>246</v>
      </c>
      <c r="C143" s="40" t="s">
        <v>115</v>
      </c>
      <c r="E143" s="48">
        <f>'Misc Subbie Rates_Master'!D35</f>
        <v>180</v>
      </c>
      <c r="F143" s="48">
        <f>E143*D143</f>
        <v>0</v>
      </c>
    </row>
    <row r="144" spans="1:6" x14ac:dyDescent="0.2">
      <c r="B144" s="38" t="s">
        <v>247</v>
      </c>
      <c r="C144" s="40" t="s">
        <v>115</v>
      </c>
      <c r="E144" s="48">
        <f>'Misc Subbie Rates_Master'!D42</f>
        <v>130</v>
      </c>
      <c r="F144" s="48">
        <f t="shared" ref="F144:F151" si="7">E144*D144</f>
        <v>0</v>
      </c>
    </row>
    <row r="145" spans="1:6" x14ac:dyDescent="0.2">
      <c r="B145" s="38" t="s">
        <v>248</v>
      </c>
      <c r="C145" s="40" t="s">
        <v>115</v>
      </c>
      <c r="D145" s="40">
        <v>6</v>
      </c>
      <c r="E145" s="48">
        <f>'Misc Subbie Rates_Master'!D72</f>
        <v>115</v>
      </c>
      <c r="F145" s="48">
        <f t="shared" si="7"/>
        <v>690</v>
      </c>
    </row>
    <row r="146" spans="1:6" x14ac:dyDescent="0.2">
      <c r="B146" s="38" t="s">
        <v>249</v>
      </c>
      <c r="C146" s="40" t="s">
        <v>115</v>
      </c>
      <c r="D146" s="40">
        <v>1</v>
      </c>
      <c r="E146" s="48">
        <f>'Misc Subbie Rates_Master'!D73</f>
        <v>90</v>
      </c>
      <c r="F146" s="48">
        <f t="shared" si="7"/>
        <v>90</v>
      </c>
    </row>
    <row r="147" spans="1:6" x14ac:dyDescent="0.2">
      <c r="C147" s="40" t="s">
        <v>115</v>
      </c>
      <c r="E147" s="48"/>
      <c r="F147" s="48">
        <f t="shared" si="7"/>
        <v>0</v>
      </c>
    </row>
    <row r="148" spans="1:6" x14ac:dyDescent="0.2">
      <c r="C148" s="40" t="s">
        <v>115</v>
      </c>
      <c r="E148" s="48"/>
      <c r="F148" s="48">
        <f t="shared" si="7"/>
        <v>0</v>
      </c>
    </row>
    <row r="149" spans="1:6" x14ac:dyDescent="0.2">
      <c r="B149" s="284" t="s">
        <v>250</v>
      </c>
      <c r="C149" s="40" t="s">
        <v>115</v>
      </c>
      <c r="E149" s="48"/>
      <c r="F149" s="48">
        <f t="shared" si="7"/>
        <v>0</v>
      </c>
    </row>
    <row r="150" spans="1:6" x14ac:dyDescent="0.2">
      <c r="B150" s="1" t="s">
        <v>251</v>
      </c>
      <c r="C150" s="40" t="s">
        <v>115</v>
      </c>
      <c r="D150" s="40">
        <v>1</v>
      </c>
      <c r="E150" s="48">
        <f>'Misc Subbie Rates_Master'!D84</f>
        <v>1945</v>
      </c>
      <c r="F150" s="48">
        <f t="shared" si="7"/>
        <v>1945</v>
      </c>
    </row>
    <row r="151" spans="1:6" x14ac:dyDescent="0.2">
      <c r="B151" s="38" t="s">
        <v>252</v>
      </c>
      <c r="C151" s="40" t="s">
        <v>115</v>
      </c>
      <c r="D151" s="40">
        <v>1</v>
      </c>
      <c r="E151" s="48">
        <f>'Misc Subbie Rates_Master'!D86</f>
        <v>350</v>
      </c>
      <c r="F151" s="48">
        <f t="shared" si="7"/>
        <v>350</v>
      </c>
    </row>
    <row r="152" spans="1:6" x14ac:dyDescent="0.2">
      <c r="E152" s="48"/>
      <c r="F152" s="48"/>
    </row>
    <row r="153" spans="1:6" ht="10.8" thickBot="1" x14ac:dyDescent="0.25">
      <c r="E153" s="48"/>
      <c r="F153" s="48"/>
    </row>
    <row r="154" spans="1:6" ht="10.8" thickBot="1" x14ac:dyDescent="0.25">
      <c r="A154" s="42"/>
      <c r="B154" s="49" t="s">
        <v>253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8">E157*D157</f>
        <v>0</v>
      </c>
    </row>
    <row r="158" spans="1:6" x14ac:dyDescent="0.2">
      <c r="B158" s="38" t="str">
        <f>'Material Rates_Master'!A187</f>
        <v>Turf Underlay/Topsoil</v>
      </c>
      <c r="C158" s="40" t="str">
        <f>'Material Rates_Master'!B187</f>
        <v>m3</v>
      </c>
      <c r="E158" s="48">
        <f>'Material Rates_Master'!D187</f>
        <v>45.25</v>
      </c>
      <c r="F158" s="48">
        <f t="shared" si="8"/>
        <v>0</v>
      </c>
    </row>
    <row r="159" spans="1:6" x14ac:dyDescent="0.2">
      <c r="B159" s="38" t="str">
        <f>'Material Rates_Master'!A188</f>
        <v>Standard Garden Woodchip</v>
      </c>
      <c r="C159" s="40" t="str">
        <f>'Material Rates_Master'!B188</f>
        <v>m3</v>
      </c>
      <c r="E159" s="48">
        <f>'Material Rates_Master'!D188</f>
        <v>87</v>
      </c>
      <c r="F159" s="48">
        <f t="shared" si="8"/>
        <v>0</v>
      </c>
    </row>
    <row r="160" spans="1:6" x14ac:dyDescent="0.2">
      <c r="B160" s="38" t="str">
        <f>'Material Rates_Master'!A189</f>
        <v>Turf - Standard Couch or Similar</v>
      </c>
      <c r="C160" s="40" t="str">
        <f>'Material Rates_Master'!B189</f>
        <v>Slab (.5m2)</v>
      </c>
      <c r="E160" s="48">
        <f>'Material Rates_Master'!D189</f>
        <v>6.48</v>
      </c>
      <c r="F160" s="48">
        <f t="shared" si="8"/>
        <v>0</v>
      </c>
    </row>
    <row r="161" spans="1:10" ht="4.2"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8"/>
        <v>0</v>
      </c>
    </row>
    <row r="163" spans="1:10" x14ac:dyDescent="0.2">
      <c r="B163" s="38" t="str">
        <f>'Material Rates_Master'!A194</f>
        <v>Exposed Agg Concrete - Standard/Cheapest Exposed Agg Stone</v>
      </c>
      <c r="C163" s="40" t="str">
        <f>'Material Rates_Master'!B194</f>
        <v>m3</v>
      </c>
      <c r="E163" s="48">
        <f>'Material Rates_Master'!D194</f>
        <v>252</v>
      </c>
      <c r="F163" s="48">
        <f t="shared" si="8"/>
        <v>0</v>
      </c>
    </row>
    <row r="164" spans="1:10" x14ac:dyDescent="0.2">
      <c r="B164" s="38" t="str">
        <f>'Material Rates_Master'!A195</f>
        <v>N25 20mm 80 Slump Concrete</v>
      </c>
      <c r="C164" s="40" t="str">
        <f>'Material Rates_Master'!B195</f>
        <v>m3</v>
      </c>
      <c r="E164" s="48">
        <f>'Material Rates_Master'!D195</f>
        <v>263</v>
      </c>
      <c r="F164" s="48">
        <f t="shared" si="8"/>
        <v>0</v>
      </c>
    </row>
    <row r="165" spans="1:10" x14ac:dyDescent="0.2">
      <c r="E165" s="48"/>
      <c r="F165" s="48"/>
    </row>
    <row r="166" spans="1:10" x14ac:dyDescent="0.2">
      <c r="B166" s="38" t="s">
        <v>254</v>
      </c>
      <c r="C166" s="40" t="s">
        <v>115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255</v>
      </c>
      <c r="E169" s="48"/>
      <c r="F169" s="48"/>
    </row>
    <row r="170" spans="1:10" x14ac:dyDescent="0.2">
      <c r="E170" s="48"/>
      <c r="F170" s="48"/>
    </row>
    <row r="171" spans="1:10" ht="13.2" x14ac:dyDescent="0.2">
      <c r="A171" s="40"/>
      <c r="B171" s="300" t="s">
        <v>256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257</v>
      </c>
      <c r="C172" s="40" t="str">
        <f>'Material Rates_Master'!B6</f>
        <v>m</v>
      </c>
      <c r="D172" s="240"/>
      <c r="E172" s="48">
        <f>'Material Rates_Master'!D6*$M$16</f>
        <v>35.143999999999998</v>
      </c>
      <c r="F172" s="48">
        <f t="shared" si="10"/>
        <v>0</v>
      </c>
      <c r="H172" s="20"/>
    </row>
    <row r="173" spans="1:10" x14ac:dyDescent="0.2">
      <c r="A173" s="40"/>
      <c r="B173" s="300" t="s">
        <v>258</v>
      </c>
      <c r="C173" s="40" t="str">
        <f>'Material Rates_Master'!B7</f>
        <v>m</v>
      </c>
      <c r="D173" s="37">
        <v>6</v>
      </c>
      <c r="E173" s="48">
        <f>'Material Rates_Master'!D7*$M$16</f>
        <v>16.993549999999999</v>
      </c>
      <c r="F173" s="48">
        <f t="shared" si="10"/>
        <v>101.96129999999999</v>
      </c>
      <c r="H173" s="20"/>
    </row>
    <row r="174" spans="1:10" x14ac:dyDescent="0.2">
      <c r="A174" s="40"/>
      <c r="B174" s="300" t="s">
        <v>260</v>
      </c>
      <c r="C174" s="40" t="str">
        <f>'Material Rates_Master'!B8</f>
        <v>m</v>
      </c>
      <c r="D174" s="37"/>
      <c r="E174" s="48">
        <f>'Material Rates_Master'!D8*$M$16</f>
        <v>1.6779419999999998</v>
      </c>
      <c r="F174" s="48">
        <f t="shared" si="10"/>
        <v>0</v>
      </c>
      <c r="H174" s="20"/>
    </row>
    <row r="175" spans="1:10" ht="4.2" customHeight="1" x14ac:dyDescent="0.2">
      <c r="A175" s="40"/>
      <c r="B175" s="300"/>
      <c r="E175" s="48">
        <f>'Material Rates_Master'!D9*$M$16</f>
        <v>0</v>
      </c>
      <c r="F175" s="48"/>
      <c r="H175" s="20"/>
    </row>
    <row r="176" spans="1:10" x14ac:dyDescent="0.2">
      <c r="A176" s="40"/>
      <c r="B176" s="300" t="s">
        <v>261</v>
      </c>
      <c r="C176" s="40" t="str">
        <f>'Material Rates_Master'!B10</f>
        <v>ea</v>
      </c>
      <c r="D176" s="240"/>
      <c r="E176" s="48">
        <f>'Material Rates_Master'!D10*$M$16</f>
        <v>60.802799999999998</v>
      </c>
      <c r="F176" s="48">
        <f t="shared" si="10"/>
        <v>0</v>
      </c>
      <c r="H176" s="20"/>
    </row>
    <row r="177" spans="1:8" x14ac:dyDescent="0.2">
      <c r="A177" s="40"/>
      <c r="B177" s="300" t="s">
        <v>262</v>
      </c>
      <c r="C177" s="40" t="str">
        <f>'Material Rates_Master'!B11</f>
        <v>ea</v>
      </c>
      <c r="D177" s="37"/>
      <c r="E177" s="48">
        <f>'Material Rates_Master'!D11*$M$16</f>
        <v>35.493599999999994</v>
      </c>
      <c r="F177" s="48">
        <f t="shared" si="10"/>
        <v>0</v>
      </c>
      <c r="H177" s="20"/>
    </row>
    <row r="178" spans="1:8" x14ac:dyDescent="0.2">
      <c r="A178" s="40"/>
      <c r="B178" s="300" t="s">
        <v>263</v>
      </c>
      <c r="C178" s="40" t="str">
        <f>'Material Rates_Master'!B12</f>
        <v>ea</v>
      </c>
      <c r="D178" s="240">
        <v>1</v>
      </c>
      <c r="E178" s="48">
        <f>'Material Rates_Master'!D12*$M$16</f>
        <v>19.471799999999998</v>
      </c>
      <c r="F178" s="48">
        <f t="shared" si="10"/>
        <v>19.471799999999998</v>
      </c>
      <c r="H178" s="20"/>
    </row>
    <row r="179" spans="1:8" x14ac:dyDescent="0.2">
      <c r="A179" s="40"/>
      <c r="B179" s="300" t="s">
        <v>264</v>
      </c>
      <c r="C179" s="40" t="str">
        <f>'Material Rates_Master'!B13</f>
        <v>ea</v>
      </c>
      <c r="D179" s="240"/>
      <c r="E179" s="48">
        <f>'Material Rates_Master'!D13*$M$16</f>
        <v>150.64079999999998</v>
      </c>
      <c r="F179" s="48">
        <f t="shared" si="10"/>
        <v>0</v>
      </c>
      <c r="H179" s="20"/>
    </row>
    <row r="180" spans="1:8" x14ac:dyDescent="0.2">
      <c r="A180" s="40"/>
      <c r="B180" s="300" t="s">
        <v>265</v>
      </c>
      <c r="C180" s="40" t="str">
        <f>'Material Rates_Master'!B14</f>
        <v>ea</v>
      </c>
      <c r="D180" s="240"/>
      <c r="E180" s="48">
        <f>'Material Rates_Master'!D14*$M$16</f>
        <v>135.1986</v>
      </c>
      <c r="F180" s="48">
        <f t="shared" si="10"/>
        <v>0</v>
      </c>
      <c r="H180" s="20"/>
    </row>
    <row r="181" spans="1:8" x14ac:dyDescent="0.2">
      <c r="A181" s="40"/>
      <c r="B181" s="300" t="s">
        <v>266</v>
      </c>
      <c r="C181" s="40" t="str">
        <f>'Material Rates_Master'!B15</f>
        <v>ea</v>
      </c>
      <c r="D181" s="240"/>
      <c r="E181" s="48">
        <f>'Material Rates_Master'!D15*$M$16</f>
        <v>61.672199999999989</v>
      </c>
      <c r="F181" s="48">
        <f t="shared" si="10"/>
        <v>0</v>
      </c>
      <c r="H181" s="20"/>
    </row>
    <row r="182" spans="1:8" x14ac:dyDescent="0.2">
      <c r="A182" s="40"/>
      <c r="B182" s="300" t="s">
        <v>267</v>
      </c>
      <c r="C182" s="40" t="str">
        <f>'Material Rates_Master'!B16</f>
        <v>ea</v>
      </c>
      <c r="D182" s="240"/>
      <c r="E182" s="48">
        <f>'Material Rates_Master'!D16*$M$16</f>
        <v>150.64079999999998</v>
      </c>
      <c r="F182" s="48">
        <f t="shared" si="10"/>
        <v>0</v>
      </c>
      <c r="H182" s="20"/>
    </row>
    <row r="183" spans="1:8" x14ac:dyDescent="0.2">
      <c r="A183" s="40"/>
      <c r="B183" s="300" t="s">
        <v>268</v>
      </c>
      <c r="C183" s="40" t="str">
        <f>'Material Rates_Master'!B17</f>
        <v>ea</v>
      </c>
      <c r="D183" s="240"/>
      <c r="E183" s="48">
        <f>'Material Rates_Master'!D17*$M$16</f>
        <v>134.9778</v>
      </c>
      <c r="F183" s="48">
        <f t="shared" si="10"/>
        <v>0</v>
      </c>
      <c r="H183" s="20"/>
    </row>
    <row r="184" spans="1:8" x14ac:dyDescent="0.2">
      <c r="A184" s="40"/>
      <c r="B184" s="300" t="s">
        <v>269</v>
      </c>
      <c r="C184" s="40" t="str">
        <f>'Material Rates_Master'!B18</f>
        <v>ea</v>
      </c>
      <c r="D184" s="240">
        <v>1</v>
      </c>
      <c r="E184" s="48">
        <f>'Material Rates_Master'!D18*$M$16</f>
        <v>61.61699999999999</v>
      </c>
      <c r="F184" s="48">
        <f t="shared" si="10"/>
        <v>61.61699999999999</v>
      </c>
      <c r="H184" s="20"/>
    </row>
    <row r="185" spans="1:8" x14ac:dyDescent="0.2">
      <c r="A185" s="40"/>
      <c r="B185" s="300" t="s">
        <v>270</v>
      </c>
      <c r="C185" s="40" t="str">
        <f>'Material Rates_Master'!B19</f>
        <v>ea</v>
      </c>
      <c r="D185" s="240"/>
      <c r="E185" s="48">
        <f>'Material Rates_Master'!D19*$M$16</f>
        <v>151.45499999999998</v>
      </c>
      <c r="F185" s="48">
        <f t="shared" si="10"/>
        <v>0</v>
      </c>
      <c r="H185" s="20"/>
    </row>
    <row r="186" spans="1:8" x14ac:dyDescent="0.2">
      <c r="A186" s="40"/>
      <c r="B186" s="300" t="s">
        <v>271</v>
      </c>
      <c r="C186" s="40" t="str">
        <f>'Material Rates_Master'!B20</f>
        <v>ea</v>
      </c>
      <c r="D186" s="240"/>
      <c r="E186" s="48">
        <f>'Material Rates_Master'!D20*$M$16</f>
        <v>157.7064</v>
      </c>
      <c r="F186" s="48">
        <f t="shared" si="10"/>
        <v>0</v>
      </c>
      <c r="H186" s="20"/>
    </row>
    <row r="187" spans="1:8" x14ac:dyDescent="0.2">
      <c r="A187" s="40"/>
      <c r="B187" s="300" t="s">
        <v>272</v>
      </c>
      <c r="C187" s="40" t="str">
        <f>'Material Rates_Master'!B21</f>
        <v>ea</v>
      </c>
      <c r="D187" s="240"/>
      <c r="E187" s="48">
        <f>'Material Rates_Master'!D21*$M$16</f>
        <v>67.964999999999989</v>
      </c>
      <c r="F187" s="48">
        <f t="shared" si="10"/>
        <v>0</v>
      </c>
      <c r="H187" s="20"/>
    </row>
    <row r="188" spans="1:8" x14ac:dyDescent="0.2">
      <c r="A188" s="40"/>
      <c r="B188" s="300" t="s">
        <v>273</v>
      </c>
      <c r="C188" s="40" t="str">
        <f>'Material Rates_Master'!B22</f>
        <v>ea</v>
      </c>
      <c r="D188" s="240"/>
      <c r="E188" s="48">
        <f>'Material Rates_Master'!D22*$M$16</f>
        <v>289.0686</v>
      </c>
      <c r="F188" s="48">
        <f t="shared" si="10"/>
        <v>0</v>
      </c>
      <c r="H188" s="20"/>
    </row>
    <row r="189" spans="1:8" x14ac:dyDescent="0.2">
      <c r="A189" s="40"/>
      <c r="B189" s="300" t="s">
        <v>274</v>
      </c>
      <c r="C189" s="40" t="str">
        <f>'Material Rates_Master'!B23</f>
        <v>ea</v>
      </c>
      <c r="D189" s="240"/>
      <c r="E189" s="48">
        <f>'Material Rates_Master'!D23*$M$16</f>
        <v>301.4196</v>
      </c>
      <c r="F189" s="48">
        <f t="shared" si="10"/>
        <v>0</v>
      </c>
      <c r="H189" s="20"/>
    </row>
    <row r="190" spans="1:8" x14ac:dyDescent="0.2">
      <c r="A190" s="40"/>
      <c r="B190" s="300" t="s">
        <v>275</v>
      </c>
      <c r="C190" s="40" t="str">
        <f>'Material Rates_Master'!B24</f>
        <v>ea</v>
      </c>
      <c r="D190" s="240"/>
      <c r="E190" s="48">
        <f>'Material Rates_Master'!D24*$M$16</f>
        <v>168.53939999999997</v>
      </c>
      <c r="F190" s="48">
        <f t="shared" si="10"/>
        <v>0</v>
      </c>
      <c r="H190" s="20"/>
    </row>
    <row r="191" spans="1:8" x14ac:dyDescent="0.2">
      <c r="A191" s="40"/>
      <c r="B191" s="300" t="s">
        <v>276</v>
      </c>
      <c r="C191" s="40" t="str">
        <f>'Material Rates_Master'!B25</f>
        <v>ea</v>
      </c>
      <c r="D191" s="240">
        <v>1</v>
      </c>
      <c r="E191" s="48">
        <f>'Material Rates_Master'!D25*$M$16</f>
        <v>173.35559999999998</v>
      </c>
      <c r="F191" s="48">
        <f t="shared" si="10"/>
        <v>173.35559999999998</v>
      </c>
      <c r="H191" s="20"/>
    </row>
    <row r="192" spans="1:8" x14ac:dyDescent="0.2">
      <c r="A192" s="40"/>
      <c r="B192" s="300" t="s">
        <v>277</v>
      </c>
      <c r="C192" s="40" t="str">
        <f>'Material Rates_Master'!B26</f>
        <v>ea</v>
      </c>
      <c r="D192" s="240">
        <v>1</v>
      </c>
      <c r="E192" s="48">
        <f>'Material Rates_Master'!D26*$M$16</f>
        <v>82.938000000000002</v>
      </c>
      <c r="F192" s="48">
        <f t="shared" si="10"/>
        <v>82.938000000000002</v>
      </c>
      <c r="H192" s="20"/>
    </row>
    <row r="193" spans="1:8" x14ac:dyDescent="0.2">
      <c r="A193" s="40"/>
      <c r="B193" s="300" t="s">
        <v>279</v>
      </c>
      <c r="C193" s="40" t="str">
        <f>'Material Rates_Master'!B27</f>
        <v>ea</v>
      </c>
      <c r="D193" s="240"/>
      <c r="E193" s="48">
        <f>'Material Rates_Master'!D27*$M$16</f>
        <v>472.44299999999998</v>
      </c>
      <c r="F193" s="48">
        <f t="shared" si="10"/>
        <v>0</v>
      </c>
      <c r="H193" s="20"/>
    </row>
    <row r="194" spans="1:8" x14ac:dyDescent="0.2">
      <c r="A194" s="40"/>
      <c r="B194" s="300" t="s">
        <v>280</v>
      </c>
      <c r="C194" s="40" t="str">
        <f>'Material Rates_Master'!B28</f>
        <v>ea</v>
      </c>
      <c r="D194" s="240"/>
      <c r="E194" s="48">
        <f>'Material Rates_Master'!D28*$M$16</f>
        <v>179.08260000000001</v>
      </c>
      <c r="F194" s="48">
        <f t="shared" si="10"/>
        <v>0</v>
      </c>
      <c r="H194" s="20"/>
    </row>
    <row r="195" spans="1:8" x14ac:dyDescent="0.2">
      <c r="A195" s="40"/>
      <c r="B195" s="300" t="s">
        <v>281</v>
      </c>
      <c r="C195" s="40" t="str">
        <f>'Material Rates_Master'!B29</f>
        <v>ea</v>
      </c>
      <c r="D195" s="240"/>
      <c r="E195" s="48">
        <f>'Material Rates_Master'!D29*$M$16</f>
        <v>127.88459999999999</v>
      </c>
      <c r="F195" s="48">
        <f t="shared" si="10"/>
        <v>0</v>
      </c>
      <c r="H195" s="20"/>
    </row>
    <row r="196" spans="1:8" x14ac:dyDescent="0.2">
      <c r="A196" s="40"/>
      <c r="B196" s="300" t="s">
        <v>282</v>
      </c>
      <c r="C196" s="40" t="str">
        <f>'Material Rates_Master'!B30</f>
        <v>ea</v>
      </c>
      <c r="D196" s="240"/>
      <c r="E196" s="48">
        <f>'Material Rates_Master'!D30*$M$16</f>
        <v>432.20219999999995</v>
      </c>
      <c r="F196" s="48">
        <f t="shared" si="10"/>
        <v>0</v>
      </c>
      <c r="H196" s="20"/>
    </row>
    <row r="197" spans="1:8" x14ac:dyDescent="0.2">
      <c r="A197" s="40"/>
      <c r="B197" s="300" t="s">
        <v>283</v>
      </c>
      <c r="C197" s="40" t="str">
        <f>'Material Rates_Master'!B31</f>
        <v>ea</v>
      </c>
      <c r="D197" s="240">
        <v>1</v>
      </c>
      <c r="E197" s="48">
        <f>'Material Rates_Master'!D31*$M$16</f>
        <v>281.67180000000002</v>
      </c>
      <c r="F197" s="48">
        <f t="shared" si="10"/>
        <v>281.67180000000002</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284</v>
      </c>
      <c r="C199" s="40" t="str">
        <f>'Material Rates_Master'!B33</f>
        <v>ea</v>
      </c>
      <c r="E199" s="48">
        <f>'Material Rates_Master'!D33*$M$16</f>
        <v>435.67979999999994</v>
      </c>
      <c r="F199" s="48">
        <f t="shared" si="10"/>
        <v>0</v>
      </c>
      <c r="H199" s="20"/>
    </row>
    <row r="200" spans="1:8" x14ac:dyDescent="0.2">
      <c r="A200" s="40"/>
      <c r="B200" s="1" t="s">
        <v>285</v>
      </c>
      <c r="C200" s="40" t="str">
        <f>'Material Rates_Master'!B34</f>
        <v>ea</v>
      </c>
      <c r="E200" s="48">
        <f>'Material Rates_Master'!D34*$M$16</f>
        <v>277.97339999999997</v>
      </c>
      <c r="F200" s="48">
        <f t="shared" si="10"/>
        <v>0</v>
      </c>
      <c r="H200" s="20"/>
    </row>
    <row r="201" spans="1:8" x14ac:dyDescent="0.2">
      <c r="A201" s="40"/>
      <c r="B201" s="300" t="s">
        <v>286</v>
      </c>
      <c r="C201" s="40" t="str">
        <f>'Material Rates_Master'!B35</f>
        <v>ea</v>
      </c>
      <c r="D201" s="240"/>
      <c r="E201" s="48">
        <f>'Material Rates_Master'!D35*$M$16</f>
        <v>94.5852</v>
      </c>
      <c r="F201" s="48">
        <f t="shared" si="10"/>
        <v>0</v>
      </c>
      <c r="H201" s="20"/>
    </row>
    <row r="202" spans="1:8" x14ac:dyDescent="0.2">
      <c r="A202" s="40"/>
      <c r="B202" s="300" t="s">
        <v>287</v>
      </c>
      <c r="C202" s="40" t="str">
        <f>'Material Rates_Master'!B36</f>
        <v>ea</v>
      </c>
      <c r="D202" s="240"/>
      <c r="E202" s="48">
        <f>'Material Rates_Master'!D36*$M$16</f>
        <v>88.954799999999977</v>
      </c>
      <c r="F202" s="48">
        <f t="shared" si="10"/>
        <v>0</v>
      </c>
      <c r="H202" s="20"/>
    </row>
    <row r="203" spans="1:8" x14ac:dyDescent="0.2">
      <c r="A203" s="40"/>
      <c r="B203" s="300" t="s">
        <v>288</v>
      </c>
      <c r="C203" s="40" t="str">
        <f>'Material Rates_Master'!B37</f>
        <v>ea</v>
      </c>
      <c r="D203" s="240"/>
      <c r="E203" s="48">
        <f>'Material Rates_Master'!D37*$M$16</f>
        <v>53.488799999999991</v>
      </c>
      <c r="F203" s="48">
        <f t="shared" si="10"/>
        <v>0</v>
      </c>
      <c r="H203" s="20"/>
    </row>
    <row r="204" spans="1:8" x14ac:dyDescent="0.2">
      <c r="A204" s="40"/>
      <c r="B204" s="300" t="s">
        <v>289</v>
      </c>
      <c r="C204" s="40" t="str">
        <f>'Material Rates_Master'!B38</f>
        <v>ea</v>
      </c>
      <c r="D204" s="240"/>
      <c r="E204" s="48">
        <f>'Material Rates_Master'!D38*$M$16</f>
        <v>118.91459999999999</v>
      </c>
      <c r="F204" s="48">
        <f t="shared" si="10"/>
        <v>0</v>
      </c>
      <c r="H204" s="20"/>
    </row>
    <row r="205" spans="1:8" x14ac:dyDescent="0.2">
      <c r="A205" s="40"/>
      <c r="B205" s="300" t="s">
        <v>290</v>
      </c>
      <c r="C205" s="40" t="str">
        <f>'Material Rates_Master'!B39</f>
        <v>ea</v>
      </c>
      <c r="D205" s="240"/>
      <c r="E205" s="48">
        <f>'Material Rates_Master'!D39*$M$16</f>
        <v>93.991799999999998</v>
      </c>
      <c r="F205" s="48">
        <f t="shared" si="10"/>
        <v>0</v>
      </c>
      <c r="H205" s="20"/>
    </row>
    <row r="206" spans="1:8" x14ac:dyDescent="0.2">
      <c r="A206" s="40"/>
      <c r="B206" s="300" t="s">
        <v>291</v>
      </c>
      <c r="C206" s="40" t="str">
        <f>'Material Rates_Master'!B40</f>
        <v>ea</v>
      </c>
      <c r="D206" s="240"/>
      <c r="E206" s="48">
        <f>'Material Rates_Master'!D40*$M$16</f>
        <v>43.676999999999992</v>
      </c>
      <c r="F206" s="48">
        <f t="shared" si="10"/>
        <v>0</v>
      </c>
      <c r="H206" s="20"/>
    </row>
    <row r="207" spans="1:8" x14ac:dyDescent="0.2">
      <c r="A207" s="40"/>
      <c r="B207" s="300" t="s">
        <v>292</v>
      </c>
      <c r="C207" s="40" t="str">
        <f>'Material Rates_Master'!B41</f>
        <v>ea</v>
      </c>
      <c r="D207" s="240"/>
      <c r="E207" s="48">
        <f>'Material Rates_Master'!D41*$M$16</f>
        <v>176.14319999999998</v>
      </c>
      <c r="F207" s="48">
        <f t="shared" si="10"/>
        <v>0</v>
      </c>
      <c r="H207" s="20"/>
    </row>
    <row r="208" spans="1:8" x14ac:dyDescent="0.2">
      <c r="A208" s="40"/>
      <c r="B208" s="300" t="s">
        <v>293</v>
      </c>
      <c r="C208" s="40" t="str">
        <f>'Material Rates_Master'!B42</f>
        <v>ea</v>
      </c>
      <c r="D208" s="240"/>
      <c r="E208" s="48">
        <f>'Material Rates_Master'!D42*$M$16</f>
        <v>157.62359999999998</v>
      </c>
      <c r="F208" s="48">
        <f t="shared" si="10"/>
        <v>0</v>
      </c>
      <c r="H208" s="20"/>
    </row>
    <row r="209" spans="1:8" x14ac:dyDescent="0.2">
      <c r="A209" s="40"/>
      <c r="B209" s="300" t="s">
        <v>294</v>
      </c>
      <c r="C209" s="40" t="str">
        <f>'Material Rates_Master'!B43</f>
        <v>ea</v>
      </c>
      <c r="D209" s="240"/>
      <c r="E209" s="48">
        <f>'Material Rates_Master'!D43*$M$16</f>
        <v>52.798799999999993</v>
      </c>
      <c r="F209" s="48">
        <f t="shared" si="10"/>
        <v>0</v>
      </c>
      <c r="H209" s="20"/>
    </row>
    <row r="210" spans="1:8" x14ac:dyDescent="0.2">
      <c r="A210" s="40"/>
      <c r="B210" s="300" t="s">
        <v>295</v>
      </c>
      <c r="C210" s="40" t="str">
        <f>'Material Rates_Master'!B44</f>
        <v>ea</v>
      </c>
      <c r="D210" s="240"/>
      <c r="E210" s="48">
        <f>'Material Rates_Master'!D44*$M$16</f>
        <v>253.20239999999995</v>
      </c>
      <c r="F210" s="48">
        <f t="shared" si="10"/>
        <v>0</v>
      </c>
      <c r="H210" s="20"/>
    </row>
    <row r="211" spans="1:8" x14ac:dyDescent="0.2">
      <c r="A211" s="40"/>
      <c r="B211" s="300" t="s">
        <v>296</v>
      </c>
      <c r="C211" s="40" t="str">
        <f>'Material Rates_Master'!B45</f>
        <v>ea</v>
      </c>
      <c r="D211" s="240"/>
      <c r="E211" s="48">
        <f>'Material Rates_Master'!D45*$M$16</f>
        <v>265.55340000000001</v>
      </c>
      <c r="F211" s="48">
        <f t="shared" si="10"/>
        <v>0</v>
      </c>
      <c r="H211" s="20"/>
    </row>
    <row r="212" spans="1:8" x14ac:dyDescent="0.2">
      <c r="A212" s="40"/>
      <c r="B212" s="300" t="s">
        <v>297</v>
      </c>
      <c r="C212" s="40" t="str">
        <f>'Material Rates_Master'!B46</f>
        <v>ea</v>
      </c>
      <c r="D212" s="240"/>
      <c r="E212" s="48">
        <f>'Material Rates_Master'!D46*$M$16</f>
        <v>256.27979999999997</v>
      </c>
      <c r="F212" s="48">
        <f t="shared" si="10"/>
        <v>0</v>
      </c>
      <c r="H212" s="20"/>
    </row>
    <row r="213" spans="1:8" x14ac:dyDescent="0.2">
      <c r="A213" s="40"/>
      <c r="B213" s="300" t="s">
        <v>298</v>
      </c>
      <c r="C213" s="40" t="str">
        <f>'Material Rates_Master'!B47</f>
        <v>ea</v>
      </c>
      <c r="D213" s="240"/>
      <c r="E213" s="48">
        <f>'Material Rates_Master'!D47*$M$16</f>
        <v>77.059200000000004</v>
      </c>
      <c r="F213" s="48">
        <f t="shared" si="10"/>
        <v>0</v>
      </c>
      <c r="H213" s="20"/>
    </row>
    <row r="214" spans="1:8" x14ac:dyDescent="0.2">
      <c r="A214" s="40"/>
      <c r="B214" s="300" t="s">
        <v>299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302</v>
      </c>
      <c r="C216" s="40" t="str">
        <f>'Material Rates_Master'!B50</f>
        <v>ea</v>
      </c>
      <c r="D216" s="240"/>
      <c r="E216" s="48">
        <f>'Material Rates_Master'!D50</f>
        <v>679.41</v>
      </c>
      <c r="F216" s="48">
        <f t="shared" si="10"/>
        <v>0</v>
      </c>
    </row>
    <row r="217" spans="1:8" x14ac:dyDescent="0.2">
      <c r="A217" s="40"/>
      <c r="B217" s="300" t="s">
        <v>303</v>
      </c>
      <c r="C217" s="40" t="str">
        <f>'Material Rates_Master'!B51</f>
        <v>ea</v>
      </c>
      <c r="D217" s="240"/>
      <c r="E217" s="48">
        <f>'Material Rates_Master'!D51</f>
        <v>323.52999999999997</v>
      </c>
      <c r="F217" s="48">
        <f t="shared" si="10"/>
        <v>0</v>
      </c>
    </row>
    <row r="218" spans="1:8" x14ac:dyDescent="0.2">
      <c r="A218" s="40"/>
      <c r="B218" s="300" t="s">
        <v>304</v>
      </c>
      <c r="C218" s="40" t="str">
        <f>'Material Rates_Master'!B52</f>
        <v>ea</v>
      </c>
      <c r="D218" s="240"/>
      <c r="E218" s="48">
        <f>'Material Rates_Master'!D52</f>
        <v>202.94</v>
      </c>
      <c r="F218" s="48">
        <f t="shared" si="10"/>
        <v>0</v>
      </c>
    </row>
    <row r="219" spans="1:8" x14ac:dyDescent="0.2">
      <c r="A219" s="40"/>
      <c r="B219" s="300" t="s">
        <v>305</v>
      </c>
      <c r="C219" s="40" t="str">
        <f>'Material Rates_Master'!B53</f>
        <v>ea</v>
      </c>
      <c r="D219" s="240"/>
      <c r="E219" s="48">
        <f>'Material Rates_Master'!D53</f>
        <v>136.94</v>
      </c>
      <c r="F219" s="48">
        <f t="shared" si="10"/>
        <v>0</v>
      </c>
    </row>
    <row r="220" spans="1:8" x14ac:dyDescent="0.2">
      <c r="A220" s="40"/>
      <c r="B220" s="300" t="s">
        <v>306</v>
      </c>
      <c r="C220" s="40" t="str">
        <f>'Material Rates_Master'!B54</f>
        <v>ea</v>
      </c>
      <c r="D220" s="240"/>
      <c r="E220" s="48">
        <f>'Material Rates_Master'!D54</f>
        <v>123.53</v>
      </c>
      <c r="F220" s="48">
        <f t="shared" si="10"/>
        <v>0</v>
      </c>
    </row>
    <row r="221" spans="1:8" x14ac:dyDescent="0.2">
      <c r="A221" s="40"/>
      <c r="B221" s="300" t="s">
        <v>307</v>
      </c>
      <c r="C221" s="40" t="str">
        <f>'Material Rates_Master'!B55</f>
        <v>ea</v>
      </c>
      <c r="D221" s="240"/>
      <c r="E221" s="48">
        <f>'Material Rates_Master'!D55</f>
        <v>98.82</v>
      </c>
      <c r="F221" s="48">
        <f t="shared" si="10"/>
        <v>0</v>
      </c>
    </row>
    <row r="222" spans="1:8" ht="4.95" customHeight="1" x14ac:dyDescent="0.2">
      <c r="A222" s="40"/>
      <c r="B222" s="300"/>
      <c r="C222" s="40">
        <f>'Material Rates_Master'!B56</f>
        <v>0</v>
      </c>
      <c r="E222" s="48">
        <f>'Material Rates_Master'!D56</f>
        <v>0</v>
      </c>
      <c r="F222" s="48">
        <f t="shared" si="10"/>
        <v>0</v>
      </c>
    </row>
    <row r="223" spans="1:8" x14ac:dyDescent="0.2">
      <c r="A223" s="40"/>
      <c r="B223" s="300" t="s">
        <v>308</v>
      </c>
      <c r="C223" s="40" t="str">
        <f>'Material Rates_Master'!B57</f>
        <v>ea</v>
      </c>
      <c r="D223" s="240"/>
      <c r="E223" s="48">
        <f>'Material Rates_Master'!D57</f>
        <v>291.18</v>
      </c>
      <c r="F223" s="48">
        <f t="shared" si="10"/>
        <v>0</v>
      </c>
    </row>
    <row r="224" spans="1:8" x14ac:dyDescent="0.2">
      <c r="A224" s="40"/>
      <c r="B224" s="300" t="s">
        <v>309</v>
      </c>
      <c r="C224" s="40" t="str">
        <f>'Material Rates_Master'!B58</f>
        <v>ea</v>
      </c>
      <c r="D224" s="240"/>
      <c r="E224" s="48">
        <f>'Material Rates_Master'!D58</f>
        <v>330</v>
      </c>
      <c r="F224" s="48">
        <f t="shared" si="10"/>
        <v>0</v>
      </c>
    </row>
    <row r="225" spans="1:6" x14ac:dyDescent="0.2">
      <c r="A225" s="40"/>
      <c r="B225" s="300" t="s">
        <v>310</v>
      </c>
      <c r="C225" s="40" t="str">
        <f>'Material Rates_Master'!B59</f>
        <v>ea</v>
      </c>
      <c r="D225" s="240"/>
      <c r="E225" s="48">
        <f>'Material Rates_Master'!D59</f>
        <v>156</v>
      </c>
      <c r="F225" s="48">
        <f t="shared" si="10"/>
        <v>0</v>
      </c>
    </row>
    <row r="226" spans="1:6" x14ac:dyDescent="0.2">
      <c r="A226" s="40"/>
      <c r="B226" s="300" t="s">
        <v>311</v>
      </c>
      <c r="C226" s="40" t="str">
        <f>'Material Rates_Master'!B60</f>
        <v>ea</v>
      </c>
      <c r="D226" s="240"/>
      <c r="E226" s="48">
        <f>'Material Rates_Master'!D60</f>
        <v>106.24</v>
      </c>
      <c r="F226" s="48">
        <f t="shared" si="10"/>
        <v>0</v>
      </c>
    </row>
    <row r="227" spans="1:6" x14ac:dyDescent="0.2">
      <c r="A227" s="40"/>
      <c r="B227" s="300" t="s">
        <v>312</v>
      </c>
      <c r="C227" s="40" t="str">
        <f>'Material Rates_Master'!B61</f>
        <v>ea</v>
      </c>
      <c r="D227" s="240"/>
      <c r="E227" s="48">
        <f>'Material Rates_Master'!D61</f>
        <v>70.59</v>
      </c>
      <c r="F227" s="48">
        <f t="shared" si="10"/>
        <v>0</v>
      </c>
    </row>
    <row r="228" spans="1:6" x14ac:dyDescent="0.2">
      <c r="A228" s="40"/>
      <c r="B228" s="300" t="s">
        <v>313</v>
      </c>
      <c r="C228" s="40" t="str">
        <f>'Material Rates_Master'!B62</f>
        <v>ea</v>
      </c>
      <c r="D228" s="240"/>
      <c r="E228" s="48">
        <f>'Material Rates_Master'!D62</f>
        <v>516.35</v>
      </c>
      <c r="F228" s="48">
        <f t="shared" si="10"/>
        <v>0</v>
      </c>
    </row>
    <row r="229" spans="1:6" x14ac:dyDescent="0.2">
      <c r="A229" s="40"/>
      <c r="B229" s="300" t="s">
        <v>314</v>
      </c>
      <c r="C229" s="40" t="str">
        <f>'Material Rates_Master'!B63</f>
        <v>ea</v>
      </c>
      <c r="D229" s="240"/>
      <c r="E229" s="48">
        <f>'Material Rates_Master'!D63</f>
        <v>198.88</v>
      </c>
      <c r="F229" s="48">
        <f t="shared" si="10"/>
        <v>0</v>
      </c>
    </row>
    <row r="230" spans="1:6" x14ac:dyDescent="0.2">
      <c r="A230" s="40"/>
      <c r="B230" s="300" t="s">
        <v>315</v>
      </c>
      <c r="C230" s="40" t="str">
        <f>'Material Rates_Master'!B64</f>
        <v>ea</v>
      </c>
      <c r="D230" s="240"/>
      <c r="E230" s="48">
        <f>'Material Rates_Master'!D64</f>
        <v>108.71</v>
      </c>
      <c r="F230" s="48">
        <f t="shared" si="10"/>
        <v>0</v>
      </c>
    </row>
    <row r="231" spans="1:6" x14ac:dyDescent="0.2">
      <c r="A231" s="40"/>
      <c r="B231" s="300" t="s">
        <v>316</v>
      </c>
      <c r="C231" s="40" t="str">
        <f>'Material Rates_Master'!B65</f>
        <v>ea</v>
      </c>
      <c r="D231" s="240"/>
      <c r="E231" s="48">
        <f>'Material Rates_Master'!D65</f>
        <v>672.65</v>
      </c>
      <c r="F231" s="48">
        <f t="shared" si="10"/>
        <v>0</v>
      </c>
    </row>
    <row r="232" spans="1:6" x14ac:dyDescent="0.2">
      <c r="A232" s="40"/>
      <c r="B232" s="300" t="s">
        <v>317</v>
      </c>
      <c r="C232" s="40" t="str">
        <f>'Material Rates_Master'!B66</f>
        <v>ea</v>
      </c>
      <c r="D232" s="240"/>
      <c r="E232" s="48">
        <f>'Material Rates_Master'!D66</f>
        <v>228.24</v>
      </c>
      <c r="F232" s="48">
        <f t="shared" si="10"/>
        <v>0</v>
      </c>
    </row>
    <row r="233" spans="1:6" x14ac:dyDescent="0.2">
      <c r="A233" s="40"/>
      <c r="B233" s="300" t="s">
        <v>318</v>
      </c>
      <c r="C233" s="40" t="str">
        <f>'Material Rates_Master'!B67</f>
        <v>ea</v>
      </c>
      <c r="D233" s="240"/>
      <c r="E233" s="48">
        <f>'Material Rates_Master'!D67</f>
        <v>128.24</v>
      </c>
      <c r="F233" s="48">
        <f t="shared" si="10"/>
        <v>0</v>
      </c>
    </row>
    <row r="234" spans="1:6" x14ac:dyDescent="0.2">
      <c r="A234" s="40"/>
      <c r="B234" s="300" t="s">
        <v>319</v>
      </c>
      <c r="C234" s="40" t="str">
        <f>'Material Rates_Master'!B68</f>
        <v>ea</v>
      </c>
      <c r="D234" s="240"/>
      <c r="E234" s="48">
        <f>'Material Rates_Master'!D68</f>
        <v>536.76</v>
      </c>
      <c r="F234" s="48">
        <f t="shared" si="10"/>
        <v>0</v>
      </c>
    </row>
    <row r="235" spans="1:6" x14ac:dyDescent="0.2">
      <c r="A235" s="40"/>
      <c r="B235" s="300" t="s">
        <v>320</v>
      </c>
      <c r="C235" s="40" t="str">
        <f>'Material Rates_Master'!B69</f>
        <v>ea</v>
      </c>
      <c r="D235" s="240"/>
      <c r="E235" s="48">
        <f>'Material Rates_Master'!D69</f>
        <v>576.47</v>
      </c>
      <c r="F235" s="48">
        <f t="shared" ref="F235:F298" si="11">E235*D235</f>
        <v>0</v>
      </c>
    </row>
    <row r="236" spans="1:6" x14ac:dyDescent="0.2">
      <c r="A236" s="40"/>
      <c r="B236" s="300" t="s">
        <v>321</v>
      </c>
      <c r="C236" s="40" t="str">
        <f>'Material Rates_Master'!B70</f>
        <v>ea</v>
      </c>
      <c r="D236" s="240"/>
      <c r="E236" s="48">
        <f>'Material Rates_Master'!D70</f>
        <v>198.82</v>
      </c>
      <c r="F236" s="48">
        <f t="shared" si="11"/>
        <v>0</v>
      </c>
    </row>
    <row r="237" spans="1:6" x14ac:dyDescent="0.2">
      <c r="A237" s="40"/>
      <c r="B237" s="300" t="s">
        <v>322</v>
      </c>
      <c r="C237" s="40" t="str">
        <f>'Material Rates_Master'!B71</f>
        <v>ea</v>
      </c>
      <c r="D237" s="240"/>
      <c r="E237" s="48">
        <f>'Material Rates_Master'!D71</f>
        <v>898.82</v>
      </c>
      <c r="F237" s="48">
        <f t="shared" si="11"/>
        <v>0</v>
      </c>
    </row>
    <row r="238" spans="1:6" x14ac:dyDescent="0.2">
      <c r="A238" s="40"/>
      <c r="B238" s="300" t="s">
        <v>323</v>
      </c>
      <c r="C238" s="40" t="str">
        <f>'Material Rates_Master'!B72</f>
        <v>ea</v>
      </c>
      <c r="D238" s="240"/>
      <c r="E238" s="48">
        <f>'Material Rates_Master'!D72</f>
        <v>640</v>
      </c>
      <c r="F238" s="48">
        <f t="shared" si="11"/>
        <v>0</v>
      </c>
    </row>
    <row r="239" spans="1:6" x14ac:dyDescent="0.2">
      <c r="A239" s="40"/>
      <c r="B239" s="300" t="s">
        <v>324</v>
      </c>
      <c r="C239" s="40" t="str">
        <f>'Material Rates_Master'!B73</f>
        <v>ea</v>
      </c>
      <c r="D239" s="240"/>
      <c r="E239" s="48">
        <f>'Material Rates_Master'!D73</f>
        <v>355.29</v>
      </c>
      <c r="F239" s="48">
        <f t="shared" si="11"/>
        <v>0</v>
      </c>
    </row>
    <row r="240" spans="1:6" x14ac:dyDescent="0.2">
      <c r="A240" s="40"/>
      <c r="B240" s="300" t="s">
        <v>325</v>
      </c>
      <c r="C240" s="40" t="str">
        <f>'Material Rates_Master'!B74</f>
        <v>ea</v>
      </c>
      <c r="D240" s="240"/>
      <c r="E240" s="48">
        <f>'Material Rates_Master'!D74</f>
        <v>534.41</v>
      </c>
      <c r="F240" s="48">
        <f t="shared" si="11"/>
        <v>0</v>
      </c>
    </row>
    <row r="241" spans="1:6" x14ac:dyDescent="0.2">
      <c r="A241" s="40"/>
      <c r="B241" s="300" t="s">
        <v>326</v>
      </c>
      <c r="C241" s="40" t="str">
        <f>'Material Rates_Master'!B75</f>
        <v>ea</v>
      </c>
      <c r="D241" s="240"/>
      <c r="E241" s="48">
        <f>'Material Rates_Master'!D75</f>
        <v>280</v>
      </c>
      <c r="F241" s="48">
        <f t="shared" si="11"/>
        <v>0</v>
      </c>
    </row>
    <row r="242" spans="1:6" x14ac:dyDescent="0.2">
      <c r="A242" s="40"/>
      <c r="B242" s="300" t="s">
        <v>327</v>
      </c>
      <c r="C242" s="40" t="str">
        <f>'Material Rates_Master'!B76</f>
        <v>ea</v>
      </c>
      <c r="D242" s="240"/>
      <c r="E242" s="48">
        <f>'Material Rates_Master'!D76</f>
        <v>236.47</v>
      </c>
      <c r="F242" s="48">
        <f t="shared" si="11"/>
        <v>0</v>
      </c>
    </row>
    <row r="243" spans="1:6" x14ac:dyDescent="0.2">
      <c r="A243" s="40"/>
      <c r="B243" s="300" t="s">
        <v>328</v>
      </c>
      <c r="C243" s="40" t="str">
        <f>'Material Rates_Master'!B77</f>
        <v>ea</v>
      </c>
      <c r="D243" s="240"/>
      <c r="E243" s="48">
        <f>'Material Rates_Master'!D77</f>
        <v>178.8</v>
      </c>
      <c r="F243" s="48">
        <f t="shared" si="11"/>
        <v>0</v>
      </c>
    </row>
    <row r="244" spans="1:6" x14ac:dyDescent="0.2">
      <c r="A244" s="40"/>
      <c r="B244" s="300" t="s">
        <v>329</v>
      </c>
      <c r="C244" s="40" t="str">
        <f>'Material Rates_Master'!B78</f>
        <v>ea</v>
      </c>
      <c r="D244" s="240"/>
      <c r="E244" s="48">
        <f>'Material Rates_Master'!D78</f>
        <v>362.35</v>
      </c>
      <c r="F244" s="48">
        <f t="shared" si="11"/>
        <v>0</v>
      </c>
    </row>
    <row r="245" spans="1:6" x14ac:dyDescent="0.2">
      <c r="A245" s="40"/>
      <c r="B245" s="300" t="s">
        <v>330</v>
      </c>
      <c r="C245" s="40" t="str">
        <f>'Material Rates_Master'!B79</f>
        <v>ea</v>
      </c>
      <c r="D245" s="240"/>
      <c r="E245" s="48">
        <f>'Material Rates_Master'!D79</f>
        <v>144.71</v>
      </c>
      <c r="F245" s="48">
        <f t="shared" si="11"/>
        <v>0</v>
      </c>
    </row>
    <row r="246" spans="1:6" x14ac:dyDescent="0.2">
      <c r="A246" s="40"/>
      <c r="B246" s="300" t="s">
        <v>331</v>
      </c>
      <c r="C246" s="40" t="str">
        <f>'Material Rates_Master'!B80</f>
        <v>ea</v>
      </c>
      <c r="D246" s="240"/>
      <c r="E246" s="48">
        <f>'Material Rates_Master'!D80</f>
        <v>135.88</v>
      </c>
      <c r="F246" s="48">
        <f t="shared" si="11"/>
        <v>0</v>
      </c>
    </row>
    <row r="247" spans="1:6" x14ac:dyDescent="0.2">
      <c r="A247" s="40"/>
      <c r="B247" s="300" t="s">
        <v>332</v>
      </c>
      <c r="C247" s="40" t="str">
        <f>'Material Rates_Master'!B81</f>
        <v>ea</v>
      </c>
      <c r="D247" s="240"/>
      <c r="E247" s="48">
        <f>'Material Rates_Master'!D81</f>
        <v>76.47</v>
      </c>
      <c r="F247" s="48">
        <f t="shared" si="11"/>
        <v>0</v>
      </c>
    </row>
    <row r="248" spans="1:6" x14ac:dyDescent="0.2">
      <c r="A248" s="40"/>
      <c r="B248" s="300" t="s">
        <v>333</v>
      </c>
      <c r="C248" s="40" t="str">
        <f>'Material Rates_Master'!B82</f>
        <v>ea</v>
      </c>
      <c r="D248" s="240"/>
      <c r="E248" s="48">
        <f>'Material Rates_Master'!D82</f>
        <v>67.650000000000006</v>
      </c>
      <c r="F248" s="48">
        <f t="shared" si="11"/>
        <v>0</v>
      </c>
    </row>
    <row r="249" spans="1:6" x14ac:dyDescent="0.2">
      <c r="A249" s="40"/>
      <c r="B249" s="300" t="s">
        <v>334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335</v>
      </c>
      <c r="C251" s="40" t="str">
        <f>'Material Rates_Master'!B85</f>
        <v>ea</v>
      </c>
      <c r="D251" s="240"/>
      <c r="E251" s="48">
        <f>'Material Rates_Master'!D85</f>
        <v>67.06</v>
      </c>
      <c r="F251" s="48">
        <f t="shared" si="11"/>
        <v>0</v>
      </c>
    </row>
    <row r="252" spans="1:6" x14ac:dyDescent="0.2">
      <c r="A252" s="40"/>
      <c r="B252" s="300" t="s">
        <v>336</v>
      </c>
      <c r="C252" s="40" t="str">
        <f>'Material Rates_Master'!B86</f>
        <v>ea</v>
      </c>
      <c r="D252" s="240"/>
      <c r="E252" s="48">
        <f>'Material Rates_Master'!D86</f>
        <v>46.71</v>
      </c>
      <c r="F252" s="48">
        <f t="shared" si="11"/>
        <v>0</v>
      </c>
    </row>
    <row r="253" spans="1:6" x14ac:dyDescent="0.2">
      <c r="A253" s="40"/>
      <c r="B253" s="300" t="s">
        <v>337</v>
      </c>
      <c r="C253" s="40" t="str">
        <f>'Material Rates_Master'!B87</f>
        <v>ea</v>
      </c>
      <c r="D253" s="240"/>
      <c r="E253" s="48">
        <f>'Material Rates_Master'!D87</f>
        <v>60</v>
      </c>
      <c r="F253" s="48">
        <f t="shared" si="11"/>
        <v>0</v>
      </c>
    </row>
    <row r="254" spans="1:6" x14ac:dyDescent="0.2">
      <c r="A254" s="40"/>
      <c r="B254" s="300" t="s">
        <v>338</v>
      </c>
      <c r="C254" s="40" t="str">
        <f>'Material Rates_Master'!B88</f>
        <v>ea</v>
      </c>
      <c r="D254" s="240"/>
      <c r="E254" s="48">
        <f>'Material Rates_Master'!D88</f>
        <v>42.35</v>
      </c>
      <c r="F254" s="48">
        <f t="shared" si="11"/>
        <v>0</v>
      </c>
    </row>
    <row r="255" spans="1:6" x14ac:dyDescent="0.2">
      <c r="A255" s="40"/>
      <c r="B255" s="300" t="s">
        <v>339</v>
      </c>
      <c r="C255" s="40" t="str">
        <f>'Material Rates_Master'!B89</f>
        <v>ea</v>
      </c>
      <c r="D255" s="240"/>
      <c r="E255" s="48">
        <f>'Material Rates_Master'!D89</f>
        <v>24.71</v>
      </c>
      <c r="F255" s="48">
        <f t="shared" si="11"/>
        <v>0</v>
      </c>
    </row>
    <row r="256" spans="1:6" x14ac:dyDescent="0.2">
      <c r="A256" s="40"/>
      <c r="B256" s="300" t="s">
        <v>340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341</v>
      </c>
      <c r="C258" s="40" t="str">
        <f>'Material Rates_Master'!B92</f>
        <v>ea</v>
      </c>
      <c r="D258" s="240"/>
      <c r="E258" s="48">
        <f>'Material Rates_Master'!D92</f>
        <v>108.71</v>
      </c>
      <c r="F258" s="48">
        <f t="shared" si="11"/>
        <v>0</v>
      </c>
    </row>
    <row r="259" spans="1:6" x14ac:dyDescent="0.2">
      <c r="A259" s="40"/>
      <c r="B259" s="300" t="s">
        <v>342</v>
      </c>
      <c r="C259" s="40" t="str">
        <f>'Material Rates_Master'!B93</f>
        <v>ea</v>
      </c>
      <c r="D259" s="240"/>
      <c r="E259" s="48">
        <f>'Material Rates_Master'!D93</f>
        <v>87.06</v>
      </c>
      <c r="F259" s="48">
        <f t="shared" si="11"/>
        <v>0</v>
      </c>
    </row>
    <row r="260" spans="1:6" x14ac:dyDescent="0.2">
      <c r="A260" s="40"/>
      <c r="B260" s="300" t="s">
        <v>343</v>
      </c>
      <c r="C260" s="40" t="str">
        <f>'Material Rates_Master'!B94</f>
        <v>ea</v>
      </c>
      <c r="D260" s="240"/>
      <c r="E260" s="48">
        <f>'Material Rates_Master'!D94</f>
        <v>305.88</v>
      </c>
      <c r="F260" s="48">
        <f t="shared" si="11"/>
        <v>0</v>
      </c>
    </row>
    <row r="261" spans="1:6" x14ac:dyDescent="0.2">
      <c r="A261" s="40"/>
      <c r="B261" s="300" t="s">
        <v>344</v>
      </c>
      <c r="C261" s="40" t="str">
        <f>'Material Rates_Master'!B95</f>
        <v>ea</v>
      </c>
      <c r="D261" s="240"/>
      <c r="E261" s="48">
        <f>'Material Rates_Master'!D95</f>
        <v>182.35</v>
      </c>
      <c r="F261" s="48">
        <f t="shared" si="11"/>
        <v>0</v>
      </c>
    </row>
    <row r="262" spans="1:6" x14ac:dyDescent="0.2">
      <c r="A262" s="40"/>
      <c r="B262" s="300" t="s">
        <v>345</v>
      </c>
      <c r="C262" s="40" t="str">
        <f>'Material Rates_Master'!B96</f>
        <v>ea</v>
      </c>
      <c r="D262" s="240"/>
      <c r="E262" s="48">
        <f>'Material Rates_Master'!D96</f>
        <v>229.41</v>
      </c>
      <c r="F262" s="48">
        <f t="shared" si="11"/>
        <v>0</v>
      </c>
    </row>
    <row r="263" spans="1:6" x14ac:dyDescent="0.2">
      <c r="A263" s="40"/>
      <c r="B263" s="300" t="s">
        <v>346</v>
      </c>
      <c r="C263" s="40" t="str">
        <f>'Material Rates_Master'!B97</f>
        <v>ea</v>
      </c>
      <c r="D263" s="240"/>
      <c r="E263" s="48">
        <f>'Material Rates_Master'!D97</f>
        <v>152.94</v>
      </c>
      <c r="F263" s="48">
        <f t="shared" si="11"/>
        <v>0</v>
      </c>
    </row>
    <row r="264" spans="1:6" x14ac:dyDescent="0.2">
      <c r="A264" s="40"/>
      <c r="B264" s="300" t="s">
        <v>347</v>
      </c>
      <c r="C264" s="40" t="str">
        <f>'Material Rates_Master'!B98</f>
        <v>ea</v>
      </c>
      <c r="D264" s="240"/>
      <c r="E264" s="48">
        <f>'Material Rates_Master'!D98</f>
        <v>690</v>
      </c>
      <c r="F264" s="48">
        <f t="shared" si="11"/>
        <v>0</v>
      </c>
    </row>
    <row r="265" spans="1:6" x14ac:dyDescent="0.2">
      <c r="A265" s="40"/>
      <c r="B265" s="300" t="s">
        <v>348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349</v>
      </c>
      <c r="C267" s="40" t="str">
        <f>'Material Rates_Master'!B101</f>
        <v>ea</v>
      </c>
      <c r="D267" s="240"/>
      <c r="E267" s="48">
        <f>'Material Rates_Master'!D101</f>
        <v>90</v>
      </c>
      <c r="F267" s="48">
        <f t="shared" si="11"/>
        <v>0</v>
      </c>
    </row>
    <row r="268" spans="1:6" x14ac:dyDescent="0.2">
      <c r="A268" s="40"/>
      <c r="B268" s="300" t="s">
        <v>350</v>
      </c>
      <c r="C268" s="40" t="str">
        <f>'Material Rates_Master'!B102</f>
        <v>ea</v>
      </c>
      <c r="D268" s="240"/>
      <c r="E268" s="48">
        <f>'Material Rates_Master'!D102</f>
        <v>13.5</v>
      </c>
      <c r="F268" s="48">
        <f t="shared" si="11"/>
        <v>0</v>
      </c>
    </row>
    <row r="269" spans="1:6" x14ac:dyDescent="0.2">
      <c r="A269" s="40"/>
      <c r="B269" s="300" t="s">
        <v>351</v>
      </c>
      <c r="C269" s="40" t="str">
        <f>'Material Rates_Master'!B103</f>
        <v>ea</v>
      </c>
      <c r="D269" s="240"/>
      <c r="E269" s="48">
        <f>'Material Rates_Master'!D103</f>
        <v>27.14</v>
      </c>
      <c r="F269" s="48">
        <f t="shared" si="11"/>
        <v>0</v>
      </c>
    </row>
    <row r="270" spans="1:6" x14ac:dyDescent="0.2">
      <c r="A270" s="40"/>
      <c r="B270" s="300" t="s">
        <v>352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353</v>
      </c>
      <c r="E272" s="48"/>
      <c r="F272" s="48">
        <f t="shared" si="11"/>
        <v>0</v>
      </c>
    </row>
    <row r="273" spans="1:6" x14ac:dyDescent="0.2">
      <c r="A273" s="40"/>
      <c r="B273" s="301" t="s">
        <v>354</v>
      </c>
      <c r="C273" s="40" t="str">
        <f>'Material Rates_Master'!B107</f>
        <v>Unit</v>
      </c>
      <c r="E273" s="48"/>
      <c r="F273" s="48"/>
    </row>
    <row r="274" spans="1:6" x14ac:dyDescent="0.2">
      <c r="A274" s="40"/>
      <c r="B274" s="300" t="s">
        <v>355</v>
      </c>
      <c r="C274" s="40" t="str">
        <f>'Material Rates_Master'!B108</f>
        <v>m</v>
      </c>
      <c r="D274" s="37"/>
      <c r="E274" s="48">
        <f>'Material Rates_Master'!D108</f>
        <v>43.846153846153847</v>
      </c>
      <c r="F274" s="48">
        <f t="shared" si="11"/>
        <v>0</v>
      </c>
    </row>
    <row r="275" spans="1:6" x14ac:dyDescent="0.2">
      <c r="A275" s="40"/>
      <c r="B275" s="300" t="s">
        <v>356</v>
      </c>
      <c r="C275" s="40" t="str">
        <f>'Material Rates_Master'!B109</f>
        <v>m</v>
      </c>
      <c r="D275" s="37"/>
      <c r="E275" s="48">
        <f>'Material Rates_Master'!D109</f>
        <v>28.46153846153846</v>
      </c>
      <c r="F275" s="48">
        <f t="shared" si="11"/>
        <v>0</v>
      </c>
    </row>
    <row r="276" spans="1:6" x14ac:dyDescent="0.2">
      <c r="A276" s="40"/>
      <c r="B276" s="300" t="s">
        <v>357</v>
      </c>
      <c r="C276" s="40" t="str">
        <f>'Material Rates_Master'!B110</f>
        <v>m</v>
      </c>
      <c r="D276" s="37"/>
      <c r="E276" s="48">
        <f>'Material Rates_Master'!D110</f>
        <v>106.24166666666667</v>
      </c>
      <c r="F276" s="48">
        <f t="shared" si="11"/>
        <v>0</v>
      </c>
    </row>
    <row r="277" spans="1:6" x14ac:dyDescent="0.2">
      <c r="A277" s="40"/>
      <c r="B277" s="300" t="s">
        <v>358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359</v>
      </c>
      <c r="C279" s="40" t="str">
        <f>'Material Rates_Master'!B113</f>
        <v>ea</v>
      </c>
      <c r="D279" s="37"/>
      <c r="E279" s="48">
        <f>'Material Rates_Master'!D113</f>
        <v>12.83</v>
      </c>
      <c r="F279" s="48">
        <f t="shared" si="11"/>
        <v>0</v>
      </c>
    </row>
    <row r="280" spans="1:6" x14ac:dyDescent="0.2">
      <c r="A280" s="40"/>
      <c r="B280" s="300" t="s">
        <v>360</v>
      </c>
      <c r="C280" s="40" t="str">
        <f>'Material Rates_Master'!B114</f>
        <v>ea</v>
      </c>
      <c r="D280" s="37"/>
      <c r="E280" s="48">
        <f>'Material Rates_Master'!D114</f>
        <v>7.55</v>
      </c>
      <c r="F280" s="48">
        <f t="shared" si="11"/>
        <v>0</v>
      </c>
    </row>
    <row r="281" spans="1:6" x14ac:dyDescent="0.2">
      <c r="A281" s="40"/>
      <c r="B281" s="300" t="s">
        <v>361</v>
      </c>
      <c r="C281" s="40" t="str">
        <f>'Material Rates_Master'!B115</f>
        <v>ea</v>
      </c>
      <c r="D281" s="37"/>
      <c r="E281" s="48">
        <f>'Material Rates_Master'!D115</f>
        <v>35.5</v>
      </c>
      <c r="F281" s="48">
        <f t="shared" si="11"/>
        <v>0</v>
      </c>
    </row>
    <row r="282" spans="1:6" x14ac:dyDescent="0.2">
      <c r="A282" s="40"/>
      <c r="B282" s="300" t="s">
        <v>362</v>
      </c>
      <c r="C282" s="40" t="str">
        <f>'Material Rates_Master'!B116</f>
        <v>ea</v>
      </c>
      <c r="D282" s="37"/>
      <c r="E282" s="48">
        <f>'Material Rates_Master'!D116</f>
        <v>16.93</v>
      </c>
      <c r="F282" s="48">
        <f t="shared" si="11"/>
        <v>0</v>
      </c>
    </row>
    <row r="283" spans="1:6" x14ac:dyDescent="0.2">
      <c r="A283" s="40"/>
      <c r="B283" s="300" t="s">
        <v>363</v>
      </c>
      <c r="C283" s="40" t="str">
        <f>'Material Rates_Master'!B117</f>
        <v>ea</v>
      </c>
      <c r="D283" s="37"/>
      <c r="E283" s="48">
        <f>'Material Rates_Master'!D117</f>
        <v>22.85</v>
      </c>
      <c r="F283" s="48">
        <f t="shared" si="11"/>
        <v>0</v>
      </c>
    </row>
    <row r="284" spans="1:6" x14ac:dyDescent="0.2">
      <c r="A284" s="40"/>
      <c r="B284" s="300" t="s">
        <v>364</v>
      </c>
      <c r="C284" s="40" t="str">
        <f>'Material Rates_Master'!B118</f>
        <v>ea</v>
      </c>
      <c r="D284" s="37"/>
      <c r="E284" s="48">
        <f>'Material Rates_Master'!D118</f>
        <v>10.62</v>
      </c>
      <c r="F284" s="48">
        <f t="shared" si="11"/>
        <v>0</v>
      </c>
    </row>
    <row r="285" spans="1:6" x14ac:dyDescent="0.2">
      <c r="A285" s="40"/>
      <c r="B285" s="300" t="s">
        <v>365</v>
      </c>
      <c r="C285" s="40" t="str">
        <f>'Material Rates_Master'!B119</f>
        <v>ea</v>
      </c>
      <c r="D285" s="37"/>
      <c r="E285" s="48">
        <f>'Material Rates_Master'!D119</f>
        <v>23.5</v>
      </c>
      <c r="F285" s="48">
        <f t="shared" si="11"/>
        <v>0</v>
      </c>
    </row>
    <row r="286" spans="1:6" x14ac:dyDescent="0.2">
      <c r="A286" s="40"/>
      <c r="B286" s="300" t="s">
        <v>366</v>
      </c>
      <c r="C286" s="40" t="str">
        <f>'Material Rates_Master'!B120</f>
        <v>ea</v>
      </c>
      <c r="D286" s="37"/>
      <c r="E286" s="48">
        <f>'Material Rates_Master'!D120</f>
        <v>11.4</v>
      </c>
      <c r="F286" s="48">
        <f t="shared" si="11"/>
        <v>0</v>
      </c>
    </row>
    <row r="287" spans="1:6" x14ac:dyDescent="0.2">
      <c r="A287" s="40"/>
      <c r="B287" s="300" t="s">
        <v>367</v>
      </c>
      <c r="C287" s="40" t="str">
        <f>'Material Rates_Master'!B121</f>
        <v>ea</v>
      </c>
      <c r="D287" s="37"/>
      <c r="E287" s="48">
        <f>'Material Rates_Master'!D121</f>
        <v>30.75</v>
      </c>
      <c r="F287" s="48">
        <f t="shared" si="11"/>
        <v>0</v>
      </c>
    </row>
    <row r="288" spans="1:6" x14ac:dyDescent="0.2">
      <c r="A288" s="40"/>
      <c r="B288" s="300" t="s">
        <v>368</v>
      </c>
      <c r="C288" s="40" t="str">
        <f>'Material Rates_Master'!B122</f>
        <v>ea</v>
      </c>
      <c r="D288" s="37"/>
      <c r="E288" s="48">
        <f>'Material Rates_Master'!D122</f>
        <v>23.21</v>
      </c>
      <c r="F288" s="48">
        <f t="shared" si="11"/>
        <v>0</v>
      </c>
    </row>
    <row r="289" spans="1:6" x14ac:dyDescent="0.2">
      <c r="A289" s="40"/>
      <c r="B289" s="300" t="s">
        <v>369</v>
      </c>
      <c r="C289" s="40" t="str">
        <f>'Material Rates_Master'!B123</f>
        <v>ea</v>
      </c>
      <c r="D289" s="37"/>
      <c r="E289" s="48">
        <f>'Material Rates_Master'!D123</f>
        <v>217.8</v>
      </c>
      <c r="F289" s="48">
        <f t="shared" si="11"/>
        <v>0</v>
      </c>
    </row>
    <row r="290" spans="1:6" x14ac:dyDescent="0.2">
      <c r="A290" s="40"/>
      <c r="B290" s="300" t="s">
        <v>370</v>
      </c>
      <c r="C290" s="40" t="str">
        <f>'Material Rates_Master'!B124</f>
        <v>ea</v>
      </c>
      <c r="D290" s="37"/>
      <c r="E290" s="48">
        <f>'Material Rates_Master'!D124</f>
        <v>169.4</v>
      </c>
      <c r="F290" s="48">
        <f t="shared" si="11"/>
        <v>0</v>
      </c>
    </row>
    <row r="291" spans="1:6" ht="5.4" customHeight="1" x14ac:dyDescent="0.2">
      <c r="A291" s="40"/>
      <c r="B291" s="300"/>
      <c r="C291" s="40">
        <f>'Material Rates_Master'!B125</f>
        <v>0</v>
      </c>
      <c r="D291" s="37"/>
      <c r="E291" s="48">
        <f>'Material Rates_Master'!D125</f>
        <v>0</v>
      </c>
      <c r="F291" s="48">
        <f t="shared" si="11"/>
        <v>0</v>
      </c>
    </row>
    <row r="292" spans="1:6" x14ac:dyDescent="0.2">
      <c r="A292" s="40"/>
      <c r="B292" s="300" t="s">
        <v>371</v>
      </c>
      <c r="C292" s="40" t="str">
        <f>'Material Rates_Master'!B126</f>
        <v>ea</v>
      </c>
      <c r="D292" s="37"/>
      <c r="E292" s="48">
        <f>'Material Rates_Master'!D126</f>
        <v>2350</v>
      </c>
      <c r="F292" s="48">
        <f t="shared" si="11"/>
        <v>0</v>
      </c>
    </row>
    <row r="293" spans="1:6" x14ac:dyDescent="0.2">
      <c r="A293" s="40"/>
      <c r="B293" s="300" t="s">
        <v>372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373</v>
      </c>
      <c r="C295" s="40" t="str">
        <f>'Material Rates_Master'!B129</f>
        <v>ea</v>
      </c>
      <c r="D295" s="240">
        <v>1</v>
      </c>
      <c r="E295" s="48">
        <f>'Material Rates_Master'!D129</f>
        <v>365</v>
      </c>
      <c r="F295" s="48">
        <f t="shared" si="11"/>
        <v>365</v>
      </c>
    </row>
    <row r="296" spans="1:6" x14ac:dyDescent="0.2">
      <c r="A296" s="40"/>
      <c r="B296" s="300" t="s">
        <v>374</v>
      </c>
      <c r="C296" s="40" t="str">
        <f>'Material Rates_Master'!B130</f>
        <v>ea</v>
      </c>
      <c r="D296" s="240"/>
      <c r="E296" s="48">
        <f>'Material Rates_Master'!D130</f>
        <v>365</v>
      </c>
      <c r="F296" s="48">
        <f t="shared" si="11"/>
        <v>0</v>
      </c>
    </row>
    <row r="297" spans="1:6" x14ac:dyDescent="0.2">
      <c r="A297" s="40"/>
      <c r="B297" s="300" t="s">
        <v>375</v>
      </c>
      <c r="C297" s="40" t="str">
        <f>'Material Rates_Master'!B131</f>
        <v>ea</v>
      </c>
      <c r="D297" s="240"/>
      <c r="E297" s="48">
        <f>'Material Rates_Master'!D131</f>
        <v>90</v>
      </c>
      <c r="F297" s="48">
        <f t="shared" si="11"/>
        <v>0</v>
      </c>
    </row>
    <row r="298" spans="1:6" x14ac:dyDescent="0.2">
      <c r="A298" s="40"/>
      <c r="B298" s="300" t="s">
        <v>376</v>
      </c>
      <c r="C298" s="40" t="str">
        <f>'Material Rates_Master'!B132</f>
        <v>ea</v>
      </c>
      <c r="D298" s="240"/>
      <c r="E298" s="48">
        <f>'Material Rates_Master'!D132</f>
        <v>5</v>
      </c>
      <c r="F298" s="48">
        <f t="shared" si="11"/>
        <v>0</v>
      </c>
    </row>
    <row r="299" spans="1:6" x14ac:dyDescent="0.2">
      <c r="A299" s="40"/>
      <c r="B299" s="300" t="s">
        <v>377</v>
      </c>
      <c r="C299" s="40" t="str">
        <f>'Material Rates_Master'!B133</f>
        <v>ea</v>
      </c>
      <c r="D299" s="240">
        <v>1</v>
      </c>
      <c r="E299" s="48">
        <f>'Material Rates_Master'!D133</f>
        <v>125</v>
      </c>
      <c r="F299" s="48">
        <f t="shared" ref="F299:F343" si="12">E299*D299</f>
        <v>125</v>
      </c>
    </row>
    <row r="300" spans="1:6" x14ac:dyDescent="0.2">
      <c r="A300" s="40"/>
      <c r="B300" s="300" t="s">
        <v>378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379</v>
      </c>
      <c r="C302" s="40" t="str">
        <f>'Material Rates_Master'!B136</f>
        <v>ea</v>
      </c>
      <c r="D302" s="37"/>
      <c r="E302" s="48">
        <f>'Material Rates_Master'!D136</f>
        <v>3100.7</v>
      </c>
      <c r="F302" s="48">
        <f t="shared" si="12"/>
        <v>0</v>
      </c>
    </row>
    <row r="303" spans="1:6" x14ac:dyDescent="0.2">
      <c r="A303" s="40"/>
      <c r="B303" s="300" t="s">
        <v>380</v>
      </c>
      <c r="C303" s="40" t="str">
        <f>'Material Rates_Master'!B137</f>
        <v>ea</v>
      </c>
      <c r="D303" s="37"/>
      <c r="E303" s="48">
        <f>'Material Rates_Master'!D137</f>
        <v>4237.09</v>
      </c>
      <c r="F303" s="48">
        <f t="shared" si="12"/>
        <v>0</v>
      </c>
    </row>
    <row r="304" spans="1:6" ht="7.2" customHeight="1" x14ac:dyDescent="0.2">
      <c r="A304" s="40"/>
      <c r="B304" s="300"/>
      <c r="C304" s="40">
        <f>'Material Rates_Master'!B138</f>
        <v>0</v>
      </c>
      <c r="D304" s="37"/>
      <c r="E304" s="48">
        <f>'Material Rates_Master'!D138</f>
        <v>0</v>
      </c>
      <c r="F304" s="48">
        <f t="shared" si="12"/>
        <v>0</v>
      </c>
    </row>
    <row r="305" spans="1:6" x14ac:dyDescent="0.2">
      <c r="A305" s="40"/>
      <c r="B305" s="300" t="s">
        <v>381</v>
      </c>
      <c r="C305" s="40" t="str">
        <f>'Material Rates_Master'!B139</f>
        <v>ea</v>
      </c>
      <c r="D305" s="37"/>
      <c r="E305" s="48">
        <f>'Material Rates_Master'!D139</f>
        <v>114.44</v>
      </c>
      <c r="F305" s="48">
        <f t="shared" si="12"/>
        <v>0</v>
      </c>
    </row>
    <row r="306" spans="1:6" x14ac:dyDescent="0.2">
      <c r="A306" s="40"/>
      <c r="B306" s="300" t="s">
        <v>382</v>
      </c>
      <c r="C306" s="40" t="str">
        <f>'Material Rates_Master'!B140</f>
        <v>ea</v>
      </c>
      <c r="D306" s="37"/>
      <c r="E306" s="48">
        <f>'Material Rates_Master'!D140</f>
        <v>219.36</v>
      </c>
      <c r="F306" s="48">
        <f t="shared" si="12"/>
        <v>0</v>
      </c>
    </row>
    <row r="307" spans="1:6" x14ac:dyDescent="0.2">
      <c r="A307" s="40"/>
      <c r="B307" s="300" t="s">
        <v>383</v>
      </c>
      <c r="C307" s="40" t="str">
        <f>'Material Rates_Master'!B141</f>
        <v>ea</v>
      </c>
      <c r="D307" s="37"/>
      <c r="E307" s="48">
        <f>'Material Rates_Master'!D141</f>
        <v>135.09</v>
      </c>
      <c r="F307" s="48">
        <f t="shared" si="12"/>
        <v>0</v>
      </c>
    </row>
    <row r="308" spans="1:6" x14ac:dyDescent="0.2">
      <c r="A308" s="40"/>
      <c r="B308" s="300" t="s">
        <v>384</v>
      </c>
      <c r="C308" s="40" t="str">
        <f>'Material Rates_Master'!B142</f>
        <v>ea</v>
      </c>
      <c r="D308" s="37"/>
      <c r="E308" s="48">
        <f>'Material Rates_Master'!D142</f>
        <v>125.77</v>
      </c>
      <c r="F308" s="48">
        <f t="shared" si="12"/>
        <v>0</v>
      </c>
    </row>
    <row r="309" spans="1:6" x14ac:dyDescent="0.2">
      <c r="A309" s="40"/>
      <c r="B309" s="300" t="s">
        <v>385</v>
      </c>
      <c r="C309" s="40" t="str">
        <f>'Material Rates_Master'!B143</f>
        <v>ea</v>
      </c>
      <c r="D309" s="37"/>
      <c r="E309" s="48">
        <f>'Material Rates_Master'!D143</f>
        <v>83.25</v>
      </c>
      <c r="F309" s="48">
        <f t="shared" si="12"/>
        <v>0</v>
      </c>
    </row>
    <row r="310" spans="1:6" x14ac:dyDescent="0.2">
      <c r="A310" s="40"/>
      <c r="B310" s="300" t="s">
        <v>386</v>
      </c>
      <c r="C310" s="40" t="str">
        <f>'Material Rates_Master'!B144</f>
        <v>ea</v>
      </c>
      <c r="D310" s="37"/>
      <c r="E310" s="48">
        <f>'Material Rates_Master'!D144</f>
        <v>52.25</v>
      </c>
      <c r="F310" s="48">
        <f t="shared" si="12"/>
        <v>0</v>
      </c>
    </row>
    <row r="311" spans="1:6" x14ac:dyDescent="0.2">
      <c r="A311" s="40"/>
      <c r="B311" s="300" t="s">
        <v>387</v>
      </c>
      <c r="C311" s="40" t="str">
        <f>'Material Rates_Master'!B145</f>
        <v>ea</v>
      </c>
      <c r="D311" s="37"/>
      <c r="E311" s="48">
        <f>'Material Rates_Master'!D145</f>
        <v>175.66</v>
      </c>
      <c r="F311" s="48">
        <f t="shared" si="12"/>
        <v>0</v>
      </c>
    </row>
    <row r="312" spans="1:6" x14ac:dyDescent="0.2">
      <c r="A312" s="40"/>
      <c r="B312" s="300" t="s">
        <v>388</v>
      </c>
      <c r="C312" s="40" t="str">
        <f>'Material Rates_Master'!B146</f>
        <v>ea</v>
      </c>
      <c r="D312" s="37"/>
      <c r="E312" s="48">
        <f>'Material Rates_Master'!D146</f>
        <v>164.08</v>
      </c>
      <c r="F312" s="48">
        <f t="shared" si="12"/>
        <v>0</v>
      </c>
    </row>
    <row r="313" spans="1:6" ht="7.2" customHeight="1" x14ac:dyDescent="0.2">
      <c r="A313" s="40"/>
      <c r="B313" s="300"/>
      <c r="C313" s="40">
        <f>'Material Rates_Master'!B147</f>
        <v>0</v>
      </c>
      <c r="D313" s="240"/>
      <c r="E313" s="48">
        <f>'Material Rates_Master'!D147</f>
        <v>0</v>
      </c>
      <c r="F313" s="48">
        <f t="shared" si="12"/>
        <v>0</v>
      </c>
    </row>
    <row r="314" spans="1:6" x14ac:dyDescent="0.2">
      <c r="A314" s="40"/>
      <c r="B314" s="300" t="s">
        <v>393</v>
      </c>
      <c r="C314" s="40" t="str">
        <f>'Material Rates_Master'!B148</f>
        <v>ea</v>
      </c>
      <c r="D314" s="240"/>
      <c r="E314" s="48">
        <f>'Material Rates_Master'!D148</f>
        <v>77.95</v>
      </c>
      <c r="F314" s="48">
        <f t="shared" si="12"/>
        <v>0</v>
      </c>
    </row>
    <row r="315" spans="1:6" x14ac:dyDescent="0.2">
      <c r="A315" s="40"/>
      <c r="B315" s="300" t="s">
        <v>394</v>
      </c>
      <c r="C315" s="40" t="str">
        <f>'Material Rates_Master'!B149</f>
        <v>ea</v>
      </c>
      <c r="D315" s="240"/>
      <c r="E315" s="48">
        <f>'Material Rates_Master'!D149</f>
        <v>17.16</v>
      </c>
      <c r="F315" s="48">
        <f t="shared" si="12"/>
        <v>0</v>
      </c>
    </row>
    <row r="316" spans="1:6" x14ac:dyDescent="0.2">
      <c r="A316" s="40"/>
      <c r="B316" s="300" t="s">
        <v>395</v>
      </c>
      <c r="C316" s="40" t="str">
        <f>'Material Rates_Master'!B150</f>
        <v>ea</v>
      </c>
      <c r="D316" s="240"/>
      <c r="E316" s="48">
        <f>'Material Rates_Master'!D150</f>
        <v>7.23</v>
      </c>
      <c r="F316" s="48">
        <f t="shared" si="12"/>
        <v>0</v>
      </c>
    </row>
    <row r="317" spans="1:6" x14ac:dyDescent="0.2">
      <c r="A317" s="40"/>
      <c r="B317" s="300" t="s">
        <v>396</v>
      </c>
      <c r="C317" s="40" t="str">
        <f>'Material Rates_Master'!B151</f>
        <v>ea</v>
      </c>
      <c r="D317" s="240"/>
      <c r="E317" s="48">
        <f>'Material Rates_Master'!D151</f>
        <v>14.31</v>
      </c>
      <c r="F317" s="48">
        <f t="shared" si="12"/>
        <v>0</v>
      </c>
    </row>
    <row r="318" spans="1:6" x14ac:dyDescent="0.2">
      <c r="A318" s="40"/>
      <c r="B318" s="300" t="s">
        <v>397</v>
      </c>
      <c r="C318" s="40" t="str">
        <f>'Material Rates_Master'!B152</f>
        <v>ea</v>
      </c>
      <c r="D318" s="240"/>
      <c r="E318" s="48">
        <f>'Material Rates_Master'!D152</f>
        <v>16.239999999999998</v>
      </c>
      <c r="F318" s="48">
        <f t="shared" si="12"/>
        <v>0</v>
      </c>
    </row>
    <row r="319" spans="1:6" x14ac:dyDescent="0.2">
      <c r="A319" s="40"/>
      <c r="B319" s="300" t="s">
        <v>399</v>
      </c>
      <c r="C319" s="40" t="str">
        <f>'Material Rates_Master'!B153</f>
        <v>ea</v>
      </c>
      <c r="D319" s="240"/>
      <c r="E319" s="48">
        <f>'Material Rates_Master'!D153</f>
        <v>14.36</v>
      </c>
      <c r="F319" s="48">
        <f t="shared" si="12"/>
        <v>0</v>
      </c>
    </row>
    <row r="320" spans="1:6" x14ac:dyDescent="0.2">
      <c r="A320" s="40"/>
      <c r="B320" s="300" t="s">
        <v>985</v>
      </c>
      <c r="C320" s="40" t="s">
        <v>149</v>
      </c>
      <c r="D320" s="240">
        <v>52</v>
      </c>
      <c r="E320" s="48">
        <f>190/6</f>
        <v>31.666666666666668</v>
      </c>
      <c r="F320" s="48">
        <f t="shared" si="12"/>
        <v>1646.6666666666667</v>
      </c>
    </row>
    <row r="321" spans="1:6" x14ac:dyDescent="0.2">
      <c r="A321" s="40"/>
      <c r="B321" s="300" t="s">
        <v>400</v>
      </c>
      <c r="C321" s="40" t="str">
        <f>'Material Rates_Master'!B154</f>
        <v>ea</v>
      </c>
      <c r="D321" s="240"/>
      <c r="E321" s="48">
        <f>'Material Rates_Master'!D154</f>
        <v>46.94</v>
      </c>
      <c r="F321" s="48">
        <f t="shared" si="12"/>
        <v>0</v>
      </c>
    </row>
    <row r="322" spans="1:6" x14ac:dyDescent="0.2">
      <c r="A322" s="40"/>
      <c r="B322" s="300" t="s">
        <v>401</v>
      </c>
      <c r="C322" s="40" t="str">
        <f>'Material Rates_Master'!B155</f>
        <v>ea</v>
      </c>
      <c r="D322" s="240"/>
      <c r="E322" s="48">
        <f>'Material Rates_Master'!D155</f>
        <v>8.4600000000000009</v>
      </c>
      <c r="F322" s="48">
        <f t="shared" si="12"/>
        <v>0</v>
      </c>
    </row>
    <row r="323" spans="1:6" x14ac:dyDescent="0.2">
      <c r="A323" s="40"/>
      <c r="B323" s="300" t="s">
        <v>402</v>
      </c>
      <c r="C323" s="40" t="str">
        <f>'Material Rates_Master'!B156</f>
        <v>ea</v>
      </c>
      <c r="D323" s="240"/>
      <c r="E323" s="48">
        <f>'Material Rates_Master'!D156</f>
        <v>5.74</v>
      </c>
      <c r="F323" s="48">
        <f t="shared" si="12"/>
        <v>0</v>
      </c>
    </row>
    <row r="324" spans="1:6" x14ac:dyDescent="0.2">
      <c r="A324" s="40"/>
      <c r="B324" s="300" t="s">
        <v>986</v>
      </c>
      <c r="C324" s="40" t="s">
        <v>115</v>
      </c>
      <c r="D324" s="240">
        <v>2</v>
      </c>
      <c r="E324" s="48">
        <v>13.2</v>
      </c>
      <c r="F324" s="48">
        <f t="shared" si="12"/>
        <v>26.4</v>
      </c>
    </row>
    <row r="325" spans="1:6" x14ac:dyDescent="0.2">
      <c r="A325" s="40"/>
      <c r="B325" s="300" t="s">
        <v>403</v>
      </c>
      <c r="C325" s="40" t="str">
        <f>'Material Rates_Master'!B157</f>
        <v>ea</v>
      </c>
      <c r="D325" s="240">
        <v>14</v>
      </c>
      <c r="E325" s="48">
        <f>'Material Rates_Master'!D157</f>
        <v>7.7</v>
      </c>
      <c r="F325" s="48">
        <f t="shared" si="12"/>
        <v>107.8</v>
      </c>
    </row>
    <row r="326" spans="1:6" x14ac:dyDescent="0.2">
      <c r="A326" s="40"/>
      <c r="B326" s="300" t="s">
        <v>404</v>
      </c>
      <c r="C326" s="40" t="str">
        <f>'Material Rates_Master'!B158</f>
        <v>ea</v>
      </c>
      <c r="D326" s="240"/>
      <c r="E326" s="48">
        <f>'Material Rates_Master'!D158</f>
        <v>10.19</v>
      </c>
      <c r="F326" s="48">
        <f t="shared" si="12"/>
        <v>0</v>
      </c>
    </row>
    <row r="327" spans="1:6" ht="9" customHeight="1" x14ac:dyDescent="0.2">
      <c r="A327" s="40"/>
      <c r="B327" s="300"/>
      <c r="C327" s="40">
        <f>'Material Rates_Master'!B159</f>
        <v>0</v>
      </c>
      <c r="D327" s="240"/>
      <c r="E327" s="48">
        <f>'Material Rates_Master'!D159</f>
        <v>0</v>
      </c>
      <c r="F327" s="48">
        <f t="shared" si="12"/>
        <v>0</v>
      </c>
    </row>
    <row r="328" spans="1:6" x14ac:dyDescent="0.2">
      <c r="A328" s="40"/>
      <c r="B328" s="300" t="s">
        <v>405</v>
      </c>
      <c r="C328" s="40" t="str">
        <f>'Material Rates_Master'!B160</f>
        <v>ea</v>
      </c>
      <c r="D328" s="37"/>
      <c r="E328" s="48">
        <f>'Material Rates_Master'!D160</f>
        <v>5.86</v>
      </c>
      <c r="F328" s="48">
        <f t="shared" si="12"/>
        <v>0</v>
      </c>
    </row>
    <row r="329" spans="1:6" x14ac:dyDescent="0.2">
      <c r="A329" s="40"/>
      <c r="B329" s="300" t="s">
        <v>406</v>
      </c>
      <c r="C329" s="40" t="str">
        <f>'Material Rates_Master'!B161</f>
        <v>ea</v>
      </c>
      <c r="D329" s="37"/>
      <c r="E329" s="48">
        <f>'Material Rates_Master'!D161</f>
        <v>4.41</v>
      </c>
      <c r="F329" s="48">
        <f t="shared" si="12"/>
        <v>0</v>
      </c>
    </row>
    <row r="330" spans="1:6" x14ac:dyDescent="0.2">
      <c r="A330" s="40"/>
      <c r="B330" s="300" t="s">
        <v>407</v>
      </c>
      <c r="C330" s="40" t="str">
        <f>'Material Rates_Master'!B162</f>
        <v>ea</v>
      </c>
      <c r="D330" s="37"/>
      <c r="E330" s="48">
        <f>'Material Rates_Master'!D162</f>
        <v>5.36</v>
      </c>
      <c r="F330" s="48">
        <f t="shared" si="12"/>
        <v>0</v>
      </c>
    </row>
    <row r="331" spans="1:6" x14ac:dyDescent="0.2">
      <c r="A331" s="40"/>
      <c r="B331" s="300" t="s">
        <v>408</v>
      </c>
      <c r="C331" s="40" t="str">
        <f>'Material Rates_Master'!B163</f>
        <v>ea</v>
      </c>
      <c r="D331" s="37"/>
      <c r="E331" s="48">
        <f>'Material Rates_Master'!D163</f>
        <v>4.4000000000000004</v>
      </c>
      <c r="F331" s="48">
        <f t="shared" si="12"/>
        <v>0</v>
      </c>
    </row>
    <row r="332" spans="1:6" x14ac:dyDescent="0.2">
      <c r="A332" s="40"/>
      <c r="B332" s="300" t="s">
        <v>409</v>
      </c>
      <c r="C332" s="40" t="str">
        <f>'Material Rates_Master'!B164</f>
        <v>ea</v>
      </c>
      <c r="D332" s="37"/>
      <c r="E332" s="48">
        <f>'Material Rates_Master'!D164</f>
        <v>10.64</v>
      </c>
      <c r="F332" s="48">
        <f t="shared" si="12"/>
        <v>0</v>
      </c>
    </row>
    <row r="333" spans="1:6" x14ac:dyDescent="0.2">
      <c r="A333" s="40"/>
      <c r="B333" s="300" t="s">
        <v>410</v>
      </c>
      <c r="C333" s="40" t="str">
        <f>'Material Rates_Master'!B165</f>
        <v>ea</v>
      </c>
      <c r="D333" s="37"/>
      <c r="E333" s="48">
        <f>'Material Rates_Master'!D165</f>
        <v>20</v>
      </c>
      <c r="F333" s="48">
        <f t="shared" si="12"/>
        <v>0</v>
      </c>
    </row>
    <row r="334" spans="1:6" x14ac:dyDescent="0.2">
      <c r="A334" s="40"/>
      <c r="B334" s="300" t="s">
        <v>411</v>
      </c>
      <c r="C334" s="40" t="str">
        <f>'Material Rates_Master'!B166</f>
        <v>ea</v>
      </c>
      <c r="D334" s="37"/>
      <c r="E334" s="48">
        <f>'Material Rates_Master'!D166</f>
        <v>19.5</v>
      </c>
      <c r="F334" s="48">
        <f t="shared" si="12"/>
        <v>0</v>
      </c>
    </row>
    <row r="335" spans="1:6" x14ac:dyDescent="0.2">
      <c r="A335" s="40"/>
      <c r="B335" s="300" t="s">
        <v>340</v>
      </c>
      <c r="C335" s="40" t="str">
        <f>'Material Rates_Master'!B167</f>
        <v>ea</v>
      </c>
      <c r="D335" s="37"/>
      <c r="E335" s="48">
        <f>'Material Rates_Master'!D167</f>
        <v>20</v>
      </c>
      <c r="F335" s="48">
        <f t="shared" si="12"/>
        <v>0</v>
      </c>
    </row>
    <row r="336" spans="1:6" ht="10.95" customHeight="1" x14ac:dyDescent="0.2">
      <c r="A336" s="40"/>
      <c r="B336" s="300"/>
      <c r="D336" s="37"/>
      <c r="E336" s="48"/>
      <c r="F336" s="48"/>
    </row>
    <row r="337" spans="1:7" x14ac:dyDescent="0.2">
      <c r="A337" s="40"/>
      <c r="B337" s="332" t="s">
        <v>412</v>
      </c>
      <c r="D337" s="37"/>
      <c r="E337" s="48"/>
      <c r="F337" s="48"/>
    </row>
    <row r="338" spans="1:7" ht="14.4" customHeight="1" x14ac:dyDescent="0.2">
      <c r="A338" s="40"/>
      <c r="B338" s="301" t="s">
        <v>354</v>
      </c>
      <c r="D338" s="37"/>
      <c r="E338" s="48"/>
      <c r="F338" s="48"/>
    </row>
    <row r="339" spans="1:7" x14ac:dyDescent="0.2">
      <c r="A339" s="40"/>
      <c r="B339" s="300" t="s">
        <v>413</v>
      </c>
      <c r="C339" s="40" t="str">
        <f>'Material Rates_Master'!B171</f>
        <v>ea</v>
      </c>
      <c r="D339" s="37"/>
      <c r="E339" s="48">
        <v>1388</v>
      </c>
      <c r="F339" s="48">
        <f t="shared" si="12"/>
        <v>0</v>
      </c>
    </row>
    <row r="340" spans="1:7" x14ac:dyDescent="0.2">
      <c r="A340" s="40"/>
      <c r="B340" s="300" t="s">
        <v>414</v>
      </c>
      <c r="C340" s="40" t="str">
        <f>'Material Rates_Master'!B172</f>
        <v>ea</v>
      </c>
      <c r="D340" s="37"/>
      <c r="E340" s="48">
        <f>'Material Rates_Master'!D172</f>
        <v>0</v>
      </c>
      <c r="F340" s="48">
        <f t="shared" si="12"/>
        <v>0</v>
      </c>
    </row>
    <row r="341" spans="1:7" x14ac:dyDescent="0.2">
      <c r="A341" s="40"/>
      <c r="B341" s="300" t="s">
        <v>415</v>
      </c>
      <c r="C341" s="40" t="s">
        <v>416</v>
      </c>
      <c r="D341" s="37"/>
      <c r="E341" s="48">
        <v>450</v>
      </c>
      <c r="F341" s="48">
        <f t="shared" si="12"/>
        <v>0</v>
      </c>
    </row>
    <row r="342" spans="1:7" x14ac:dyDescent="0.2">
      <c r="A342" s="40"/>
      <c r="B342" s="300" t="s">
        <v>417</v>
      </c>
      <c r="C342" s="40" t="str">
        <f>'Material Rates_Master'!B174</f>
        <v>ea</v>
      </c>
      <c r="D342" s="37"/>
      <c r="E342" s="48">
        <f>'Material Rates_Master'!D174</f>
        <v>0</v>
      </c>
      <c r="F342" s="48">
        <f t="shared" si="12"/>
        <v>0</v>
      </c>
    </row>
    <row r="343" spans="1:7" x14ac:dyDescent="0.2">
      <c r="A343" s="40"/>
      <c r="B343" s="300" t="s">
        <v>418</v>
      </c>
      <c r="C343" s="40" t="str">
        <f>'Material Rates_Master'!B175</f>
        <v>ea</v>
      </c>
      <c r="D343" s="37"/>
      <c r="E343" s="48">
        <f>'Material Rates_Master'!D175</f>
        <v>2178.48</v>
      </c>
      <c r="F343" s="48">
        <f t="shared" si="12"/>
        <v>0</v>
      </c>
    </row>
    <row r="344" spans="1:7" x14ac:dyDescent="0.2">
      <c r="A344" s="40"/>
      <c r="B344" s="300" t="s">
        <v>419</v>
      </c>
      <c r="C344" s="40" t="str">
        <f>'Material Rates_Master'!B176</f>
        <v>ea</v>
      </c>
      <c r="D344" s="37"/>
      <c r="E344" s="48">
        <f>'Material Rates_Master'!D176</f>
        <v>2178.48</v>
      </c>
      <c r="F344" s="48">
        <f>E344*D344</f>
        <v>0</v>
      </c>
    </row>
    <row r="345" spans="1:7" x14ac:dyDescent="0.2">
      <c r="E345" s="48"/>
      <c r="F345" s="48"/>
    </row>
    <row r="346" spans="1:7" s="40" customFormat="1" ht="14.4" x14ac:dyDescent="0.3">
      <c r="A346" s="324"/>
      <c r="B346" s="325" t="s">
        <v>420</v>
      </c>
      <c r="C346" s="42"/>
      <c r="D346" s="42"/>
      <c r="E346" s="45"/>
      <c r="F346" s="48"/>
    </row>
    <row r="347" spans="1:7" s="40" customFormat="1" ht="14.4" x14ac:dyDescent="0.3">
      <c r="A347" s="324"/>
      <c r="B347" s="327" t="s">
        <v>354</v>
      </c>
      <c r="C347" s="42"/>
      <c r="D347" s="42"/>
      <c r="E347" s="45"/>
      <c r="F347" s="48"/>
    </row>
    <row r="348" spans="1:7" s="40" customFormat="1" ht="14.4" x14ac:dyDescent="0.3">
      <c r="A348" s="324"/>
      <c r="B348" s="324"/>
      <c r="C348" s="42"/>
      <c r="D348" s="42"/>
      <c r="E348" s="326"/>
      <c r="F348" s="48"/>
      <c r="G348" s="326"/>
    </row>
    <row r="349" spans="1:7" s="40" customFormat="1" ht="14.4" x14ac:dyDescent="0.3">
      <c r="A349" s="324"/>
      <c r="B349" s="324" t="s">
        <v>421</v>
      </c>
      <c r="C349" s="328" t="s">
        <v>149</v>
      </c>
      <c r="E349" s="326">
        <v>12.31</v>
      </c>
      <c r="F349" s="48">
        <f>E349*D349</f>
        <v>0</v>
      </c>
      <c r="G349" s="326"/>
    </row>
    <row r="350" spans="1:7" s="40" customFormat="1" ht="14.4" x14ac:dyDescent="0.3">
      <c r="A350" s="324"/>
      <c r="B350" s="324" t="s">
        <v>423</v>
      </c>
      <c r="C350" s="328" t="s">
        <v>149</v>
      </c>
      <c r="D350" s="40">
        <v>6</v>
      </c>
      <c r="E350" s="326">
        <v>9.66</v>
      </c>
      <c r="F350" s="48">
        <f t="shared" ref="F350:F420" si="13">E350*D350</f>
        <v>57.96</v>
      </c>
      <c r="G350" s="326"/>
    </row>
    <row r="351" spans="1:7" s="40" customFormat="1" ht="14.4" x14ac:dyDescent="0.3">
      <c r="A351" s="324"/>
      <c r="B351" s="324" t="s">
        <v>424</v>
      </c>
      <c r="C351" s="328" t="s">
        <v>149</v>
      </c>
      <c r="E351" s="326">
        <v>4.63</v>
      </c>
      <c r="F351" s="48">
        <f t="shared" si="13"/>
        <v>0</v>
      </c>
      <c r="G351" s="326"/>
    </row>
    <row r="352" spans="1:7" s="40" customFormat="1" ht="14.4" x14ac:dyDescent="0.3">
      <c r="A352" s="324"/>
      <c r="B352" s="324" t="s">
        <v>425</v>
      </c>
      <c r="C352" s="328" t="s">
        <v>149</v>
      </c>
      <c r="E352" s="326">
        <v>5.4</v>
      </c>
      <c r="F352" s="48">
        <f t="shared" si="13"/>
        <v>0</v>
      </c>
      <c r="G352" s="326"/>
    </row>
    <row r="353" spans="1:7" s="40" customFormat="1" ht="14.4" x14ac:dyDescent="0.3">
      <c r="A353" s="324"/>
      <c r="B353" s="420" t="s">
        <v>426</v>
      </c>
      <c r="C353" s="328" t="s">
        <v>149</v>
      </c>
      <c r="E353" s="326">
        <v>4.4000000000000004</v>
      </c>
      <c r="F353" s="48">
        <f t="shared" si="13"/>
        <v>0</v>
      </c>
      <c r="G353" s="326"/>
    </row>
    <row r="354" spans="1:7" s="40" customFormat="1" ht="14.4" x14ac:dyDescent="0.3">
      <c r="A354" s="324"/>
      <c r="B354" s="420" t="s">
        <v>427</v>
      </c>
      <c r="C354" s="328" t="s">
        <v>149</v>
      </c>
      <c r="E354" s="326">
        <f>354.31/150</f>
        <v>2.3620666666666668</v>
      </c>
      <c r="F354" s="48">
        <f t="shared" si="13"/>
        <v>0</v>
      </c>
      <c r="G354" s="326"/>
    </row>
    <row r="355" spans="1:7" s="40" customFormat="1" ht="14.4" x14ac:dyDescent="0.3">
      <c r="A355" s="324"/>
      <c r="B355" s="324" t="s">
        <v>428</v>
      </c>
      <c r="C355" s="328" t="s">
        <v>149</v>
      </c>
      <c r="E355" s="326">
        <v>2.1</v>
      </c>
      <c r="F355" s="48">
        <f t="shared" si="13"/>
        <v>0</v>
      </c>
      <c r="G355" s="326"/>
    </row>
    <row r="356" spans="1:7" ht="14.4" x14ac:dyDescent="0.3">
      <c r="A356" s="324"/>
      <c r="B356" s="420" t="s">
        <v>429</v>
      </c>
      <c r="C356" s="328" t="s">
        <v>149</v>
      </c>
      <c r="D356" s="40">
        <v>6</v>
      </c>
      <c r="E356" s="326">
        <v>1.22</v>
      </c>
      <c r="F356" s="48">
        <f t="shared" si="13"/>
        <v>7.32</v>
      </c>
      <c r="G356" s="326"/>
    </row>
    <row r="357" spans="1:7" ht="14.4" x14ac:dyDescent="0.3">
      <c r="A357" s="324"/>
      <c r="B357" s="324" t="s">
        <v>430</v>
      </c>
      <c r="C357" s="328" t="s">
        <v>149</v>
      </c>
      <c r="E357" s="326">
        <v>2.4300000000000002</v>
      </c>
      <c r="F357" s="48">
        <f t="shared" si="13"/>
        <v>0</v>
      </c>
      <c r="G357" s="326"/>
    </row>
    <row r="358" spans="1:7" ht="14.4" x14ac:dyDescent="0.3">
      <c r="A358" s="324"/>
      <c r="B358" s="324" t="s">
        <v>431</v>
      </c>
      <c r="C358" s="328" t="s">
        <v>149</v>
      </c>
      <c r="E358" s="326">
        <v>1.38</v>
      </c>
      <c r="F358" s="48">
        <f t="shared" si="13"/>
        <v>0</v>
      </c>
      <c r="G358" s="326"/>
    </row>
    <row r="359" spans="1:7" ht="14.4" x14ac:dyDescent="0.3">
      <c r="A359" s="324"/>
      <c r="B359" s="324" t="s">
        <v>432</v>
      </c>
      <c r="C359" s="328" t="s">
        <v>149</v>
      </c>
      <c r="E359" s="326">
        <v>22</v>
      </c>
      <c r="F359" s="48">
        <f t="shared" si="13"/>
        <v>0</v>
      </c>
      <c r="G359" s="326"/>
    </row>
    <row r="360" spans="1:7" ht="14.4" x14ac:dyDescent="0.3">
      <c r="A360" s="324"/>
      <c r="B360" s="324" t="s">
        <v>433</v>
      </c>
      <c r="C360" s="328" t="s">
        <v>115</v>
      </c>
      <c r="E360" s="326">
        <v>57.75</v>
      </c>
      <c r="F360" s="48">
        <f t="shared" si="13"/>
        <v>0</v>
      </c>
      <c r="G360" s="326"/>
    </row>
    <row r="361" spans="1:7" ht="14.4" x14ac:dyDescent="0.3">
      <c r="A361" s="324"/>
      <c r="B361" s="324" t="s">
        <v>434</v>
      </c>
      <c r="C361" s="328" t="s">
        <v>115</v>
      </c>
      <c r="E361" s="326">
        <v>139</v>
      </c>
      <c r="F361" s="48">
        <f t="shared" si="13"/>
        <v>0</v>
      </c>
      <c r="G361" s="326"/>
    </row>
    <row r="362" spans="1:7" ht="14.4" x14ac:dyDescent="0.3">
      <c r="A362" s="324"/>
      <c r="B362" s="420" t="s">
        <v>987</v>
      </c>
      <c r="C362" s="419" t="s">
        <v>115</v>
      </c>
      <c r="D362" s="40">
        <v>1</v>
      </c>
      <c r="E362" s="326">
        <v>100</v>
      </c>
      <c r="F362" s="48">
        <f t="shared" si="13"/>
        <v>100</v>
      </c>
      <c r="G362" s="326"/>
    </row>
    <row r="363" spans="1:7" ht="14.4" x14ac:dyDescent="0.3">
      <c r="A363" s="324"/>
      <c r="B363" s="324" t="s">
        <v>435</v>
      </c>
      <c r="C363" s="328" t="s">
        <v>115</v>
      </c>
      <c r="E363" s="326">
        <v>104.15</v>
      </c>
      <c r="F363" s="48">
        <f t="shared" si="13"/>
        <v>0</v>
      </c>
      <c r="G363" s="326"/>
    </row>
    <row r="364" spans="1:7" ht="14.4" x14ac:dyDescent="0.3">
      <c r="A364" s="324"/>
      <c r="B364" s="324" t="s">
        <v>436</v>
      </c>
      <c r="C364" s="328" t="s">
        <v>115</v>
      </c>
      <c r="E364" s="326">
        <v>26.1</v>
      </c>
      <c r="F364" s="48">
        <f t="shared" si="13"/>
        <v>0</v>
      </c>
      <c r="G364" s="326"/>
    </row>
    <row r="365" spans="1:7" ht="14.4" x14ac:dyDescent="0.3">
      <c r="A365" s="324"/>
      <c r="B365" s="324" t="s">
        <v>437</v>
      </c>
      <c r="C365" s="328" t="s">
        <v>115</v>
      </c>
      <c r="E365" s="326">
        <v>37.5</v>
      </c>
      <c r="F365" s="48">
        <f t="shared" si="13"/>
        <v>0</v>
      </c>
      <c r="G365" s="326"/>
    </row>
    <row r="366" spans="1:7" ht="14.4" x14ac:dyDescent="0.3">
      <c r="A366" s="324"/>
      <c r="B366" s="324" t="s">
        <v>438</v>
      </c>
      <c r="C366" s="328" t="s">
        <v>115</v>
      </c>
      <c r="E366" s="326">
        <v>35.93</v>
      </c>
      <c r="F366" s="48">
        <f t="shared" si="13"/>
        <v>0</v>
      </c>
      <c r="G366" s="326"/>
    </row>
    <row r="367" spans="1:7" ht="14.4" x14ac:dyDescent="0.3">
      <c r="A367" s="324"/>
      <c r="B367" s="324" t="s">
        <v>439</v>
      </c>
      <c r="C367" s="328" t="s">
        <v>115</v>
      </c>
      <c r="E367" s="326">
        <v>35</v>
      </c>
      <c r="F367" s="48">
        <f t="shared" si="13"/>
        <v>0</v>
      </c>
      <c r="G367" s="326"/>
    </row>
    <row r="368" spans="1:7" ht="14.4" x14ac:dyDescent="0.3">
      <c r="A368" s="324"/>
      <c r="B368" s="420" t="s">
        <v>440</v>
      </c>
      <c r="C368" s="328" t="s">
        <v>115</v>
      </c>
      <c r="E368" s="326">
        <v>35</v>
      </c>
      <c r="F368" s="48">
        <f t="shared" si="13"/>
        <v>0</v>
      </c>
      <c r="G368" s="326"/>
    </row>
    <row r="369" spans="1:7" ht="14.4" x14ac:dyDescent="0.3">
      <c r="A369" s="324"/>
      <c r="B369" s="420" t="s">
        <v>441</v>
      </c>
      <c r="C369" s="328" t="s">
        <v>115</v>
      </c>
      <c r="E369" s="326">
        <v>35</v>
      </c>
      <c r="F369" s="48">
        <f t="shared" si="13"/>
        <v>0</v>
      </c>
      <c r="G369" s="326"/>
    </row>
    <row r="370" spans="1:7" ht="14.4" x14ac:dyDescent="0.3">
      <c r="A370" s="324"/>
      <c r="B370" s="420" t="s">
        <v>442</v>
      </c>
      <c r="C370" s="328" t="s">
        <v>115</v>
      </c>
      <c r="E370" s="326">
        <v>20</v>
      </c>
      <c r="F370" s="48">
        <f t="shared" si="13"/>
        <v>0</v>
      </c>
      <c r="G370" s="326"/>
    </row>
    <row r="371" spans="1:7" ht="14.4" x14ac:dyDescent="0.3">
      <c r="A371" s="324"/>
      <c r="B371" s="324" t="s">
        <v>443</v>
      </c>
      <c r="C371" s="328" t="s">
        <v>115</v>
      </c>
      <c r="E371" s="326">
        <v>50</v>
      </c>
      <c r="F371" s="48">
        <f t="shared" si="13"/>
        <v>0</v>
      </c>
      <c r="G371" s="326"/>
    </row>
    <row r="372" spans="1:7" ht="14.4" x14ac:dyDescent="0.3">
      <c r="A372" s="324"/>
      <c r="B372" s="324" t="s">
        <v>444</v>
      </c>
      <c r="C372" s="328" t="s">
        <v>115</v>
      </c>
      <c r="E372" s="326">
        <v>54</v>
      </c>
      <c r="F372" s="48">
        <f t="shared" si="13"/>
        <v>0</v>
      </c>
      <c r="G372" s="326"/>
    </row>
    <row r="373" spans="1:7" ht="14.4" x14ac:dyDescent="0.3">
      <c r="A373" s="324"/>
      <c r="B373" s="324" t="s">
        <v>445</v>
      </c>
      <c r="C373" s="328" t="s">
        <v>115</v>
      </c>
      <c r="E373" s="326"/>
      <c r="F373" s="48">
        <f t="shared" si="13"/>
        <v>0</v>
      </c>
      <c r="G373" s="326"/>
    </row>
    <row r="374" spans="1:7" ht="14.4" x14ac:dyDescent="0.3">
      <c r="A374" s="324"/>
      <c r="B374" s="420" t="s">
        <v>446</v>
      </c>
      <c r="C374" s="328" t="s">
        <v>115</v>
      </c>
      <c r="E374" s="326">
        <v>15.55</v>
      </c>
      <c r="F374" s="48">
        <f t="shared" si="13"/>
        <v>0</v>
      </c>
      <c r="G374" s="326"/>
    </row>
    <row r="375" spans="1:7" ht="14.4" x14ac:dyDescent="0.3">
      <c r="A375" s="324"/>
      <c r="B375" s="420" t="s">
        <v>447</v>
      </c>
      <c r="C375" s="328" t="s">
        <v>115</v>
      </c>
      <c r="E375" s="326">
        <v>15</v>
      </c>
      <c r="F375" s="48">
        <f t="shared" si="13"/>
        <v>0</v>
      </c>
      <c r="G375" s="326"/>
    </row>
    <row r="376" spans="1:7" ht="14.4" x14ac:dyDescent="0.3">
      <c r="A376" s="324"/>
      <c r="B376" s="420" t="s">
        <v>448</v>
      </c>
      <c r="C376" s="419" t="s">
        <v>115</v>
      </c>
      <c r="E376" s="326">
        <v>10.87</v>
      </c>
      <c r="F376" s="48">
        <f t="shared" si="13"/>
        <v>0</v>
      </c>
      <c r="G376" s="326"/>
    </row>
    <row r="377" spans="1:7" ht="14.4" x14ac:dyDescent="0.3">
      <c r="A377" s="324"/>
      <c r="B377" s="420" t="s">
        <v>449</v>
      </c>
      <c r="C377" s="328" t="s">
        <v>115</v>
      </c>
      <c r="E377" s="326">
        <v>55</v>
      </c>
      <c r="F377" s="48">
        <f t="shared" si="13"/>
        <v>0</v>
      </c>
      <c r="G377" s="326"/>
    </row>
    <row r="378" spans="1:7" ht="14.4" x14ac:dyDescent="0.3">
      <c r="A378" s="324"/>
      <c r="B378" s="420" t="s">
        <v>450</v>
      </c>
      <c r="C378" s="328" t="s">
        <v>115</v>
      </c>
      <c r="E378" s="326">
        <v>55</v>
      </c>
      <c r="F378" s="48">
        <f t="shared" si="13"/>
        <v>0</v>
      </c>
      <c r="G378" s="326"/>
    </row>
    <row r="379" spans="1:7" ht="14.4" x14ac:dyDescent="0.3">
      <c r="A379" s="324"/>
      <c r="B379" s="420" t="s">
        <v>451</v>
      </c>
      <c r="C379" s="328" t="s">
        <v>115</v>
      </c>
      <c r="E379" s="326">
        <v>35</v>
      </c>
      <c r="F379" s="48">
        <f t="shared" si="13"/>
        <v>0</v>
      </c>
      <c r="G379" s="326"/>
    </row>
    <row r="380" spans="1:7" ht="14.4" x14ac:dyDescent="0.3">
      <c r="A380" s="324"/>
      <c r="B380" s="324" t="s">
        <v>452</v>
      </c>
      <c r="C380" s="328" t="s">
        <v>115</v>
      </c>
      <c r="E380" s="326">
        <v>35</v>
      </c>
      <c r="F380" s="48">
        <f t="shared" si="13"/>
        <v>0</v>
      </c>
      <c r="G380" s="326"/>
    </row>
    <row r="381" spans="1:7" ht="14.4" x14ac:dyDescent="0.3">
      <c r="A381" s="324"/>
      <c r="B381" s="324" t="s">
        <v>453</v>
      </c>
      <c r="C381" s="328" t="s">
        <v>115</v>
      </c>
      <c r="E381" s="326">
        <v>35</v>
      </c>
      <c r="F381" s="48">
        <f t="shared" si="13"/>
        <v>0</v>
      </c>
      <c r="G381" s="326"/>
    </row>
    <row r="382" spans="1:7" ht="14.4" x14ac:dyDescent="0.3">
      <c r="A382" s="324"/>
      <c r="B382" s="324" t="s">
        <v>454</v>
      </c>
      <c r="C382" s="328" t="s">
        <v>115</v>
      </c>
      <c r="E382" s="326">
        <v>35</v>
      </c>
      <c r="F382" s="48">
        <f t="shared" si="13"/>
        <v>0</v>
      </c>
      <c r="G382" s="326"/>
    </row>
    <row r="383" spans="1:7" ht="14.4" x14ac:dyDescent="0.3">
      <c r="A383" s="324"/>
      <c r="B383" s="420" t="s">
        <v>455</v>
      </c>
      <c r="C383" s="328" t="s">
        <v>115</v>
      </c>
      <c r="E383" s="326">
        <v>35</v>
      </c>
      <c r="F383" s="48">
        <f t="shared" si="13"/>
        <v>0</v>
      </c>
      <c r="G383" s="326"/>
    </row>
    <row r="384" spans="1:7" ht="14.4" x14ac:dyDescent="0.3">
      <c r="A384" s="324"/>
      <c r="B384" s="420" t="s">
        <v>456</v>
      </c>
      <c r="C384" s="328" t="s">
        <v>115</v>
      </c>
      <c r="E384" s="326">
        <v>35</v>
      </c>
      <c r="F384" s="48">
        <f t="shared" si="13"/>
        <v>0</v>
      </c>
      <c r="G384" s="326"/>
    </row>
    <row r="385" spans="1:7" ht="14.4" x14ac:dyDescent="0.3">
      <c r="A385" s="324"/>
      <c r="B385" s="324" t="s">
        <v>457</v>
      </c>
      <c r="C385" s="328" t="s">
        <v>115</v>
      </c>
      <c r="E385" s="326">
        <v>35</v>
      </c>
      <c r="F385" s="48">
        <f t="shared" si="13"/>
        <v>0</v>
      </c>
      <c r="G385" s="326"/>
    </row>
    <row r="386" spans="1:7" ht="14.4" x14ac:dyDescent="0.3">
      <c r="A386" s="324"/>
      <c r="B386" s="324" t="s">
        <v>458</v>
      </c>
      <c r="C386" s="328" t="s">
        <v>115</v>
      </c>
      <c r="E386" s="326">
        <v>26</v>
      </c>
      <c r="F386" s="48">
        <f t="shared" si="13"/>
        <v>0</v>
      </c>
      <c r="G386" s="326"/>
    </row>
    <row r="387" spans="1:7" ht="14.4" x14ac:dyDescent="0.3">
      <c r="A387" s="324"/>
      <c r="B387" s="420" t="s">
        <v>459</v>
      </c>
      <c r="C387" s="328" t="s">
        <v>115</v>
      </c>
      <c r="E387" s="326">
        <v>35</v>
      </c>
      <c r="F387" s="48">
        <f t="shared" si="13"/>
        <v>0</v>
      </c>
      <c r="G387" s="326"/>
    </row>
    <row r="388" spans="1:7" ht="14.4" x14ac:dyDescent="0.3">
      <c r="A388" s="324"/>
      <c r="B388" s="420" t="s">
        <v>460</v>
      </c>
      <c r="C388" s="328" t="s">
        <v>115</v>
      </c>
      <c r="E388" s="326">
        <v>10.87</v>
      </c>
      <c r="F388" s="48">
        <f t="shared" si="13"/>
        <v>0</v>
      </c>
      <c r="G388" s="326"/>
    </row>
    <row r="389" spans="1:7" ht="14.4" x14ac:dyDescent="0.3">
      <c r="A389" s="324"/>
      <c r="B389" s="324" t="s">
        <v>461</v>
      </c>
      <c r="C389" s="328" t="s">
        <v>115</v>
      </c>
      <c r="E389" s="326">
        <v>35</v>
      </c>
      <c r="F389" s="48">
        <f t="shared" si="13"/>
        <v>0</v>
      </c>
      <c r="G389" s="326"/>
    </row>
    <row r="390" spans="1:7" ht="14.4" x14ac:dyDescent="0.3">
      <c r="A390" s="324"/>
      <c r="B390" s="324" t="s">
        <v>462</v>
      </c>
      <c r="C390" s="328" t="s">
        <v>115</v>
      </c>
      <c r="D390" s="40">
        <v>4</v>
      </c>
      <c r="E390" s="326">
        <v>20</v>
      </c>
      <c r="F390" s="48">
        <f t="shared" si="13"/>
        <v>80</v>
      </c>
      <c r="G390" s="326"/>
    </row>
    <row r="391" spans="1:7" ht="14.4" x14ac:dyDescent="0.3">
      <c r="A391" s="324"/>
      <c r="B391" s="420" t="s">
        <v>463</v>
      </c>
      <c r="C391" s="328" t="s">
        <v>115</v>
      </c>
      <c r="E391" s="326">
        <v>20</v>
      </c>
      <c r="F391" s="48">
        <f t="shared" si="13"/>
        <v>0</v>
      </c>
      <c r="G391" s="326"/>
    </row>
    <row r="392" spans="1:7" ht="14.4" x14ac:dyDescent="0.3">
      <c r="A392" s="324"/>
      <c r="B392" s="420" t="s">
        <v>464</v>
      </c>
      <c r="C392" s="328" t="s">
        <v>115</v>
      </c>
      <c r="E392" s="326"/>
      <c r="F392" s="48">
        <f t="shared" si="13"/>
        <v>0</v>
      </c>
      <c r="G392" s="326"/>
    </row>
    <row r="393" spans="1:7" ht="14.4" x14ac:dyDescent="0.3">
      <c r="A393" s="324"/>
      <c r="B393" s="420" t="s">
        <v>465</v>
      </c>
      <c r="C393" s="328" t="s">
        <v>115</v>
      </c>
      <c r="E393" s="326">
        <v>35</v>
      </c>
      <c r="F393" s="48">
        <f t="shared" si="13"/>
        <v>0</v>
      </c>
      <c r="G393" s="326"/>
    </row>
    <row r="394" spans="1:7" ht="14.4" x14ac:dyDescent="0.3">
      <c r="A394" s="324"/>
      <c r="B394" s="324" t="s">
        <v>466</v>
      </c>
      <c r="C394" s="328" t="s">
        <v>115</v>
      </c>
      <c r="E394" s="326">
        <v>102.5</v>
      </c>
      <c r="F394" s="48">
        <f t="shared" si="13"/>
        <v>0</v>
      </c>
      <c r="G394" s="326"/>
    </row>
    <row r="395" spans="1:7" ht="14.4" x14ac:dyDescent="0.3">
      <c r="A395" s="324"/>
      <c r="B395" s="324" t="s">
        <v>467</v>
      </c>
      <c r="C395" s="328" t="s">
        <v>115</v>
      </c>
      <c r="E395" s="326">
        <v>235</v>
      </c>
      <c r="F395" s="48">
        <f t="shared" si="13"/>
        <v>0</v>
      </c>
      <c r="G395" s="326"/>
    </row>
    <row r="396" spans="1:7" ht="14.4" x14ac:dyDescent="0.3">
      <c r="A396" s="324"/>
      <c r="B396" s="324" t="s">
        <v>468</v>
      </c>
      <c r="C396" s="328" t="s">
        <v>115</v>
      </c>
      <c r="E396" s="326">
        <v>100</v>
      </c>
      <c r="F396" s="48">
        <f t="shared" si="13"/>
        <v>0</v>
      </c>
      <c r="G396" s="326"/>
    </row>
    <row r="397" spans="1:7" ht="14.4" x14ac:dyDescent="0.3">
      <c r="A397" s="324"/>
      <c r="B397" s="324" t="s">
        <v>469</v>
      </c>
      <c r="C397" s="328" t="s">
        <v>115</v>
      </c>
      <c r="E397" s="326">
        <v>47.41</v>
      </c>
      <c r="F397" s="48">
        <f t="shared" si="13"/>
        <v>0</v>
      </c>
      <c r="G397" s="326"/>
    </row>
    <row r="398" spans="1:7" ht="14.4" x14ac:dyDescent="0.3">
      <c r="A398" s="324"/>
      <c r="B398" s="324" t="s">
        <v>470</v>
      </c>
      <c r="C398" s="328" t="s">
        <v>115</v>
      </c>
      <c r="E398" s="326">
        <v>41.69</v>
      </c>
      <c r="F398" s="48">
        <f t="shared" si="13"/>
        <v>0</v>
      </c>
      <c r="G398" s="326"/>
    </row>
    <row r="399" spans="1:7" ht="14.4" x14ac:dyDescent="0.3">
      <c r="A399" s="324"/>
      <c r="B399" s="324" t="s">
        <v>471</v>
      </c>
      <c r="C399" s="328" t="s">
        <v>115</v>
      </c>
      <c r="E399" s="326">
        <v>85.55</v>
      </c>
      <c r="F399" s="48">
        <f t="shared" si="13"/>
        <v>0</v>
      </c>
      <c r="G399" s="326"/>
    </row>
    <row r="400" spans="1:7" ht="14.4" x14ac:dyDescent="0.3">
      <c r="A400" s="324"/>
      <c r="B400" s="324"/>
      <c r="C400" s="328" t="s">
        <v>115</v>
      </c>
      <c r="E400" s="326"/>
      <c r="F400" s="48">
        <f t="shared" si="13"/>
        <v>0</v>
      </c>
      <c r="G400" s="326"/>
    </row>
    <row r="401" spans="1:7" ht="14.4" x14ac:dyDescent="0.3">
      <c r="A401" s="324"/>
      <c r="B401" s="324" t="s">
        <v>473</v>
      </c>
      <c r="C401" s="328" t="s">
        <v>115</v>
      </c>
      <c r="E401" s="326">
        <v>70</v>
      </c>
      <c r="F401" s="48">
        <f t="shared" si="13"/>
        <v>0</v>
      </c>
      <c r="G401" s="326"/>
    </row>
    <row r="402" spans="1:7" ht="14.4" x14ac:dyDescent="0.3">
      <c r="A402" s="324"/>
      <c r="B402" s="324" t="s">
        <v>474</v>
      </c>
      <c r="C402" s="328" t="s">
        <v>115</v>
      </c>
      <c r="E402" s="326">
        <v>19</v>
      </c>
      <c r="F402" s="48">
        <f t="shared" si="13"/>
        <v>0</v>
      </c>
      <c r="G402" s="326"/>
    </row>
    <row r="403" spans="1:7" ht="14.4" x14ac:dyDescent="0.3">
      <c r="A403" s="324"/>
      <c r="B403" s="324" t="s">
        <v>475</v>
      </c>
      <c r="C403" s="328" t="s">
        <v>115</v>
      </c>
      <c r="E403" s="326">
        <v>16</v>
      </c>
      <c r="F403" s="48">
        <f t="shared" si="13"/>
        <v>0</v>
      </c>
      <c r="G403" s="326"/>
    </row>
    <row r="404" spans="1:7" ht="14.4" x14ac:dyDescent="0.3">
      <c r="A404" s="324"/>
      <c r="B404" s="324"/>
      <c r="C404" s="328"/>
      <c r="E404" s="326"/>
      <c r="F404" s="48"/>
      <c r="G404" s="326"/>
    </row>
    <row r="405" spans="1:7" ht="14.4" x14ac:dyDescent="0.3">
      <c r="A405" s="324"/>
      <c r="B405" s="420" t="s">
        <v>476</v>
      </c>
      <c r="C405" s="419" t="s">
        <v>149</v>
      </c>
      <c r="E405" s="326">
        <v>40.21</v>
      </c>
      <c r="F405" s="48">
        <f t="shared" si="13"/>
        <v>0</v>
      </c>
      <c r="G405" s="326"/>
    </row>
    <row r="406" spans="1:7" ht="14.4" x14ac:dyDescent="0.3">
      <c r="A406" s="324"/>
      <c r="B406" s="420" t="s">
        <v>988</v>
      </c>
      <c r="C406" s="419" t="s">
        <v>149</v>
      </c>
      <c r="D406" s="40">
        <v>31</v>
      </c>
      <c r="E406" s="326">
        <f>336/6</f>
        <v>56</v>
      </c>
      <c r="F406" s="48">
        <f t="shared" si="13"/>
        <v>1736</v>
      </c>
      <c r="G406" s="326"/>
    </row>
    <row r="407" spans="1:7" ht="14.4" x14ac:dyDescent="0.3">
      <c r="A407" s="324"/>
      <c r="B407" s="324" t="s">
        <v>479</v>
      </c>
      <c r="C407" s="328" t="s">
        <v>149</v>
      </c>
      <c r="D407" s="40">
        <v>104</v>
      </c>
      <c r="E407" s="329">
        <f>279/6</f>
        <v>46.5</v>
      </c>
      <c r="F407" s="48">
        <f t="shared" si="13"/>
        <v>4836</v>
      </c>
      <c r="G407" s="329"/>
    </row>
    <row r="408" spans="1:7" ht="14.4" x14ac:dyDescent="0.3">
      <c r="A408" s="324"/>
      <c r="B408" s="420" t="s">
        <v>977</v>
      </c>
      <c r="C408" s="419" t="s">
        <v>149</v>
      </c>
      <c r="D408" s="40">
        <v>20</v>
      </c>
      <c r="E408" s="329">
        <f>230/6</f>
        <v>38.333333333333336</v>
      </c>
      <c r="F408" s="48">
        <f t="shared" si="13"/>
        <v>766.66666666666674</v>
      </c>
      <c r="G408" s="329"/>
    </row>
    <row r="409" spans="1:7" ht="14.4" x14ac:dyDescent="0.3">
      <c r="A409" s="324"/>
      <c r="B409" s="420" t="s">
        <v>480</v>
      </c>
      <c r="C409" s="328" t="s">
        <v>149</v>
      </c>
      <c r="D409" s="40">
        <v>102</v>
      </c>
      <c r="E409" s="329">
        <f>190/6</f>
        <v>31.666666666666668</v>
      </c>
      <c r="F409" s="48">
        <f t="shared" si="13"/>
        <v>3230</v>
      </c>
      <c r="G409" s="329"/>
    </row>
    <row r="410" spans="1:7" ht="14.4" x14ac:dyDescent="0.3">
      <c r="A410" s="420" t="s">
        <v>115</v>
      </c>
      <c r="B410" s="324" t="s">
        <v>481</v>
      </c>
      <c r="C410" s="419" t="s">
        <v>115</v>
      </c>
      <c r="E410" s="329">
        <v>16.329999999999998</v>
      </c>
      <c r="F410" s="48">
        <f t="shared" si="13"/>
        <v>0</v>
      </c>
      <c r="G410" s="329"/>
    </row>
    <row r="411" spans="1:7" ht="14.4" x14ac:dyDescent="0.3">
      <c r="A411" s="324"/>
      <c r="B411" s="324" t="s">
        <v>482</v>
      </c>
      <c r="C411" s="419" t="s">
        <v>149</v>
      </c>
      <c r="D411" s="40">
        <v>10</v>
      </c>
      <c r="E411" s="329">
        <f>129/6</f>
        <v>21.5</v>
      </c>
      <c r="F411" s="48">
        <f t="shared" si="13"/>
        <v>215</v>
      </c>
      <c r="G411" s="329"/>
    </row>
    <row r="412" spans="1:7" ht="14.4" x14ac:dyDescent="0.3">
      <c r="A412" s="324"/>
      <c r="B412" s="420" t="s">
        <v>989</v>
      </c>
      <c r="C412" s="419" t="s">
        <v>115</v>
      </c>
      <c r="D412" s="40">
        <v>1</v>
      </c>
      <c r="E412" s="329">
        <v>130.1</v>
      </c>
      <c r="F412" s="48">
        <f t="shared" si="13"/>
        <v>130.1</v>
      </c>
      <c r="G412" s="329"/>
    </row>
    <row r="413" spans="1:7" ht="14.4" x14ac:dyDescent="0.3">
      <c r="A413" s="324"/>
      <c r="B413" s="420" t="s">
        <v>990</v>
      </c>
      <c r="C413" s="419" t="s">
        <v>115</v>
      </c>
      <c r="D413" s="40">
        <v>22</v>
      </c>
      <c r="E413" s="329">
        <v>56.35</v>
      </c>
      <c r="F413" s="48">
        <f t="shared" si="13"/>
        <v>1239.7</v>
      </c>
      <c r="G413" s="329"/>
    </row>
    <row r="414" spans="1:7" ht="14.4" x14ac:dyDescent="0.3">
      <c r="A414" s="324"/>
      <c r="B414" s="420" t="s">
        <v>991</v>
      </c>
      <c r="C414" s="419" t="s">
        <v>115</v>
      </c>
      <c r="D414" s="40">
        <v>3</v>
      </c>
      <c r="E414" s="329">
        <v>43.01</v>
      </c>
      <c r="F414" s="48">
        <f t="shared" si="13"/>
        <v>129.03</v>
      </c>
      <c r="G414" s="329"/>
    </row>
    <row r="415" spans="1:7" ht="14.4" x14ac:dyDescent="0.3">
      <c r="A415" s="324"/>
      <c r="B415" s="420" t="s">
        <v>483</v>
      </c>
      <c r="C415" s="419" t="s">
        <v>115</v>
      </c>
      <c r="D415" s="40">
        <v>12</v>
      </c>
      <c r="E415" s="329">
        <v>23.51</v>
      </c>
      <c r="F415" s="48">
        <f t="shared" si="13"/>
        <v>282.12</v>
      </c>
      <c r="G415" s="329"/>
    </row>
    <row r="416" spans="1:7" ht="14.4" x14ac:dyDescent="0.3">
      <c r="A416" s="324"/>
      <c r="B416" s="324" t="s">
        <v>484</v>
      </c>
      <c r="C416" s="328" t="s">
        <v>115</v>
      </c>
      <c r="D416" s="40">
        <v>1</v>
      </c>
      <c r="E416" s="329">
        <v>13.2</v>
      </c>
      <c r="F416" s="48">
        <f t="shared" si="13"/>
        <v>13.2</v>
      </c>
      <c r="G416" s="329"/>
    </row>
    <row r="417" spans="1:7" ht="14.4" x14ac:dyDescent="0.3">
      <c r="A417" s="324"/>
      <c r="B417" s="324" t="s">
        <v>485</v>
      </c>
      <c r="C417" s="419" t="s">
        <v>149</v>
      </c>
      <c r="D417" s="40">
        <v>255</v>
      </c>
      <c r="E417" s="329">
        <f>82/6</f>
        <v>13.666666666666666</v>
      </c>
      <c r="F417" s="48">
        <f t="shared" si="13"/>
        <v>3485</v>
      </c>
      <c r="G417" s="329"/>
    </row>
    <row r="418" spans="1:7" ht="14.4" x14ac:dyDescent="0.3">
      <c r="A418" s="324"/>
      <c r="B418" s="420" t="s">
        <v>486</v>
      </c>
      <c r="C418" s="419" t="s">
        <v>115</v>
      </c>
      <c r="D418" s="40">
        <v>15</v>
      </c>
      <c r="E418" s="329">
        <v>6.88</v>
      </c>
      <c r="F418" s="48">
        <f t="shared" si="13"/>
        <v>103.2</v>
      </c>
      <c r="G418" s="329"/>
    </row>
    <row r="419" spans="1:7" ht="14.4" x14ac:dyDescent="0.3">
      <c r="A419" s="324"/>
      <c r="B419" s="420" t="s">
        <v>979</v>
      </c>
      <c r="C419" s="419" t="s">
        <v>149</v>
      </c>
      <c r="D419" s="40">
        <v>29</v>
      </c>
      <c r="E419" s="329">
        <f>46.5/6</f>
        <v>7.75</v>
      </c>
      <c r="F419" s="48">
        <f t="shared" si="13"/>
        <v>224.75</v>
      </c>
      <c r="G419" s="329"/>
    </row>
    <row r="420" spans="1:7" ht="14.4" x14ac:dyDescent="0.3">
      <c r="A420" s="324"/>
      <c r="B420" s="420" t="s">
        <v>992</v>
      </c>
      <c r="C420" s="419" t="s">
        <v>115</v>
      </c>
      <c r="D420" s="40">
        <v>3</v>
      </c>
      <c r="E420" s="329">
        <v>4.2</v>
      </c>
      <c r="F420" s="48">
        <f t="shared" si="13"/>
        <v>12.600000000000001</v>
      </c>
      <c r="G420" s="329"/>
    </row>
    <row r="421" spans="1:7" ht="14.4" x14ac:dyDescent="0.3">
      <c r="A421" s="324"/>
      <c r="B421" s="324" t="s">
        <v>487</v>
      </c>
      <c r="C421" s="419" t="s">
        <v>115</v>
      </c>
      <c r="E421" s="326">
        <v>1.4</v>
      </c>
      <c r="F421" s="48">
        <f t="shared" ref="F421:F497" si="14">E421*D421</f>
        <v>0</v>
      </c>
      <c r="G421" s="326"/>
    </row>
    <row r="422" spans="1:7" ht="14.4" x14ac:dyDescent="0.3">
      <c r="A422" s="324"/>
      <c r="B422" s="324" t="s">
        <v>488</v>
      </c>
      <c r="C422" s="328" t="s">
        <v>115</v>
      </c>
      <c r="E422" s="326">
        <v>1.38</v>
      </c>
      <c r="F422" s="48">
        <f t="shared" si="14"/>
        <v>0</v>
      </c>
      <c r="G422" s="326"/>
    </row>
    <row r="423" spans="1:7" ht="14.4" x14ac:dyDescent="0.3">
      <c r="A423" s="324"/>
      <c r="B423" s="324" t="s">
        <v>489</v>
      </c>
      <c r="C423" s="328" t="s">
        <v>115</v>
      </c>
      <c r="E423" s="326">
        <v>1.32</v>
      </c>
      <c r="F423" s="48">
        <f t="shared" si="14"/>
        <v>0</v>
      </c>
      <c r="G423" s="326"/>
    </row>
    <row r="424" spans="1:7" ht="14.4" x14ac:dyDescent="0.3">
      <c r="A424" s="324"/>
      <c r="B424" s="324" t="s">
        <v>490</v>
      </c>
      <c r="C424" s="328" t="s">
        <v>115</v>
      </c>
      <c r="E424" s="326">
        <v>1.24</v>
      </c>
      <c r="F424" s="48">
        <f t="shared" si="14"/>
        <v>0</v>
      </c>
      <c r="G424" s="326"/>
    </row>
    <row r="425" spans="1:7" ht="14.4" x14ac:dyDescent="0.3">
      <c r="A425" s="324"/>
      <c r="B425" s="324" t="s">
        <v>491</v>
      </c>
      <c r="C425" s="419" t="s">
        <v>149</v>
      </c>
      <c r="E425" s="326">
        <v>5.0999999999999996</v>
      </c>
      <c r="F425" s="48">
        <f t="shared" si="14"/>
        <v>0</v>
      </c>
      <c r="G425" s="326"/>
    </row>
    <row r="426" spans="1:7" ht="14.4" x14ac:dyDescent="0.3">
      <c r="A426" s="324"/>
      <c r="B426" s="324"/>
      <c r="C426" s="328"/>
      <c r="E426" s="326"/>
      <c r="F426" s="48"/>
    </row>
    <row r="427" spans="1:7" ht="14.4" x14ac:dyDescent="0.3">
      <c r="A427" s="324"/>
      <c r="B427" s="420" t="s">
        <v>993</v>
      </c>
      <c r="C427" s="419" t="s">
        <v>115</v>
      </c>
      <c r="D427" s="40">
        <v>2</v>
      </c>
      <c r="E427" s="326">
        <v>50</v>
      </c>
      <c r="F427" s="48">
        <f t="shared" si="14"/>
        <v>100</v>
      </c>
    </row>
    <row r="428" spans="1:7" ht="14.4" x14ac:dyDescent="0.3">
      <c r="A428" s="324"/>
      <c r="B428" s="420" t="s">
        <v>994</v>
      </c>
      <c r="C428" s="419" t="s">
        <v>115</v>
      </c>
      <c r="D428" s="40">
        <v>1</v>
      </c>
      <c r="E428" s="326">
        <v>35</v>
      </c>
      <c r="F428" s="48">
        <f t="shared" si="14"/>
        <v>35</v>
      </c>
    </row>
    <row r="429" spans="1:7" ht="14.4" x14ac:dyDescent="0.3">
      <c r="A429" s="324"/>
      <c r="B429" s="420" t="s">
        <v>995</v>
      </c>
      <c r="C429" s="419" t="s">
        <v>115</v>
      </c>
      <c r="D429" s="40">
        <v>1</v>
      </c>
      <c r="E429" s="326">
        <v>29.42</v>
      </c>
      <c r="F429" s="48">
        <f t="shared" si="14"/>
        <v>29.42</v>
      </c>
    </row>
    <row r="430" spans="1:7" ht="14.4" x14ac:dyDescent="0.3">
      <c r="A430" s="324"/>
      <c r="B430" s="420" t="s">
        <v>996</v>
      </c>
      <c r="C430" s="419" t="s">
        <v>115</v>
      </c>
      <c r="D430" s="40">
        <v>1</v>
      </c>
      <c r="E430" s="326">
        <v>34.92</v>
      </c>
      <c r="F430" s="48">
        <f t="shared" si="14"/>
        <v>34.92</v>
      </c>
    </row>
    <row r="431" spans="1:7" ht="14.4" x14ac:dyDescent="0.3">
      <c r="A431" s="324"/>
      <c r="B431" s="420" t="s">
        <v>997</v>
      </c>
      <c r="C431" s="419" t="s">
        <v>115</v>
      </c>
      <c r="D431" s="40">
        <v>7</v>
      </c>
      <c r="E431" s="326">
        <v>37</v>
      </c>
      <c r="F431" s="48">
        <f t="shared" si="14"/>
        <v>259</v>
      </c>
    </row>
    <row r="432" spans="1:7" ht="14.4" x14ac:dyDescent="0.3">
      <c r="A432" s="324"/>
      <c r="B432" s="420" t="s">
        <v>998</v>
      </c>
      <c r="C432" s="419" t="s">
        <v>115</v>
      </c>
      <c r="D432" s="40">
        <v>1</v>
      </c>
      <c r="E432" s="326">
        <v>60</v>
      </c>
      <c r="F432" s="48">
        <f t="shared" si="14"/>
        <v>60</v>
      </c>
    </row>
    <row r="433" spans="1:7" ht="14.4" x14ac:dyDescent="0.3">
      <c r="A433" s="324"/>
      <c r="B433" s="420" t="s">
        <v>999</v>
      </c>
      <c r="C433" s="419" t="s">
        <v>115</v>
      </c>
      <c r="D433" s="40">
        <v>1</v>
      </c>
      <c r="E433" s="326">
        <v>26.04</v>
      </c>
      <c r="F433" s="48">
        <f t="shared" si="14"/>
        <v>26.04</v>
      </c>
    </row>
    <row r="434" spans="1:7" ht="14.4" x14ac:dyDescent="0.3">
      <c r="A434" s="324"/>
      <c r="B434" s="420" t="s">
        <v>1000</v>
      </c>
      <c r="C434" s="419" t="s">
        <v>115</v>
      </c>
      <c r="D434" s="40">
        <v>2</v>
      </c>
      <c r="E434" s="326">
        <v>41.07</v>
      </c>
      <c r="F434" s="48">
        <f t="shared" si="14"/>
        <v>82.14</v>
      </c>
    </row>
    <row r="435" spans="1:7" ht="14.4" x14ac:dyDescent="0.3">
      <c r="A435" s="324"/>
      <c r="B435" s="420" t="s">
        <v>1001</v>
      </c>
      <c r="C435" s="419" t="s">
        <v>115</v>
      </c>
      <c r="D435" s="40">
        <v>5</v>
      </c>
      <c r="E435" s="326">
        <v>35</v>
      </c>
      <c r="F435" s="48">
        <f t="shared" si="14"/>
        <v>175</v>
      </c>
    </row>
    <row r="436" spans="1:7" ht="14.4" x14ac:dyDescent="0.3">
      <c r="A436" s="324"/>
      <c r="B436" s="420" t="s">
        <v>1002</v>
      </c>
      <c r="C436" s="419" t="s">
        <v>115</v>
      </c>
      <c r="D436" s="40">
        <v>1</v>
      </c>
      <c r="E436" s="326">
        <v>13.64</v>
      </c>
      <c r="F436" s="48">
        <f t="shared" si="14"/>
        <v>13.64</v>
      </c>
    </row>
    <row r="437" spans="1:7" ht="14.4" x14ac:dyDescent="0.3">
      <c r="A437" s="324"/>
      <c r="B437" s="420" t="s">
        <v>493</v>
      </c>
      <c r="C437" s="419" t="s">
        <v>115</v>
      </c>
      <c r="D437" s="40">
        <v>8</v>
      </c>
      <c r="E437" s="326">
        <v>79.8</v>
      </c>
      <c r="F437" s="48">
        <f t="shared" si="14"/>
        <v>638.4</v>
      </c>
    </row>
    <row r="438" spans="1:7" ht="14.4" x14ac:dyDescent="0.3">
      <c r="A438" s="324"/>
      <c r="B438" s="420" t="s">
        <v>494</v>
      </c>
      <c r="C438" s="419" t="s">
        <v>115</v>
      </c>
      <c r="D438" s="40">
        <v>24</v>
      </c>
      <c r="E438" s="326">
        <v>45.02</v>
      </c>
      <c r="F438" s="48">
        <f t="shared" si="14"/>
        <v>1080.48</v>
      </c>
    </row>
    <row r="439" spans="1:7" ht="14.4" x14ac:dyDescent="0.3">
      <c r="A439" s="324"/>
      <c r="B439" s="420" t="s">
        <v>1003</v>
      </c>
      <c r="C439" s="419" t="s">
        <v>115</v>
      </c>
      <c r="D439" s="40">
        <v>5</v>
      </c>
      <c r="E439" s="326">
        <v>32.72</v>
      </c>
      <c r="F439" s="48">
        <f t="shared" si="14"/>
        <v>163.6</v>
      </c>
    </row>
    <row r="440" spans="1:7" ht="14.4" x14ac:dyDescent="0.3">
      <c r="A440" s="324"/>
      <c r="B440" s="420" t="s">
        <v>495</v>
      </c>
      <c r="C440" s="419" t="s">
        <v>115</v>
      </c>
      <c r="D440" s="40">
        <v>8</v>
      </c>
      <c r="E440" s="326">
        <v>14.31</v>
      </c>
      <c r="F440" s="48">
        <f t="shared" si="14"/>
        <v>114.48</v>
      </c>
      <c r="G440" s="326"/>
    </row>
    <row r="441" spans="1:7" ht="14.4" x14ac:dyDescent="0.3">
      <c r="A441" s="324"/>
      <c r="B441" s="420" t="s">
        <v>496</v>
      </c>
      <c r="C441" s="328" t="s">
        <v>115</v>
      </c>
      <c r="D441" s="40">
        <v>4</v>
      </c>
      <c r="E441" s="326">
        <v>7.17</v>
      </c>
      <c r="F441" s="48">
        <f t="shared" si="14"/>
        <v>28.68</v>
      </c>
      <c r="G441" s="326"/>
    </row>
    <row r="442" spans="1:7" ht="14.4" x14ac:dyDescent="0.3">
      <c r="A442" s="324"/>
      <c r="B442" s="420" t="s">
        <v>497</v>
      </c>
      <c r="C442" s="328" t="s">
        <v>115</v>
      </c>
      <c r="D442" s="40">
        <v>98</v>
      </c>
      <c r="E442" s="326">
        <v>3.76</v>
      </c>
      <c r="F442" s="48">
        <f t="shared" si="14"/>
        <v>368.47999999999996</v>
      </c>
      <c r="G442" s="326"/>
    </row>
    <row r="443" spans="1:7" ht="14.4" x14ac:dyDescent="0.3">
      <c r="A443" s="324"/>
      <c r="B443" s="420"/>
      <c r="C443" s="328"/>
      <c r="E443" s="326"/>
      <c r="F443" s="48">
        <f t="shared" si="14"/>
        <v>0</v>
      </c>
      <c r="G443" s="326"/>
    </row>
    <row r="444" spans="1:7" ht="14.4" x14ac:dyDescent="0.3">
      <c r="A444" s="324"/>
      <c r="B444" s="324"/>
      <c r="C444" s="328"/>
      <c r="E444" s="326"/>
      <c r="F444" s="48">
        <f t="shared" si="14"/>
        <v>0</v>
      </c>
    </row>
    <row r="445" spans="1:7" ht="14.4" x14ac:dyDescent="0.3">
      <c r="A445" s="324"/>
      <c r="B445" s="324"/>
      <c r="C445" s="328"/>
      <c r="E445" s="326"/>
      <c r="F445" s="48">
        <f t="shared" si="14"/>
        <v>0</v>
      </c>
    </row>
    <row r="446" spans="1:7" ht="14.4" x14ac:dyDescent="0.3">
      <c r="A446" s="324"/>
      <c r="B446" s="324"/>
      <c r="C446" s="328"/>
      <c r="E446" s="326"/>
      <c r="F446" s="48">
        <f t="shared" si="14"/>
        <v>0</v>
      </c>
    </row>
    <row r="447" spans="1:7" ht="14.4" x14ac:dyDescent="0.3">
      <c r="A447" s="420" t="s">
        <v>498</v>
      </c>
      <c r="B447" s="324"/>
      <c r="C447" s="328"/>
      <c r="E447" s="326"/>
      <c r="F447" s="48">
        <f t="shared" si="14"/>
        <v>0</v>
      </c>
    </row>
    <row r="448" spans="1:7" ht="14.4" x14ac:dyDescent="0.3">
      <c r="A448" s="324"/>
      <c r="B448" s="324" t="s">
        <v>499</v>
      </c>
      <c r="C448" s="328" t="s">
        <v>115</v>
      </c>
      <c r="E448" s="326">
        <v>13.5</v>
      </c>
      <c r="F448" s="48">
        <f t="shared" si="14"/>
        <v>0</v>
      </c>
      <c r="G448" s="326"/>
    </row>
    <row r="449" spans="1:7" ht="14.4" x14ac:dyDescent="0.3">
      <c r="A449" s="324"/>
      <c r="B449" s="324" t="s">
        <v>500</v>
      </c>
      <c r="C449" s="328" t="s">
        <v>115</v>
      </c>
      <c r="E449" s="326">
        <v>13.5</v>
      </c>
      <c r="F449" s="48">
        <f t="shared" si="14"/>
        <v>0</v>
      </c>
      <c r="G449" s="326"/>
    </row>
    <row r="450" spans="1:7" ht="14.4" x14ac:dyDescent="0.3">
      <c r="A450" s="324"/>
      <c r="B450" s="324" t="s">
        <v>501</v>
      </c>
      <c r="C450" s="328" t="s">
        <v>115</v>
      </c>
      <c r="E450" s="326">
        <v>9.5</v>
      </c>
      <c r="F450" s="48">
        <f t="shared" si="14"/>
        <v>0</v>
      </c>
      <c r="G450" s="326"/>
    </row>
    <row r="451" spans="1:7" ht="14.4" x14ac:dyDescent="0.3">
      <c r="A451" s="324"/>
      <c r="B451" s="324" t="s">
        <v>502</v>
      </c>
      <c r="C451" s="328" t="s">
        <v>115</v>
      </c>
      <c r="E451" s="326">
        <v>18.5</v>
      </c>
      <c r="F451" s="48">
        <f t="shared" si="14"/>
        <v>0</v>
      </c>
      <c r="G451" s="326"/>
    </row>
    <row r="452" spans="1:7" ht="14.4" x14ac:dyDescent="0.3">
      <c r="A452" s="324"/>
      <c r="B452" s="324" t="s">
        <v>503</v>
      </c>
      <c r="C452" s="328" t="s">
        <v>115</v>
      </c>
      <c r="E452" s="326">
        <v>18.5</v>
      </c>
      <c r="F452" s="48">
        <f t="shared" si="14"/>
        <v>0</v>
      </c>
      <c r="G452" s="326"/>
    </row>
    <row r="453" spans="1:7" ht="14.4" x14ac:dyDescent="0.3">
      <c r="A453" s="324"/>
      <c r="B453" s="324" t="s">
        <v>504</v>
      </c>
      <c r="C453" s="328" t="s">
        <v>115</v>
      </c>
      <c r="E453" s="326">
        <v>6</v>
      </c>
      <c r="F453" s="48">
        <f t="shared" si="14"/>
        <v>0</v>
      </c>
      <c r="G453" s="326"/>
    </row>
    <row r="454" spans="1:7" ht="14.4" x14ac:dyDescent="0.3">
      <c r="A454" s="324"/>
      <c r="B454" s="324" t="s">
        <v>505</v>
      </c>
      <c r="C454" s="328" t="s">
        <v>115</v>
      </c>
      <c r="E454" s="326">
        <v>5.5</v>
      </c>
      <c r="F454" s="48">
        <f t="shared" si="14"/>
        <v>0</v>
      </c>
      <c r="G454" s="326"/>
    </row>
    <row r="455" spans="1:7" ht="14.4" x14ac:dyDescent="0.3">
      <c r="A455" s="324"/>
      <c r="B455" s="324" t="s">
        <v>506</v>
      </c>
      <c r="C455" s="328" t="s">
        <v>115</v>
      </c>
      <c r="E455" s="326">
        <v>17.5</v>
      </c>
      <c r="F455" s="48">
        <f t="shared" si="14"/>
        <v>0</v>
      </c>
      <c r="G455" s="326"/>
    </row>
    <row r="456" spans="1:7" ht="14.4" x14ac:dyDescent="0.3">
      <c r="A456" s="324"/>
      <c r="B456" s="324" t="s">
        <v>507</v>
      </c>
      <c r="C456" s="328" t="s">
        <v>115</v>
      </c>
      <c r="E456" s="326">
        <v>16.5</v>
      </c>
      <c r="F456" s="48">
        <f t="shared" si="14"/>
        <v>0</v>
      </c>
      <c r="G456" s="326"/>
    </row>
    <row r="457" spans="1:7" ht="14.4" x14ac:dyDescent="0.3">
      <c r="A457" s="324"/>
      <c r="B457" s="324" t="s">
        <v>508</v>
      </c>
      <c r="C457" s="328" t="s">
        <v>115</v>
      </c>
      <c r="E457" s="326">
        <v>2.5</v>
      </c>
      <c r="F457" s="48">
        <f t="shared" si="14"/>
        <v>0</v>
      </c>
      <c r="G457" s="326"/>
    </row>
    <row r="458" spans="1:7" ht="14.4" x14ac:dyDescent="0.3">
      <c r="A458" s="324"/>
      <c r="B458" s="324" t="s">
        <v>509</v>
      </c>
      <c r="C458" s="328" t="s">
        <v>115</v>
      </c>
      <c r="E458" s="326">
        <v>43.5</v>
      </c>
      <c r="F458" s="48">
        <f t="shared" si="14"/>
        <v>0</v>
      </c>
      <c r="G458" s="326"/>
    </row>
    <row r="459" spans="1:7" ht="14.4" x14ac:dyDescent="0.3">
      <c r="A459" s="324"/>
      <c r="B459" s="324" t="s">
        <v>510</v>
      </c>
      <c r="C459" s="328" t="s">
        <v>115</v>
      </c>
      <c r="E459" s="326">
        <v>43.5</v>
      </c>
      <c r="F459" s="48">
        <f t="shared" si="14"/>
        <v>0</v>
      </c>
      <c r="G459" s="326"/>
    </row>
    <row r="460" spans="1:7" ht="14.4" x14ac:dyDescent="0.3">
      <c r="A460" s="324"/>
      <c r="B460" s="324" t="s">
        <v>511</v>
      </c>
      <c r="C460" s="328" t="s">
        <v>115</v>
      </c>
      <c r="E460" s="326">
        <v>45.5</v>
      </c>
      <c r="F460" s="48">
        <f t="shared" si="14"/>
        <v>0</v>
      </c>
      <c r="G460" s="326"/>
    </row>
    <row r="461" spans="1:7" ht="14.4" x14ac:dyDescent="0.3">
      <c r="A461" s="324"/>
      <c r="B461" s="324" t="s">
        <v>512</v>
      </c>
      <c r="C461" s="328" t="s">
        <v>115</v>
      </c>
      <c r="E461" s="326">
        <v>76</v>
      </c>
      <c r="F461" s="48">
        <f t="shared" si="14"/>
        <v>0</v>
      </c>
      <c r="G461" s="326"/>
    </row>
    <row r="462" spans="1:7" ht="14.4" x14ac:dyDescent="0.3">
      <c r="A462" s="324"/>
      <c r="B462" s="324" t="s">
        <v>513</v>
      </c>
      <c r="C462" s="328" t="s">
        <v>115</v>
      </c>
      <c r="E462" s="326">
        <v>11.5</v>
      </c>
      <c r="F462" s="48">
        <f t="shared" si="14"/>
        <v>0</v>
      </c>
      <c r="G462" s="326"/>
    </row>
    <row r="463" spans="1:7" ht="14.4" x14ac:dyDescent="0.3">
      <c r="A463" s="324"/>
      <c r="B463" s="324" t="s">
        <v>514</v>
      </c>
      <c r="C463" s="328" t="s">
        <v>115</v>
      </c>
      <c r="E463" s="326">
        <v>11.5</v>
      </c>
      <c r="F463" s="48">
        <f t="shared" si="14"/>
        <v>0</v>
      </c>
      <c r="G463" s="326"/>
    </row>
    <row r="464" spans="1:7" ht="14.4" x14ac:dyDescent="0.3">
      <c r="A464" s="324"/>
      <c r="B464" s="324" t="s">
        <v>515</v>
      </c>
      <c r="C464" s="328" t="s">
        <v>115</v>
      </c>
      <c r="E464" s="326">
        <v>12</v>
      </c>
      <c r="F464" s="48">
        <f t="shared" si="14"/>
        <v>0</v>
      </c>
      <c r="G464" s="326"/>
    </row>
    <row r="465" spans="1:7" ht="14.4" x14ac:dyDescent="0.3">
      <c r="A465" s="324"/>
      <c r="B465" s="324" t="s">
        <v>516</v>
      </c>
      <c r="C465" s="328" t="s">
        <v>115</v>
      </c>
      <c r="E465" s="326">
        <v>18.5</v>
      </c>
      <c r="F465" s="48">
        <f t="shared" si="14"/>
        <v>0</v>
      </c>
      <c r="G465" s="326"/>
    </row>
    <row r="466" spans="1:7" ht="14.4" x14ac:dyDescent="0.3">
      <c r="A466" s="324"/>
      <c r="B466" s="324" t="s">
        <v>517</v>
      </c>
      <c r="C466" s="328" t="s">
        <v>115</v>
      </c>
      <c r="E466" s="326">
        <v>19.5</v>
      </c>
      <c r="F466" s="48">
        <f t="shared" si="14"/>
        <v>0</v>
      </c>
      <c r="G466" s="326"/>
    </row>
    <row r="467" spans="1:7" ht="14.4" x14ac:dyDescent="0.3">
      <c r="A467" s="324"/>
      <c r="B467" s="324" t="s">
        <v>518</v>
      </c>
      <c r="C467" s="328" t="s">
        <v>115</v>
      </c>
      <c r="E467" s="326">
        <v>4.5</v>
      </c>
      <c r="F467" s="48">
        <f t="shared" si="14"/>
        <v>0</v>
      </c>
      <c r="G467" s="326"/>
    </row>
    <row r="468" spans="1:7" ht="14.4" x14ac:dyDescent="0.3">
      <c r="A468" s="324"/>
      <c r="B468" s="324" t="s">
        <v>519</v>
      </c>
      <c r="C468" s="328" t="s">
        <v>115</v>
      </c>
      <c r="E468" s="326">
        <v>10.5</v>
      </c>
      <c r="F468" s="48">
        <f t="shared" si="14"/>
        <v>0</v>
      </c>
      <c r="G468" s="326"/>
    </row>
    <row r="469" spans="1:7" ht="14.4" x14ac:dyDescent="0.3">
      <c r="A469" s="324"/>
      <c r="B469" s="324" t="s">
        <v>520</v>
      </c>
      <c r="C469" s="328" t="s">
        <v>115</v>
      </c>
      <c r="E469" s="326">
        <v>14.5</v>
      </c>
      <c r="F469" s="48">
        <f t="shared" si="14"/>
        <v>0</v>
      </c>
      <c r="G469" s="326"/>
    </row>
    <row r="470" spans="1:7" ht="14.4" x14ac:dyDescent="0.3">
      <c r="A470" s="324"/>
      <c r="B470" s="324" t="s">
        <v>521</v>
      </c>
      <c r="C470" s="328" t="s">
        <v>115</v>
      </c>
      <c r="E470" s="326">
        <v>28.5</v>
      </c>
      <c r="F470" s="48">
        <f t="shared" si="14"/>
        <v>0</v>
      </c>
      <c r="G470" s="326"/>
    </row>
    <row r="471" spans="1:7" ht="14.4" x14ac:dyDescent="0.3">
      <c r="A471" s="324"/>
      <c r="B471" s="324" t="s">
        <v>522</v>
      </c>
      <c r="C471" s="328" t="s">
        <v>115</v>
      </c>
      <c r="E471" s="326">
        <v>29.5</v>
      </c>
      <c r="F471" s="48">
        <f t="shared" si="14"/>
        <v>0</v>
      </c>
      <c r="G471" s="326"/>
    </row>
    <row r="472" spans="1:7" ht="14.4" x14ac:dyDescent="0.3">
      <c r="A472" s="324"/>
      <c r="B472" s="324" t="s">
        <v>523</v>
      </c>
      <c r="C472" s="328" t="s">
        <v>115</v>
      </c>
      <c r="E472" s="326">
        <v>36</v>
      </c>
      <c r="F472" s="48">
        <f t="shared" si="14"/>
        <v>0</v>
      </c>
      <c r="G472" s="326"/>
    </row>
    <row r="473" spans="1:7" ht="14.4" x14ac:dyDescent="0.3">
      <c r="A473" s="324"/>
      <c r="B473" s="324" t="s">
        <v>524</v>
      </c>
      <c r="C473" s="328" t="s">
        <v>115</v>
      </c>
      <c r="E473" s="326">
        <v>54</v>
      </c>
      <c r="F473" s="48">
        <f t="shared" si="14"/>
        <v>0</v>
      </c>
      <c r="G473" s="326"/>
    </row>
    <row r="474" spans="1:7" ht="14.4" x14ac:dyDescent="0.3">
      <c r="A474" s="324"/>
      <c r="B474" s="324" t="s">
        <v>525</v>
      </c>
      <c r="C474" s="328" t="s">
        <v>115</v>
      </c>
      <c r="E474" s="326">
        <v>10.5</v>
      </c>
      <c r="F474" s="48">
        <f t="shared" si="14"/>
        <v>0</v>
      </c>
      <c r="G474" s="326"/>
    </row>
    <row r="475" spans="1:7" ht="14.4" x14ac:dyDescent="0.3">
      <c r="A475" s="324"/>
      <c r="B475" s="324" t="s">
        <v>526</v>
      </c>
      <c r="C475" s="328" t="s">
        <v>115</v>
      </c>
      <c r="E475" s="326">
        <v>10</v>
      </c>
      <c r="F475" s="48">
        <f t="shared" si="14"/>
        <v>0</v>
      </c>
      <c r="G475" s="326"/>
    </row>
    <row r="476" spans="1:7" ht="14.4" x14ac:dyDescent="0.3">
      <c r="A476" s="324"/>
      <c r="B476" s="324" t="s">
        <v>527</v>
      </c>
      <c r="C476" s="328" t="s">
        <v>115</v>
      </c>
      <c r="E476" s="326">
        <v>5.5</v>
      </c>
      <c r="F476" s="48">
        <f t="shared" si="14"/>
        <v>0</v>
      </c>
      <c r="G476" s="326"/>
    </row>
    <row r="477" spans="1:7" ht="14.4" x14ac:dyDescent="0.3">
      <c r="A477" s="324"/>
      <c r="B477" s="324" t="s">
        <v>528</v>
      </c>
      <c r="C477" s="328" t="s">
        <v>115</v>
      </c>
      <c r="E477" s="326">
        <v>18</v>
      </c>
      <c r="F477" s="48">
        <f t="shared" si="14"/>
        <v>0</v>
      </c>
      <c r="G477" s="326"/>
    </row>
    <row r="478" spans="1:7" ht="14.4" x14ac:dyDescent="0.3">
      <c r="A478" s="324"/>
      <c r="B478" s="324" t="s">
        <v>529</v>
      </c>
      <c r="C478" s="328" t="s">
        <v>115</v>
      </c>
      <c r="E478" s="326">
        <v>4.5</v>
      </c>
      <c r="F478" s="48">
        <f t="shared" si="14"/>
        <v>0</v>
      </c>
      <c r="G478" s="326"/>
    </row>
    <row r="479" spans="1:7" ht="14.4" x14ac:dyDescent="0.3">
      <c r="A479" s="324"/>
      <c r="B479" s="324" t="s">
        <v>530</v>
      </c>
      <c r="C479" s="328" t="s">
        <v>115</v>
      </c>
      <c r="E479" s="326">
        <v>6.5</v>
      </c>
      <c r="F479" s="48">
        <f t="shared" si="14"/>
        <v>0</v>
      </c>
      <c r="G479" s="326"/>
    </row>
    <row r="480" spans="1:7" ht="14.4" x14ac:dyDescent="0.3">
      <c r="A480" s="324"/>
      <c r="B480" s="324" t="s">
        <v>531</v>
      </c>
      <c r="C480" s="328" t="s">
        <v>115</v>
      </c>
      <c r="E480" s="326">
        <v>25.5</v>
      </c>
      <c r="F480" s="48">
        <f t="shared" si="14"/>
        <v>0</v>
      </c>
      <c r="G480" s="326"/>
    </row>
    <row r="481" spans="1:7" ht="14.4" x14ac:dyDescent="0.3">
      <c r="A481" s="324"/>
      <c r="B481" s="324" t="s">
        <v>532</v>
      </c>
      <c r="C481" s="328" t="s">
        <v>115</v>
      </c>
      <c r="E481" s="326">
        <v>22.5</v>
      </c>
      <c r="F481" s="48">
        <f t="shared" si="14"/>
        <v>0</v>
      </c>
      <c r="G481" s="326"/>
    </row>
    <row r="482" spans="1:7" ht="14.4" x14ac:dyDescent="0.3">
      <c r="A482" s="324"/>
      <c r="B482" s="324" t="s">
        <v>533</v>
      </c>
      <c r="C482" s="328" t="s">
        <v>115</v>
      </c>
      <c r="E482" s="326">
        <v>8.5</v>
      </c>
      <c r="F482" s="48">
        <f t="shared" si="14"/>
        <v>0</v>
      </c>
      <c r="G482" s="326"/>
    </row>
    <row r="483" spans="1:7" ht="14.4" x14ac:dyDescent="0.3">
      <c r="A483" s="324"/>
      <c r="B483" s="324" t="s">
        <v>534</v>
      </c>
      <c r="C483" s="328" t="s">
        <v>115</v>
      </c>
      <c r="E483" s="326">
        <v>6.5</v>
      </c>
      <c r="F483" s="48">
        <f t="shared" si="14"/>
        <v>0</v>
      </c>
      <c r="G483" s="326"/>
    </row>
    <row r="484" spans="1:7" ht="14.4" x14ac:dyDescent="0.3">
      <c r="A484" s="324"/>
      <c r="B484" s="324" t="s">
        <v>535</v>
      </c>
      <c r="C484" s="328" t="s">
        <v>115</v>
      </c>
      <c r="E484" s="326">
        <v>10.5</v>
      </c>
      <c r="F484" s="48">
        <f t="shared" si="14"/>
        <v>0</v>
      </c>
      <c r="G484" s="326"/>
    </row>
    <row r="485" spans="1:7" ht="14.4" x14ac:dyDescent="0.3">
      <c r="A485" s="324"/>
      <c r="B485" s="324" t="s">
        <v>536</v>
      </c>
      <c r="C485" s="328" t="s">
        <v>115</v>
      </c>
      <c r="E485" s="326">
        <v>0</v>
      </c>
      <c r="F485" s="48">
        <f t="shared" si="14"/>
        <v>0</v>
      </c>
      <c r="G485" s="326"/>
    </row>
    <row r="486" spans="1:7" ht="14.4" x14ac:dyDescent="0.3">
      <c r="A486" s="324"/>
      <c r="B486" s="324" t="s">
        <v>537</v>
      </c>
      <c r="C486" s="328" t="s">
        <v>115</v>
      </c>
      <c r="E486" s="326">
        <v>4.5</v>
      </c>
      <c r="F486" s="48">
        <f t="shared" si="14"/>
        <v>0</v>
      </c>
      <c r="G486" s="326"/>
    </row>
    <row r="487" spans="1:7" ht="14.4" x14ac:dyDescent="0.3">
      <c r="A487" s="324"/>
      <c r="B487" s="324" t="s">
        <v>538</v>
      </c>
      <c r="C487" s="328" t="s">
        <v>115</v>
      </c>
      <c r="E487" s="326">
        <v>4</v>
      </c>
      <c r="F487" s="48">
        <f t="shared" si="14"/>
        <v>0</v>
      </c>
      <c r="G487" s="326"/>
    </row>
    <row r="488" spans="1:7" ht="14.4" x14ac:dyDescent="0.3">
      <c r="A488" s="324"/>
      <c r="B488" s="324" t="s">
        <v>539</v>
      </c>
      <c r="C488" s="328" t="s">
        <v>115</v>
      </c>
      <c r="E488" s="326">
        <v>17</v>
      </c>
      <c r="F488" s="48">
        <f t="shared" si="14"/>
        <v>0</v>
      </c>
      <c r="G488" s="326"/>
    </row>
    <row r="489" spans="1:7" ht="14.4" x14ac:dyDescent="0.3">
      <c r="A489" s="324"/>
      <c r="B489" s="324" t="s">
        <v>540</v>
      </c>
      <c r="C489" s="328" t="s">
        <v>115</v>
      </c>
      <c r="E489" s="326">
        <v>17.5</v>
      </c>
      <c r="F489" s="48">
        <f t="shared" si="14"/>
        <v>0</v>
      </c>
      <c r="G489" s="326"/>
    </row>
    <row r="490" spans="1:7" ht="14.4" x14ac:dyDescent="0.3">
      <c r="A490" s="324"/>
      <c r="B490" s="324" t="s">
        <v>541</v>
      </c>
      <c r="C490" s="328" t="s">
        <v>115</v>
      </c>
      <c r="E490" s="326">
        <v>4.5</v>
      </c>
      <c r="F490" s="48">
        <f t="shared" si="14"/>
        <v>0</v>
      </c>
      <c r="G490" s="326"/>
    </row>
    <row r="491" spans="1:7" ht="14.4" x14ac:dyDescent="0.3">
      <c r="A491" s="324"/>
      <c r="B491" s="324" t="s">
        <v>542</v>
      </c>
      <c r="C491" s="328" t="s">
        <v>115</v>
      </c>
      <c r="E491" s="326">
        <v>2</v>
      </c>
      <c r="F491" s="48">
        <f t="shared" si="14"/>
        <v>0</v>
      </c>
      <c r="G491" s="326"/>
    </row>
    <row r="492" spans="1:7" ht="14.4" x14ac:dyDescent="0.3">
      <c r="A492" s="324"/>
      <c r="B492" s="324" t="s">
        <v>543</v>
      </c>
      <c r="C492" s="328" t="s">
        <v>115</v>
      </c>
      <c r="E492" s="326">
        <v>8.5</v>
      </c>
      <c r="F492" s="48">
        <f t="shared" si="14"/>
        <v>0</v>
      </c>
      <c r="G492" s="326"/>
    </row>
    <row r="493" spans="1:7" ht="14.4" x14ac:dyDescent="0.3">
      <c r="A493" s="324"/>
      <c r="B493" s="324" t="s">
        <v>544</v>
      </c>
      <c r="C493" s="328" t="s">
        <v>115</v>
      </c>
      <c r="E493" s="326">
        <v>4</v>
      </c>
      <c r="F493" s="48">
        <f t="shared" si="14"/>
        <v>0</v>
      </c>
      <c r="G493" s="326"/>
    </row>
    <row r="494" spans="1:7" ht="14.4" x14ac:dyDescent="0.3">
      <c r="A494" s="420" t="s">
        <v>498</v>
      </c>
      <c r="B494" s="324"/>
      <c r="C494" s="328" t="s">
        <v>115</v>
      </c>
      <c r="E494" s="326"/>
      <c r="F494" s="48">
        <f t="shared" si="14"/>
        <v>0</v>
      </c>
    </row>
    <row r="495" spans="1:7" ht="14.4" x14ac:dyDescent="0.3">
      <c r="A495" s="324"/>
      <c r="B495" s="324" t="s">
        <v>545</v>
      </c>
      <c r="C495" s="328"/>
      <c r="E495" s="326">
        <v>137</v>
      </c>
      <c r="F495" s="48">
        <f t="shared" si="14"/>
        <v>0</v>
      </c>
      <c r="G495" s="326"/>
    </row>
    <row r="496" spans="1:7" ht="14.4" x14ac:dyDescent="0.3">
      <c r="A496" s="324"/>
      <c r="B496" s="324" t="s">
        <v>546</v>
      </c>
      <c r="C496" s="328" t="s">
        <v>115</v>
      </c>
      <c r="E496" s="326">
        <v>139.5</v>
      </c>
      <c r="F496" s="48">
        <f t="shared" si="14"/>
        <v>0</v>
      </c>
      <c r="G496" s="326"/>
    </row>
    <row r="497" spans="1:7" ht="14.4" x14ac:dyDescent="0.3">
      <c r="A497" s="324"/>
      <c r="B497" s="324" t="s">
        <v>547</v>
      </c>
      <c r="C497" s="328" t="s">
        <v>115</v>
      </c>
      <c r="E497" s="326">
        <v>183</v>
      </c>
      <c r="F497" s="48">
        <f t="shared" si="14"/>
        <v>0</v>
      </c>
      <c r="G497" s="326"/>
    </row>
    <row r="498" spans="1:7" ht="14.4" x14ac:dyDescent="0.3">
      <c r="A498" s="324"/>
      <c r="B498" s="324" t="s">
        <v>548</v>
      </c>
      <c r="C498" s="328" t="s">
        <v>115</v>
      </c>
      <c r="E498" s="326">
        <v>184.5</v>
      </c>
      <c r="F498" s="48">
        <f t="shared" ref="F498:F561" si="15">E498*D498</f>
        <v>0</v>
      </c>
      <c r="G498" s="326"/>
    </row>
    <row r="499" spans="1:7" ht="14.4" x14ac:dyDescent="0.3">
      <c r="A499" s="324"/>
      <c r="B499" s="324" t="s">
        <v>549</v>
      </c>
      <c r="C499" s="328" t="s">
        <v>115</v>
      </c>
      <c r="E499" s="326">
        <v>56</v>
      </c>
      <c r="F499" s="48">
        <f t="shared" si="15"/>
        <v>0</v>
      </c>
      <c r="G499" s="326"/>
    </row>
    <row r="500" spans="1:7" ht="14.4" x14ac:dyDescent="0.3">
      <c r="A500" s="324"/>
      <c r="B500" s="324" t="s">
        <v>550</v>
      </c>
      <c r="C500" s="328" t="s">
        <v>115</v>
      </c>
      <c r="E500" s="326">
        <v>103</v>
      </c>
      <c r="F500" s="48">
        <f t="shared" si="15"/>
        <v>0</v>
      </c>
      <c r="G500" s="326"/>
    </row>
    <row r="501" spans="1:7" ht="14.4" x14ac:dyDescent="0.3">
      <c r="A501" s="324"/>
      <c r="B501" s="324" t="s">
        <v>551</v>
      </c>
      <c r="C501" s="328" t="s">
        <v>115</v>
      </c>
      <c r="E501" s="326">
        <v>95</v>
      </c>
      <c r="F501" s="48">
        <f t="shared" si="15"/>
        <v>0</v>
      </c>
      <c r="G501" s="326"/>
    </row>
    <row r="502" spans="1:7" ht="14.4" x14ac:dyDescent="0.3">
      <c r="A502" s="324"/>
      <c r="B502" s="324" t="s">
        <v>552</v>
      </c>
      <c r="C502" s="328" t="s">
        <v>115</v>
      </c>
      <c r="E502" s="326">
        <v>99.5</v>
      </c>
      <c r="F502" s="48">
        <f t="shared" si="15"/>
        <v>0</v>
      </c>
      <c r="G502" s="326"/>
    </row>
    <row r="503" spans="1:7" ht="14.4" x14ac:dyDescent="0.3">
      <c r="A503" s="324"/>
      <c r="B503" s="420" t="s">
        <v>558</v>
      </c>
      <c r="C503" s="328" t="s">
        <v>115</v>
      </c>
      <c r="E503" s="326">
        <v>33.5</v>
      </c>
      <c r="F503" s="48">
        <f t="shared" si="15"/>
        <v>0</v>
      </c>
      <c r="G503" s="326"/>
    </row>
    <row r="504" spans="1:7" ht="14.4" x14ac:dyDescent="0.3">
      <c r="A504" s="324"/>
      <c r="B504" s="324" t="s">
        <v>559</v>
      </c>
      <c r="C504" s="328" t="s">
        <v>115</v>
      </c>
      <c r="E504" s="326">
        <v>33</v>
      </c>
      <c r="F504" s="48">
        <f t="shared" si="15"/>
        <v>0</v>
      </c>
      <c r="G504" s="326"/>
    </row>
    <row r="505" spans="1:7" ht="14.4" x14ac:dyDescent="0.3">
      <c r="A505" s="324"/>
      <c r="B505" s="420" t="s">
        <v>560</v>
      </c>
      <c r="C505" s="328" t="s">
        <v>115</v>
      </c>
      <c r="E505" s="326">
        <v>60.5</v>
      </c>
      <c r="F505" s="48">
        <f t="shared" si="15"/>
        <v>0</v>
      </c>
      <c r="G505" s="326"/>
    </row>
    <row r="506" spans="1:7" ht="14.4" x14ac:dyDescent="0.3">
      <c r="A506" s="324"/>
      <c r="B506" s="324" t="s">
        <v>561</v>
      </c>
      <c r="C506" s="328" t="s">
        <v>115</v>
      </c>
      <c r="E506" s="326">
        <v>61</v>
      </c>
      <c r="F506" s="48">
        <f t="shared" si="15"/>
        <v>0</v>
      </c>
      <c r="G506" s="326"/>
    </row>
    <row r="507" spans="1:7" ht="14.4" x14ac:dyDescent="0.3">
      <c r="A507" s="324"/>
      <c r="B507" s="324" t="s">
        <v>562</v>
      </c>
      <c r="C507" s="328" t="s">
        <v>115</v>
      </c>
      <c r="E507" s="326">
        <v>65</v>
      </c>
      <c r="F507" s="48">
        <f t="shared" si="15"/>
        <v>0</v>
      </c>
      <c r="G507" s="326"/>
    </row>
    <row r="508" spans="1:7" ht="14.4" x14ac:dyDescent="0.3">
      <c r="A508" s="324"/>
      <c r="B508" s="324" t="s">
        <v>563</v>
      </c>
      <c r="C508" s="328" t="s">
        <v>115</v>
      </c>
      <c r="E508" s="326">
        <v>65</v>
      </c>
      <c r="F508" s="48">
        <f t="shared" si="15"/>
        <v>0</v>
      </c>
      <c r="G508" s="326"/>
    </row>
    <row r="509" spans="1:7" ht="14.4" x14ac:dyDescent="0.3">
      <c r="A509" s="324"/>
      <c r="B509" s="324" t="s">
        <v>564</v>
      </c>
      <c r="C509" s="328" t="s">
        <v>115</v>
      </c>
      <c r="E509" s="326">
        <v>65</v>
      </c>
      <c r="F509" s="48">
        <f t="shared" si="15"/>
        <v>0</v>
      </c>
      <c r="G509" s="326"/>
    </row>
    <row r="510" spans="1:7" ht="14.4" x14ac:dyDescent="0.3">
      <c r="A510" s="324"/>
      <c r="B510" s="324" t="s">
        <v>565</v>
      </c>
      <c r="C510" s="328" t="s">
        <v>115</v>
      </c>
      <c r="E510" s="326">
        <v>65</v>
      </c>
      <c r="F510" s="48">
        <f t="shared" si="15"/>
        <v>0</v>
      </c>
      <c r="G510" s="326"/>
    </row>
    <row r="511" spans="1:7" ht="14.4" x14ac:dyDescent="0.3">
      <c r="A511" s="324"/>
      <c r="B511" s="324" t="s">
        <v>566</v>
      </c>
      <c r="C511" s="328" t="s">
        <v>115</v>
      </c>
      <c r="E511" s="326">
        <v>45</v>
      </c>
      <c r="F511" s="48">
        <f t="shared" si="15"/>
        <v>0</v>
      </c>
      <c r="G511" s="326"/>
    </row>
    <row r="512" spans="1:7" ht="14.4" x14ac:dyDescent="0.3">
      <c r="A512" s="324"/>
      <c r="B512" s="324" t="s">
        <v>567</v>
      </c>
      <c r="C512" s="328" t="s">
        <v>115</v>
      </c>
      <c r="E512" s="326">
        <v>55</v>
      </c>
      <c r="F512" s="48">
        <f t="shared" si="15"/>
        <v>0</v>
      </c>
      <c r="G512" s="326"/>
    </row>
    <row r="513" spans="1:7" ht="14.4" x14ac:dyDescent="0.3">
      <c r="A513" s="324"/>
      <c r="B513" s="324" t="s">
        <v>568</v>
      </c>
      <c r="C513" s="328" t="s">
        <v>115</v>
      </c>
      <c r="E513" s="326">
        <v>55</v>
      </c>
      <c r="F513" s="48">
        <f t="shared" si="15"/>
        <v>0</v>
      </c>
      <c r="G513" s="326"/>
    </row>
    <row r="514" spans="1:7" ht="14.4" x14ac:dyDescent="0.3">
      <c r="A514" s="324"/>
      <c r="B514" s="420" t="s">
        <v>569</v>
      </c>
      <c r="C514" s="328" t="s">
        <v>115</v>
      </c>
      <c r="E514" s="326">
        <v>21.5</v>
      </c>
      <c r="F514" s="48">
        <f t="shared" si="15"/>
        <v>0</v>
      </c>
      <c r="G514" s="326"/>
    </row>
    <row r="515" spans="1:7" ht="14.4" x14ac:dyDescent="0.3">
      <c r="A515" s="324"/>
      <c r="B515" s="324" t="s">
        <v>570</v>
      </c>
      <c r="C515" s="328" t="s">
        <v>115</v>
      </c>
      <c r="E515" s="326">
        <v>25</v>
      </c>
      <c r="F515" s="48">
        <f t="shared" si="15"/>
        <v>0</v>
      </c>
      <c r="G515" s="326"/>
    </row>
    <row r="516" spans="1:7" ht="14.4" x14ac:dyDescent="0.3">
      <c r="A516" s="324"/>
      <c r="B516" s="324" t="s">
        <v>571</v>
      </c>
      <c r="C516" s="328" t="s">
        <v>115</v>
      </c>
      <c r="E516" s="326">
        <v>22</v>
      </c>
      <c r="F516" s="48">
        <f t="shared" si="15"/>
        <v>0</v>
      </c>
      <c r="G516" s="326"/>
    </row>
    <row r="517" spans="1:7" ht="14.4" x14ac:dyDescent="0.3">
      <c r="A517" s="324"/>
      <c r="B517" s="324" t="s">
        <v>572</v>
      </c>
      <c r="C517" s="328" t="s">
        <v>115</v>
      </c>
      <c r="E517" s="326">
        <v>22</v>
      </c>
      <c r="F517" s="48">
        <f t="shared" si="15"/>
        <v>0</v>
      </c>
      <c r="G517" s="326"/>
    </row>
    <row r="518" spans="1:7" ht="14.4" x14ac:dyDescent="0.3">
      <c r="A518" s="324"/>
      <c r="B518" s="324" t="s">
        <v>573</v>
      </c>
      <c r="C518" s="328" t="s">
        <v>115</v>
      </c>
      <c r="E518" s="326">
        <v>22</v>
      </c>
      <c r="F518" s="48">
        <f t="shared" si="15"/>
        <v>0</v>
      </c>
      <c r="G518" s="326"/>
    </row>
    <row r="519" spans="1:7" ht="14.4" x14ac:dyDescent="0.3">
      <c r="A519" s="324"/>
      <c r="B519" s="324" t="s">
        <v>574</v>
      </c>
      <c r="C519" s="328" t="s">
        <v>115</v>
      </c>
      <c r="E519" s="326">
        <v>78</v>
      </c>
      <c r="F519" s="48">
        <f t="shared" si="15"/>
        <v>0</v>
      </c>
      <c r="G519" s="326"/>
    </row>
    <row r="520" spans="1:7" ht="14.4" x14ac:dyDescent="0.3">
      <c r="A520" s="324"/>
      <c r="B520" s="324" t="s">
        <v>575</v>
      </c>
      <c r="C520" s="328" t="s">
        <v>115</v>
      </c>
      <c r="E520" s="326">
        <v>89</v>
      </c>
      <c r="F520" s="48">
        <f t="shared" si="15"/>
        <v>0</v>
      </c>
      <c r="G520" s="326"/>
    </row>
    <row r="521" spans="1:7" ht="14.4" x14ac:dyDescent="0.3">
      <c r="A521" s="324"/>
      <c r="B521" s="324" t="s">
        <v>576</v>
      </c>
      <c r="C521" s="328" t="s">
        <v>115</v>
      </c>
      <c r="E521" s="326">
        <v>21</v>
      </c>
      <c r="F521" s="48">
        <f t="shared" si="15"/>
        <v>0</v>
      </c>
      <c r="G521" s="326"/>
    </row>
    <row r="522" spans="1:7" ht="14.4" x14ac:dyDescent="0.3">
      <c r="A522" s="324"/>
      <c r="B522" s="324" t="s">
        <v>577</v>
      </c>
      <c r="C522" s="328" t="s">
        <v>115</v>
      </c>
      <c r="E522" s="326">
        <v>21</v>
      </c>
      <c r="F522" s="48">
        <f t="shared" si="15"/>
        <v>0</v>
      </c>
      <c r="G522" s="326"/>
    </row>
    <row r="523" spans="1:7" ht="14.4" x14ac:dyDescent="0.3">
      <c r="A523" s="324"/>
      <c r="B523" s="324" t="s">
        <v>578</v>
      </c>
      <c r="C523" s="328" t="s">
        <v>115</v>
      </c>
      <c r="E523" s="326">
        <v>0</v>
      </c>
      <c r="F523" s="48">
        <f t="shared" si="15"/>
        <v>0</v>
      </c>
      <c r="G523" s="326"/>
    </row>
    <row r="524" spans="1:7" ht="14.4" x14ac:dyDescent="0.3">
      <c r="A524" s="324"/>
      <c r="B524" s="324" t="s">
        <v>579</v>
      </c>
      <c r="C524" s="328" t="s">
        <v>115</v>
      </c>
      <c r="E524" s="326">
        <v>0</v>
      </c>
      <c r="F524" s="48">
        <f t="shared" si="15"/>
        <v>0</v>
      </c>
      <c r="G524" s="326"/>
    </row>
    <row r="525" spans="1:7" ht="14.4" x14ac:dyDescent="0.3">
      <c r="A525" s="324"/>
      <c r="B525" s="324" t="s">
        <v>580</v>
      </c>
      <c r="C525" s="328" t="s">
        <v>115</v>
      </c>
      <c r="E525" s="326">
        <v>0</v>
      </c>
      <c r="F525" s="48">
        <f t="shared" si="15"/>
        <v>0</v>
      </c>
      <c r="G525" s="326"/>
    </row>
    <row r="526" spans="1:7" ht="14.4" x14ac:dyDescent="0.3">
      <c r="A526" s="324"/>
      <c r="B526" s="420" t="s">
        <v>581</v>
      </c>
      <c r="C526" s="328" t="s">
        <v>115</v>
      </c>
      <c r="E526" s="326">
        <v>0</v>
      </c>
      <c r="F526" s="48">
        <f t="shared" si="15"/>
        <v>0</v>
      </c>
      <c r="G526" s="326"/>
    </row>
    <row r="527" spans="1:7" ht="14.4" x14ac:dyDescent="0.3">
      <c r="A527" s="324"/>
      <c r="B527" s="324" t="s">
        <v>582</v>
      </c>
      <c r="C527" s="328" t="s">
        <v>115</v>
      </c>
      <c r="E527" s="326">
        <v>0</v>
      </c>
      <c r="F527" s="48">
        <f t="shared" si="15"/>
        <v>0</v>
      </c>
      <c r="G527" s="326"/>
    </row>
    <row r="528" spans="1:7" ht="14.4" x14ac:dyDescent="0.3">
      <c r="A528" s="324"/>
      <c r="B528" s="324" t="s">
        <v>583</v>
      </c>
      <c r="C528" s="328" t="s">
        <v>115</v>
      </c>
      <c r="E528" s="326">
        <v>0</v>
      </c>
      <c r="F528" s="48">
        <f t="shared" si="15"/>
        <v>0</v>
      </c>
      <c r="G528" s="326"/>
    </row>
    <row r="529" spans="1:7" ht="14.4" x14ac:dyDescent="0.3">
      <c r="A529" s="324"/>
      <c r="B529" s="324" t="s">
        <v>584</v>
      </c>
      <c r="C529" s="328" t="s">
        <v>115</v>
      </c>
      <c r="E529" s="326">
        <v>0</v>
      </c>
      <c r="F529" s="48">
        <f t="shared" si="15"/>
        <v>0</v>
      </c>
      <c r="G529" s="326"/>
    </row>
    <row r="530" spans="1:7" ht="14.4" x14ac:dyDescent="0.3">
      <c r="A530" s="324"/>
      <c r="B530" s="324" t="s">
        <v>585</v>
      </c>
      <c r="C530" s="328" t="s">
        <v>115</v>
      </c>
      <c r="E530" s="326">
        <v>0</v>
      </c>
      <c r="F530" s="48">
        <f t="shared" si="15"/>
        <v>0</v>
      </c>
      <c r="G530" s="326"/>
    </row>
    <row r="531" spans="1:7" ht="14.4" x14ac:dyDescent="0.3">
      <c r="A531" s="324"/>
      <c r="B531" s="324" t="s">
        <v>586</v>
      </c>
      <c r="C531" s="328" t="s">
        <v>115</v>
      </c>
      <c r="E531" s="326">
        <v>0</v>
      </c>
      <c r="F531" s="48">
        <f t="shared" si="15"/>
        <v>0</v>
      </c>
      <c r="G531" s="326"/>
    </row>
    <row r="532" spans="1:7" ht="14.4" x14ac:dyDescent="0.3">
      <c r="A532" s="324"/>
      <c r="B532" s="324" t="s">
        <v>587</v>
      </c>
      <c r="C532" s="328" t="s">
        <v>115</v>
      </c>
      <c r="E532" s="326">
        <v>0</v>
      </c>
      <c r="F532" s="48">
        <f t="shared" si="15"/>
        <v>0</v>
      </c>
      <c r="G532" s="326"/>
    </row>
    <row r="533" spans="1:7" ht="14.4" x14ac:dyDescent="0.3">
      <c r="A533" s="324"/>
      <c r="B533" s="324" t="s">
        <v>588</v>
      </c>
      <c r="C533" s="328" t="s">
        <v>115</v>
      </c>
      <c r="E533" s="326">
        <v>0</v>
      </c>
      <c r="F533" s="48">
        <f t="shared" si="15"/>
        <v>0</v>
      </c>
      <c r="G533" s="326"/>
    </row>
    <row r="534" spans="1:7" ht="14.4" x14ac:dyDescent="0.3">
      <c r="A534" s="324"/>
      <c r="B534" s="324" t="s">
        <v>589</v>
      </c>
      <c r="C534" s="328" t="s">
        <v>115</v>
      </c>
      <c r="E534" s="326">
        <v>0</v>
      </c>
      <c r="F534" s="48">
        <f t="shared" si="15"/>
        <v>0</v>
      </c>
      <c r="G534" s="326"/>
    </row>
    <row r="535" spans="1:7" ht="14.4" x14ac:dyDescent="0.3">
      <c r="A535" s="324"/>
      <c r="B535" s="324" t="s">
        <v>590</v>
      </c>
      <c r="C535" s="328" t="s">
        <v>115</v>
      </c>
      <c r="E535" s="326">
        <v>0</v>
      </c>
      <c r="F535" s="48">
        <f t="shared" si="15"/>
        <v>0</v>
      </c>
      <c r="G535" s="326"/>
    </row>
    <row r="536" spans="1:7" ht="14.4" x14ac:dyDescent="0.3">
      <c r="A536" s="324"/>
      <c r="B536" s="324" t="s">
        <v>591</v>
      </c>
      <c r="C536" s="328" t="s">
        <v>115</v>
      </c>
      <c r="E536" s="326">
        <v>0</v>
      </c>
      <c r="F536" s="48">
        <f t="shared" si="15"/>
        <v>0</v>
      </c>
      <c r="G536" s="326"/>
    </row>
    <row r="537" spans="1:7" ht="14.4" x14ac:dyDescent="0.3">
      <c r="A537" s="324"/>
      <c r="B537" s="324" t="s">
        <v>592</v>
      </c>
      <c r="C537" s="328" t="s">
        <v>115</v>
      </c>
      <c r="E537" s="326">
        <v>0</v>
      </c>
      <c r="F537" s="48">
        <f t="shared" si="15"/>
        <v>0</v>
      </c>
      <c r="G537" s="326"/>
    </row>
    <row r="538" spans="1:7" ht="14.4" x14ac:dyDescent="0.3">
      <c r="A538" s="324"/>
      <c r="B538" s="324" t="s">
        <v>593</v>
      </c>
      <c r="C538" s="328" t="s">
        <v>115</v>
      </c>
      <c r="E538" s="326">
        <v>0</v>
      </c>
      <c r="F538" s="48">
        <f t="shared" si="15"/>
        <v>0</v>
      </c>
      <c r="G538" s="326"/>
    </row>
    <row r="539" spans="1:7" ht="14.4" x14ac:dyDescent="0.3">
      <c r="A539" s="324"/>
      <c r="B539" s="324" t="s">
        <v>594</v>
      </c>
      <c r="C539" s="328" t="s">
        <v>115</v>
      </c>
      <c r="E539" s="326">
        <v>0</v>
      </c>
      <c r="F539" s="48">
        <f t="shared" si="15"/>
        <v>0</v>
      </c>
      <c r="G539" s="326"/>
    </row>
    <row r="540" spans="1:7" ht="14.4" x14ac:dyDescent="0.3">
      <c r="A540" s="324"/>
      <c r="B540" s="324" t="s">
        <v>595</v>
      </c>
      <c r="C540" s="328" t="s">
        <v>115</v>
      </c>
      <c r="E540" s="326">
        <v>0</v>
      </c>
      <c r="F540" s="48">
        <f t="shared" si="15"/>
        <v>0</v>
      </c>
      <c r="G540" s="326"/>
    </row>
    <row r="541" spans="1:7" ht="14.4" x14ac:dyDescent="0.3">
      <c r="A541" s="324"/>
      <c r="B541" s="324" t="s">
        <v>596</v>
      </c>
      <c r="C541" s="328" t="s">
        <v>115</v>
      </c>
      <c r="E541" s="326">
        <v>0</v>
      </c>
      <c r="F541" s="48">
        <f t="shared" si="15"/>
        <v>0</v>
      </c>
      <c r="G541" s="326"/>
    </row>
    <row r="542" spans="1:7" ht="14.4" x14ac:dyDescent="0.3">
      <c r="A542" s="324"/>
      <c r="B542" s="324" t="s">
        <v>597</v>
      </c>
      <c r="C542" s="328" t="s">
        <v>115</v>
      </c>
      <c r="E542" s="326">
        <v>0</v>
      </c>
      <c r="F542" s="48">
        <f t="shared" si="15"/>
        <v>0</v>
      </c>
      <c r="G542" s="326"/>
    </row>
    <row r="543" spans="1:7" ht="14.4" x14ac:dyDescent="0.3">
      <c r="A543" s="324"/>
      <c r="B543" s="324" t="s">
        <v>598</v>
      </c>
      <c r="C543" s="328" t="s">
        <v>115</v>
      </c>
      <c r="E543" s="326">
        <v>0</v>
      </c>
      <c r="F543" s="48">
        <f t="shared" si="15"/>
        <v>0</v>
      </c>
      <c r="G543" s="326"/>
    </row>
    <row r="544" spans="1:7" ht="14.4" x14ac:dyDescent="0.3">
      <c r="A544" s="324"/>
      <c r="B544" s="324" t="s">
        <v>599</v>
      </c>
      <c r="C544" s="328" t="s">
        <v>115</v>
      </c>
      <c r="E544" s="326">
        <v>0</v>
      </c>
      <c r="F544" s="48">
        <f t="shared" si="15"/>
        <v>0</v>
      </c>
      <c r="G544" s="326"/>
    </row>
    <row r="545" spans="1:7" ht="14.4" x14ac:dyDescent="0.3">
      <c r="A545" s="324"/>
      <c r="B545" s="324" t="s">
        <v>600</v>
      </c>
      <c r="C545" s="328" t="s">
        <v>115</v>
      </c>
      <c r="E545" s="326">
        <v>0</v>
      </c>
      <c r="F545" s="48">
        <f t="shared" si="15"/>
        <v>0</v>
      </c>
      <c r="G545" s="326"/>
    </row>
    <row r="546" spans="1:7" ht="14.4" x14ac:dyDescent="0.3">
      <c r="A546" s="324"/>
      <c r="B546" s="324" t="s">
        <v>601</v>
      </c>
      <c r="C546" s="328" t="s">
        <v>115</v>
      </c>
      <c r="E546" s="326">
        <v>0</v>
      </c>
      <c r="F546" s="48">
        <f t="shared" si="15"/>
        <v>0</v>
      </c>
      <c r="G546" s="326"/>
    </row>
    <row r="547" spans="1:7" ht="14.4" x14ac:dyDescent="0.3">
      <c r="A547" s="324"/>
      <c r="B547" s="324" t="s">
        <v>602</v>
      </c>
      <c r="C547" s="328" t="s">
        <v>115</v>
      </c>
      <c r="E547" s="326">
        <v>0</v>
      </c>
      <c r="F547" s="48">
        <f t="shared" si="15"/>
        <v>0</v>
      </c>
      <c r="G547" s="326"/>
    </row>
    <row r="548" spans="1:7" ht="14.4" x14ac:dyDescent="0.3">
      <c r="A548" s="324"/>
      <c r="B548" s="324" t="s">
        <v>603</v>
      </c>
      <c r="C548" s="328" t="s">
        <v>115</v>
      </c>
      <c r="E548" s="326">
        <v>0</v>
      </c>
      <c r="F548" s="48">
        <f t="shared" si="15"/>
        <v>0</v>
      </c>
      <c r="G548" s="326"/>
    </row>
    <row r="549" spans="1:7" ht="14.4" x14ac:dyDescent="0.3">
      <c r="A549" s="324"/>
      <c r="B549" s="420" t="s">
        <v>604</v>
      </c>
      <c r="C549" s="328" t="s">
        <v>115</v>
      </c>
      <c r="E549" s="326">
        <v>0</v>
      </c>
      <c r="F549" s="48">
        <f t="shared" si="15"/>
        <v>0</v>
      </c>
      <c r="G549" s="326"/>
    </row>
    <row r="550" spans="1:7" ht="14.4" x14ac:dyDescent="0.3">
      <c r="A550" s="324"/>
      <c r="B550" s="324" t="s">
        <v>605</v>
      </c>
      <c r="C550" s="328" t="s">
        <v>115</v>
      </c>
      <c r="E550" s="326">
        <v>0</v>
      </c>
      <c r="F550" s="48">
        <f t="shared" si="15"/>
        <v>0</v>
      </c>
      <c r="G550" s="326"/>
    </row>
    <row r="551" spans="1:7" ht="14.4" x14ac:dyDescent="0.3">
      <c r="A551" s="324"/>
      <c r="B551" s="324" t="s">
        <v>606</v>
      </c>
      <c r="C551" s="328" t="s">
        <v>115</v>
      </c>
      <c r="E551" s="326">
        <v>0</v>
      </c>
      <c r="F551" s="48">
        <f t="shared" si="15"/>
        <v>0</v>
      </c>
      <c r="G551" s="326"/>
    </row>
    <row r="552" spans="1:7" ht="14.4" x14ac:dyDescent="0.3">
      <c r="A552" s="324"/>
      <c r="B552" s="420" t="s">
        <v>607</v>
      </c>
      <c r="C552" s="328" t="s">
        <v>115</v>
      </c>
      <c r="E552" s="326">
        <v>0</v>
      </c>
      <c r="F552" s="48">
        <f t="shared" si="15"/>
        <v>0</v>
      </c>
      <c r="G552" s="326"/>
    </row>
    <row r="553" spans="1:7" ht="14.4" x14ac:dyDescent="0.3">
      <c r="A553" s="324"/>
      <c r="B553" s="420" t="s">
        <v>608</v>
      </c>
      <c r="C553" s="328" t="s">
        <v>115</v>
      </c>
      <c r="E553" s="326">
        <v>18.54</v>
      </c>
      <c r="F553" s="48">
        <f t="shared" si="15"/>
        <v>0</v>
      </c>
      <c r="G553" s="326"/>
    </row>
    <row r="554" spans="1:7" ht="14.4" x14ac:dyDescent="0.3">
      <c r="A554" s="324"/>
      <c r="B554" s="324" t="s">
        <v>609</v>
      </c>
      <c r="C554" s="328" t="s">
        <v>115</v>
      </c>
      <c r="E554" s="326">
        <v>0</v>
      </c>
      <c r="F554" s="48">
        <f t="shared" si="15"/>
        <v>0</v>
      </c>
      <c r="G554" s="326"/>
    </row>
    <row r="555" spans="1:7" ht="14.4" x14ac:dyDescent="0.3">
      <c r="A555" s="324"/>
      <c r="B555" s="324" t="s">
        <v>610</v>
      </c>
      <c r="C555" s="328" t="s">
        <v>115</v>
      </c>
      <c r="E555" s="326">
        <v>0</v>
      </c>
      <c r="F555" s="48">
        <f t="shared" si="15"/>
        <v>0</v>
      </c>
      <c r="G555" s="326"/>
    </row>
    <row r="556" spans="1:7" ht="14.4" x14ac:dyDescent="0.3">
      <c r="A556" s="324"/>
      <c r="B556" s="324" t="s">
        <v>611</v>
      </c>
      <c r="C556" s="328" t="s">
        <v>115</v>
      </c>
      <c r="E556" s="326">
        <v>18.350000000000001</v>
      </c>
      <c r="F556" s="48">
        <f t="shared" si="15"/>
        <v>0</v>
      </c>
      <c r="G556" s="326"/>
    </row>
    <row r="557" spans="1:7" ht="14.4" x14ac:dyDescent="0.3">
      <c r="A557" s="324"/>
      <c r="B557" s="324" t="s">
        <v>612</v>
      </c>
      <c r="C557" s="328" t="s">
        <v>115</v>
      </c>
      <c r="E557" s="326">
        <v>0</v>
      </c>
      <c r="F557" s="48">
        <f t="shared" si="15"/>
        <v>0</v>
      </c>
      <c r="G557" s="326"/>
    </row>
    <row r="558" spans="1:7" ht="14.4" x14ac:dyDescent="0.3">
      <c r="A558" s="324"/>
      <c r="B558" s="324" t="s">
        <v>613</v>
      </c>
      <c r="C558" s="328" t="s">
        <v>115</v>
      </c>
      <c r="E558" s="326">
        <v>0</v>
      </c>
      <c r="F558" s="48">
        <f t="shared" si="15"/>
        <v>0</v>
      </c>
      <c r="G558" s="326"/>
    </row>
    <row r="559" spans="1:7" ht="14.4" x14ac:dyDescent="0.3">
      <c r="A559" s="324"/>
      <c r="B559" s="324" t="s">
        <v>614</v>
      </c>
      <c r="C559" s="328" t="s">
        <v>115</v>
      </c>
      <c r="E559" s="326">
        <v>0</v>
      </c>
      <c r="F559" s="48">
        <f t="shared" si="15"/>
        <v>0</v>
      </c>
      <c r="G559" s="326"/>
    </row>
    <row r="560" spans="1:7" ht="14.4" x14ac:dyDescent="0.3">
      <c r="A560" s="324"/>
      <c r="B560" s="324" t="s">
        <v>615</v>
      </c>
      <c r="C560" s="328" t="s">
        <v>115</v>
      </c>
      <c r="E560" s="326">
        <v>0</v>
      </c>
      <c r="F560" s="48">
        <f t="shared" si="15"/>
        <v>0</v>
      </c>
      <c r="G560" s="326"/>
    </row>
    <row r="561" spans="1:7" ht="14.4" x14ac:dyDescent="0.3">
      <c r="A561" s="324"/>
      <c r="B561" s="324" t="s">
        <v>616</v>
      </c>
      <c r="C561" s="328" t="s">
        <v>115</v>
      </c>
      <c r="E561" s="326">
        <v>0</v>
      </c>
      <c r="F561" s="48">
        <f t="shared" si="15"/>
        <v>0</v>
      </c>
      <c r="G561" s="326"/>
    </row>
    <row r="562" spans="1:7" ht="14.4" x14ac:dyDescent="0.3">
      <c r="A562" s="324"/>
      <c r="B562" s="324" t="s">
        <v>617</v>
      </c>
      <c r="C562" s="328" t="s">
        <v>115</v>
      </c>
      <c r="E562" s="326">
        <v>0</v>
      </c>
      <c r="F562" s="48">
        <f t="shared" ref="F562:F625" si="16">E562*D562</f>
        <v>0</v>
      </c>
      <c r="G562" s="326"/>
    </row>
    <row r="563" spans="1:7" ht="14.4" x14ac:dyDescent="0.3">
      <c r="A563" s="324"/>
      <c r="B563" s="420" t="s">
        <v>618</v>
      </c>
      <c r="C563" s="328" t="s">
        <v>115</v>
      </c>
      <c r="E563" s="326">
        <v>16.329999999999998</v>
      </c>
      <c r="F563" s="48">
        <f t="shared" si="16"/>
        <v>0</v>
      </c>
      <c r="G563" s="326"/>
    </row>
    <row r="564" spans="1:7" ht="14.4" x14ac:dyDescent="0.3">
      <c r="A564" s="324"/>
      <c r="B564" s="324" t="s">
        <v>619</v>
      </c>
      <c r="C564" s="328" t="s">
        <v>115</v>
      </c>
      <c r="E564" s="326">
        <v>0</v>
      </c>
      <c r="F564" s="48">
        <f t="shared" si="16"/>
        <v>0</v>
      </c>
      <c r="G564" s="326"/>
    </row>
    <row r="565" spans="1:7" ht="14.4" x14ac:dyDescent="0.3">
      <c r="A565" s="324"/>
      <c r="B565" s="324" t="s">
        <v>620</v>
      </c>
      <c r="C565" s="328" t="s">
        <v>115</v>
      </c>
      <c r="E565" s="326">
        <v>0</v>
      </c>
      <c r="F565" s="48">
        <f t="shared" si="16"/>
        <v>0</v>
      </c>
      <c r="G565" s="326"/>
    </row>
    <row r="566" spans="1:7" ht="14.4" x14ac:dyDescent="0.3">
      <c r="A566" s="324"/>
      <c r="B566" s="324" t="s">
        <v>621</v>
      </c>
      <c r="C566" s="328" t="s">
        <v>115</v>
      </c>
      <c r="E566" s="326">
        <v>0</v>
      </c>
      <c r="F566" s="48">
        <f t="shared" si="16"/>
        <v>0</v>
      </c>
      <c r="G566" s="326"/>
    </row>
    <row r="567" spans="1:7" ht="14.4" x14ac:dyDescent="0.3">
      <c r="A567" s="324"/>
      <c r="B567" s="324" t="s">
        <v>622</v>
      </c>
      <c r="C567" s="328" t="s">
        <v>115</v>
      </c>
      <c r="E567" s="326">
        <v>0</v>
      </c>
      <c r="F567" s="48">
        <f t="shared" si="16"/>
        <v>0</v>
      </c>
      <c r="G567" s="326"/>
    </row>
    <row r="568" spans="1:7" ht="14.4" x14ac:dyDescent="0.3">
      <c r="A568" s="324"/>
      <c r="B568" s="324" t="s">
        <v>623</v>
      </c>
      <c r="C568" s="328" t="s">
        <v>115</v>
      </c>
      <c r="E568" s="326">
        <v>0</v>
      </c>
      <c r="F568" s="48">
        <f t="shared" si="16"/>
        <v>0</v>
      </c>
      <c r="G568" s="326"/>
    </row>
    <row r="569" spans="1:7" ht="14.4" x14ac:dyDescent="0.3">
      <c r="A569" s="324"/>
      <c r="B569" s="324" t="s">
        <v>624</v>
      </c>
      <c r="C569" s="328" t="s">
        <v>115</v>
      </c>
      <c r="E569" s="326">
        <v>0</v>
      </c>
      <c r="F569" s="48">
        <f t="shared" si="16"/>
        <v>0</v>
      </c>
      <c r="G569" s="326"/>
    </row>
    <row r="570" spans="1:7" ht="14.4" x14ac:dyDescent="0.3">
      <c r="A570" s="324"/>
      <c r="B570" s="324" t="s">
        <v>625</v>
      </c>
      <c r="C570" s="328" t="s">
        <v>115</v>
      </c>
      <c r="E570" s="326">
        <v>0</v>
      </c>
      <c r="F570" s="48">
        <f t="shared" si="16"/>
        <v>0</v>
      </c>
      <c r="G570" s="326"/>
    </row>
    <row r="571" spans="1:7" ht="14.4" x14ac:dyDescent="0.3">
      <c r="A571" s="324"/>
      <c r="B571" s="324" t="s">
        <v>626</v>
      </c>
      <c r="C571" s="328" t="s">
        <v>115</v>
      </c>
      <c r="E571" s="326">
        <v>0</v>
      </c>
      <c r="F571" s="48">
        <f t="shared" si="16"/>
        <v>0</v>
      </c>
      <c r="G571" s="326"/>
    </row>
    <row r="572" spans="1:7" ht="14.4" x14ac:dyDescent="0.3">
      <c r="A572" s="324"/>
      <c r="B572" s="324" t="s">
        <v>627</v>
      </c>
      <c r="C572" s="328" t="s">
        <v>115</v>
      </c>
      <c r="E572" s="326">
        <v>0</v>
      </c>
      <c r="F572" s="48">
        <f t="shared" si="16"/>
        <v>0</v>
      </c>
      <c r="G572" s="326"/>
    </row>
    <row r="573" spans="1:7" ht="14.4" x14ac:dyDescent="0.3">
      <c r="A573" s="324"/>
      <c r="B573" s="324" t="s">
        <v>628</v>
      </c>
      <c r="C573" s="328" t="s">
        <v>115</v>
      </c>
      <c r="E573" s="326">
        <v>0</v>
      </c>
      <c r="F573" s="48">
        <f t="shared" si="16"/>
        <v>0</v>
      </c>
      <c r="G573" s="326"/>
    </row>
    <row r="574" spans="1:7" ht="14.4" x14ac:dyDescent="0.3">
      <c r="A574" s="324"/>
      <c r="B574" s="324" t="s">
        <v>629</v>
      </c>
      <c r="C574" s="328" t="s">
        <v>115</v>
      </c>
      <c r="E574" s="326">
        <v>0</v>
      </c>
      <c r="F574" s="48">
        <f t="shared" si="16"/>
        <v>0</v>
      </c>
      <c r="G574" s="326"/>
    </row>
    <row r="575" spans="1:7" ht="14.4" x14ac:dyDescent="0.3">
      <c r="A575" s="324"/>
      <c r="B575" s="324" t="s">
        <v>630</v>
      </c>
      <c r="C575" s="328" t="s">
        <v>115</v>
      </c>
      <c r="E575" s="326">
        <v>0</v>
      </c>
      <c r="F575" s="48">
        <f t="shared" si="16"/>
        <v>0</v>
      </c>
      <c r="G575" s="326"/>
    </row>
    <row r="576" spans="1:7" ht="14.4" x14ac:dyDescent="0.3">
      <c r="A576" s="324"/>
      <c r="B576" s="324" t="s">
        <v>631</v>
      </c>
      <c r="C576" s="328" t="s">
        <v>115</v>
      </c>
      <c r="E576" s="326">
        <v>0</v>
      </c>
      <c r="F576" s="48">
        <f t="shared" si="16"/>
        <v>0</v>
      </c>
      <c r="G576" s="326"/>
    </row>
    <row r="577" spans="1:7" ht="14.4" x14ac:dyDescent="0.3">
      <c r="A577" s="324"/>
      <c r="B577" s="324" t="s">
        <v>632</v>
      </c>
      <c r="C577" s="328" t="s">
        <v>115</v>
      </c>
      <c r="E577" s="326">
        <v>0</v>
      </c>
      <c r="F577" s="48">
        <f t="shared" si="16"/>
        <v>0</v>
      </c>
      <c r="G577" s="326"/>
    </row>
    <row r="578" spans="1:7" ht="14.4" x14ac:dyDescent="0.3">
      <c r="A578" s="324"/>
      <c r="B578" s="324" t="s">
        <v>633</v>
      </c>
      <c r="C578" s="328" t="s">
        <v>115</v>
      </c>
      <c r="E578" s="326">
        <v>0</v>
      </c>
      <c r="F578" s="48">
        <f t="shared" si="16"/>
        <v>0</v>
      </c>
      <c r="G578" s="326"/>
    </row>
    <row r="579" spans="1:7" ht="14.4" x14ac:dyDescent="0.3">
      <c r="A579" s="324"/>
      <c r="B579" s="324" t="s">
        <v>634</v>
      </c>
      <c r="C579" s="328" t="s">
        <v>115</v>
      </c>
      <c r="E579" s="326">
        <v>0</v>
      </c>
      <c r="F579" s="48">
        <f t="shared" si="16"/>
        <v>0</v>
      </c>
      <c r="G579" s="326"/>
    </row>
    <row r="580" spans="1:7" ht="14.4" x14ac:dyDescent="0.3">
      <c r="A580" s="324"/>
      <c r="B580" s="324" t="s">
        <v>635</v>
      </c>
      <c r="C580" s="328" t="s">
        <v>115</v>
      </c>
      <c r="E580" s="326">
        <v>0</v>
      </c>
      <c r="F580" s="48">
        <f t="shared" si="16"/>
        <v>0</v>
      </c>
      <c r="G580" s="326"/>
    </row>
    <row r="581" spans="1:7" ht="14.4" x14ac:dyDescent="0.3">
      <c r="A581" s="324"/>
      <c r="B581" s="324" t="s">
        <v>636</v>
      </c>
      <c r="C581" s="328" t="s">
        <v>115</v>
      </c>
      <c r="E581" s="326">
        <v>0</v>
      </c>
      <c r="F581" s="48">
        <f t="shared" si="16"/>
        <v>0</v>
      </c>
      <c r="G581" s="326"/>
    </row>
    <row r="582" spans="1:7" ht="14.4" x14ac:dyDescent="0.3">
      <c r="A582" s="324"/>
      <c r="B582" s="324" t="s">
        <v>637</v>
      </c>
      <c r="C582" s="328" t="s">
        <v>115</v>
      </c>
      <c r="E582" s="326">
        <v>0</v>
      </c>
      <c r="F582" s="48">
        <f t="shared" si="16"/>
        <v>0</v>
      </c>
      <c r="G582" s="326"/>
    </row>
    <row r="583" spans="1:7" ht="14.4" x14ac:dyDescent="0.3">
      <c r="A583" s="324"/>
      <c r="B583" s="324" t="s">
        <v>638</v>
      </c>
      <c r="C583" s="328" t="s">
        <v>115</v>
      </c>
      <c r="E583" s="326">
        <v>0</v>
      </c>
      <c r="F583" s="48">
        <f t="shared" si="16"/>
        <v>0</v>
      </c>
      <c r="G583" s="326"/>
    </row>
    <row r="584" spans="1:7" ht="14.4" x14ac:dyDescent="0.3">
      <c r="A584" s="324"/>
      <c r="B584" s="324" t="s">
        <v>639</v>
      </c>
      <c r="C584" s="328" t="s">
        <v>115</v>
      </c>
      <c r="E584" s="326">
        <v>0</v>
      </c>
      <c r="F584" s="48">
        <f t="shared" si="16"/>
        <v>0</v>
      </c>
      <c r="G584" s="326"/>
    </row>
    <row r="585" spans="1:7" ht="14.4" x14ac:dyDescent="0.3">
      <c r="A585" s="324"/>
      <c r="B585" s="324" t="s">
        <v>640</v>
      </c>
      <c r="C585" s="328" t="s">
        <v>115</v>
      </c>
      <c r="E585" s="326">
        <v>0</v>
      </c>
      <c r="F585" s="48">
        <f t="shared" si="16"/>
        <v>0</v>
      </c>
      <c r="G585" s="326"/>
    </row>
    <row r="586" spans="1:7" ht="14.4" x14ac:dyDescent="0.3">
      <c r="A586" s="324"/>
      <c r="B586" s="324" t="s">
        <v>641</v>
      </c>
      <c r="C586" s="328" t="s">
        <v>115</v>
      </c>
      <c r="E586" s="326">
        <v>0</v>
      </c>
      <c r="F586" s="48">
        <f t="shared" si="16"/>
        <v>0</v>
      </c>
      <c r="G586" s="326"/>
    </row>
    <row r="587" spans="1:7" ht="14.4" x14ac:dyDescent="0.3">
      <c r="A587" s="324"/>
      <c r="B587" s="324" t="s">
        <v>642</v>
      </c>
      <c r="C587" s="328" t="s">
        <v>115</v>
      </c>
      <c r="E587" s="326">
        <v>0</v>
      </c>
      <c r="F587" s="48">
        <f t="shared" si="16"/>
        <v>0</v>
      </c>
      <c r="G587" s="326"/>
    </row>
    <row r="588" spans="1:7" ht="14.4" x14ac:dyDescent="0.3">
      <c r="A588" s="324"/>
      <c r="B588" s="324" t="s">
        <v>643</v>
      </c>
      <c r="C588" s="328" t="s">
        <v>115</v>
      </c>
      <c r="E588" s="326">
        <v>0</v>
      </c>
      <c r="F588" s="48">
        <f t="shared" si="16"/>
        <v>0</v>
      </c>
      <c r="G588" s="326"/>
    </row>
    <row r="589" spans="1:7" ht="14.4" x14ac:dyDescent="0.3">
      <c r="A589" s="324"/>
      <c r="B589" s="324" t="s">
        <v>644</v>
      </c>
      <c r="C589" s="328" t="s">
        <v>115</v>
      </c>
      <c r="E589" s="326">
        <v>0</v>
      </c>
      <c r="F589" s="48">
        <f t="shared" si="16"/>
        <v>0</v>
      </c>
      <c r="G589" s="326"/>
    </row>
    <row r="590" spans="1:7" ht="14.4" x14ac:dyDescent="0.3">
      <c r="A590" s="324"/>
      <c r="B590" s="324" t="s">
        <v>645</v>
      </c>
      <c r="C590" s="328" t="s">
        <v>115</v>
      </c>
      <c r="E590" s="326">
        <v>0</v>
      </c>
      <c r="F590" s="48">
        <f t="shared" si="16"/>
        <v>0</v>
      </c>
      <c r="G590" s="326"/>
    </row>
    <row r="591" spans="1:7" ht="14.4" x14ac:dyDescent="0.3">
      <c r="A591" s="324"/>
      <c r="B591" s="324" t="s">
        <v>646</v>
      </c>
      <c r="C591" s="328" t="s">
        <v>115</v>
      </c>
      <c r="E591" s="326">
        <v>0</v>
      </c>
      <c r="F591" s="48">
        <f t="shared" si="16"/>
        <v>0</v>
      </c>
      <c r="G591" s="326"/>
    </row>
    <row r="592" spans="1:7" ht="14.4" x14ac:dyDescent="0.3">
      <c r="A592" s="324"/>
      <c r="B592" s="324" t="s">
        <v>647</v>
      </c>
      <c r="C592" s="328" t="s">
        <v>115</v>
      </c>
      <c r="E592" s="326">
        <v>0</v>
      </c>
      <c r="F592" s="48">
        <f t="shared" si="16"/>
        <v>0</v>
      </c>
      <c r="G592" s="326"/>
    </row>
    <row r="593" spans="1:7" ht="14.4" x14ac:dyDescent="0.3">
      <c r="A593" s="324"/>
      <c r="B593" s="324" t="s">
        <v>648</v>
      </c>
      <c r="C593" s="328" t="s">
        <v>115</v>
      </c>
      <c r="E593" s="326">
        <v>0</v>
      </c>
      <c r="F593" s="48">
        <f t="shared" si="16"/>
        <v>0</v>
      </c>
      <c r="G593" s="326"/>
    </row>
    <row r="594" spans="1:7" ht="14.4" x14ac:dyDescent="0.3">
      <c r="A594" s="324"/>
      <c r="B594" s="324" t="s">
        <v>649</v>
      </c>
      <c r="C594" s="328" t="s">
        <v>115</v>
      </c>
      <c r="E594" s="326">
        <v>0</v>
      </c>
      <c r="F594" s="48">
        <f t="shared" si="16"/>
        <v>0</v>
      </c>
      <c r="G594" s="326"/>
    </row>
    <row r="595" spans="1:7" ht="14.4" x14ac:dyDescent="0.3">
      <c r="A595" s="324"/>
      <c r="B595" s="324" t="s">
        <v>650</v>
      </c>
      <c r="C595" s="328" t="s">
        <v>115</v>
      </c>
      <c r="E595" s="326">
        <v>5.61</v>
      </c>
      <c r="F595" s="48">
        <f t="shared" si="16"/>
        <v>0</v>
      </c>
      <c r="G595" s="326"/>
    </row>
    <row r="596" spans="1:7" ht="14.4" x14ac:dyDescent="0.3">
      <c r="A596" s="324"/>
      <c r="B596" s="324" t="s">
        <v>651</v>
      </c>
      <c r="C596" s="328" t="s">
        <v>115</v>
      </c>
      <c r="E596" s="326">
        <v>0</v>
      </c>
      <c r="F596" s="48">
        <f t="shared" si="16"/>
        <v>0</v>
      </c>
      <c r="G596" s="326"/>
    </row>
    <row r="597" spans="1:7" ht="14.4" x14ac:dyDescent="0.3">
      <c r="A597" s="324"/>
      <c r="B597" s="324" t="s">
        <v>652</v>
      </c>
      <c r="C597" s="328" t="s">
        <v>115</v>
      </c>
      <c r="E597" s="326">
        <v>0</v>
      </c>
      <c r="F597" s="48">
        <f t="shared" si="16"/>
        <v>0</v>
      </c>
      <c r="G597" s="326"/>
    </row>
    <row r="598" spans="1:7" ht="14.4" x14ac:dyDescent="0.3">
      <c r="A598" s="324"/>
      <c r="B598" s="324" t="s">
        <v>653</v>
      </c>
      <c r="C598" s="328" t="s">
        <v>115</v>
      </c>
      <c r="E598" s="326">
        <v>0</v>
      </c>
      <c r="F598" s="48">
        <f t="shared" si="16"/>
        <v>0</v>
      </c>
      <c r="G598" s="326"/>
    </row>
    <row r="599" spans="1:7" ht="14.4" x14ac:dyDescent="0.3">
      <c r="A599" s="324"/>
      <c r="B599" s="324" t="s">
        <v>654</v>
      </c>
      <c r="C599" s="328" t="s">
        <v>115</v>
      </c>
      <c r="E599" s="326">
        <v>0</v>
      </c>
      <c r="F599" s="48">
        <f t="shared" si="16"/>
        <v>0</v>
      </c>
      <c r="G599" s="326"/>
    </row>
    <row r="600" spans="1:7" ht="14.4" x14ac:dyDescent="0.3">
      <c r="A600" s="324"/>
      <c r="B600" s="324" t="s">
        <v>655</v>
      </c>
      <c r="C600" s="328" t="s">
        <v>115</v>
      </c>
      <c r="E600" s="326">
        <v>0</v>
      </c>
      <c r="F600" s="48">
        <f t="shared" si="16"/>
        <v>0</v>
      </c>
      <c r="G600" s="326"/>
    </row>
    <row r="601" spans="1:7" ht="14.4" x14ac:dyDescent="0.3">
      <c r="A601" s="324"/>
      <c r="B601" s="324" t="s">
        <v>656</v>
      </c>
      <c r="C601" s="328" t="s">
        <v>115</v>
      </c>
      <c r="E601" s="326">
        <v>0</v>
      </c>
      <c r="F601" s="48">
        <f t="shared" si="16"/>
        <v>0</v>
      </c>
      <c r="G601" s="326"/>
    </row>
    <row r="602" spans="1:7" ht="14.4" x14ac:dyDescent="0.3">
      <c r="A602" s="324"/>
      <c r="B602" s="324" t="s">
        <v>657</v>
      </c>
      <c r="C602" s="328" t="s">
        <v>115</v>
      </c>
      <c r="E602" s="326">
        <v>0</v>
      </c>
      <c r="F602" s="48">
        <f t="shared" si="16"/>
        <v>0</v>
      </c>
      <c r="G602" s="326"/>
    </row>
    <row r="603" spans="1:7" ht="14.4" x14ac:dyDescent="0.3">
      <c r="A603" s="324"/>
      <c r="B603" s="324" t="s">
        <v>658</v>
      </c>
      <c r="C603" s="328" t="s">
        <v>115</v>
      </c>
      <c r="E603" s="326">
        <v>0</v>
      </c>
      <c r="F603" s="48">
        <f t="shared" si="16"/>
        <v>0</v>
      </c>
      <c r="G603" s="326"/>
    </row>
    <row r="604" spans="1:7" ht="14.4" x14ac:dyDescent="0.3">
      <c r="A604" s="324"/>
      <c r="B604" s="324" t="s">
        <v>659</v>
      </c>
      <c r="C604" s="328" t="s">
        <v>115</v>
      </c>
      <c r="E604" s="326">
        <v>0</v>
      </c>
      <c r="F604" s="48">
        <f t="shared" si="16"/>
        <v>0</v>
      </c>
      <c r="G604" s="326"/>
    </row>
    <row r="605" spans="1:7" ht="14.4" x14ac:dyDescent="0.3">
      <c r="A605" s="324"/>
      <c r="B605" s="324" t="s">
        <v>660</v>
      </c>
      <c r="C605" s="328" t="s">
        <v>115</v>
      </c>
      <c r="E605" s="326">
        <v>0</v>
      </c>
      <c r="F605" s="48">
        <f t="shared" si="16"/>
        <v>0</v>
      </c>
      <c r="G605" s="326"/>
    </row>
    <row r="606" spans="1:7" ht="14.4" x14ac:dyDescent="0.3">
      <c r="A606" s="324"/>
      <c r="B606" s="324" t="s">
        <v>661</v>
      </c>
      <c r="C606" s="328" t="s">
        <v>115</v>
      </c>
      <c r="E606" s="326">
        <v>0</v>
      </c>
      <c r="F606" s="48">
        <f t="shared" si="16"/>
        <v>0</v>
      </c>
      <c r="G606" s="326"/>
    </row>
    <row r="607" spans="1:7" ht="14.4" x14ac:dyDescent="0.3">
      <c r="A607" s="324"/>
      <c r="B607" s="324" t="s">
        <v>662</v>
      </c>
      <c r="C607" s="328" t="s">
        <v>115</v>
      </c>
      <c r="E607" s="326">
        <v>0</v>
      </c>
      <c r="F607" s="48">
        <f t="shared" si="16"/>
        <v>0</v>
      </c>
      <c r="G607" s="326"/>
    </row>
    <row r="608" spans="1:7" ht="14.4" x14ac:dyDescent="0.3">
      <c r="A608" s="324"/>
      <c r="B608" s="324" t="s">
        <v>663</v>
      </c>
      <c r="C608" s="328" t="s">
        <v>115</v>
      </c>
      <c r="E608" s="326">
        <v>0</v>
      </c>
      <c r="F608" s="48">
        <f t="shared" si="16"/>
        <v>0</v>
      </c>
      <c r="G608" s="326"/>
    </row>
    <row r="609" spans="1:7" ht="14.4" x14ac:dyDescent="0.3">
      <c r="A609" s="324"/>
      <c r="B609" s="324" t="s">
        <v>664</v>
      </c>
      <c r="C609" s="328" t="s">
        <v>115</v>
      </c>
      <c r="E609" s="326">
        <v>0</v>
      </c>
      <c r="F609" s="48">
        <f t="shared" si="16"/>
        <v>0</v>
      </c>
      <c r="G609" s="326"/>
    </row>
    <row r="610" spans="1:7" ht="14.4" x14ac:dyDescent="0.3">
      <c r="A610" s="324"/>
      <c r="B610" s="324" t="s">
        <v>665</v>
      </c>
      <c r="C610" s="328" t="s">
        <v>115</v>
      </c>
      <c r="E610" s="326">
        <v>0</v>
      </c>
      <c r="F610" s="48">
        <f t="shared" si="16"/>
        <v>0</v>
      </c>
      <c r="G610" s="326"/>
    </row>
    <row r="611" spans="1:7" ht="14.4" x14ac:dyDescent="0.3">
      <c r="A611" s="324"/>
      <c r="B611" s="324" t="s">
        <v>666</v>
      </c>
      <c r="C611" s="328" t="s">
        <v>115</v>
      </c>
      <c r="E611" s="326">
        <v>0</v>
      </c>
      <c r="F611" s="48">
        <f t="shared" si="16"/>
        <v>0</v>
      </c>
      <c r="G611" s="326"/>
    </row>
    <row r="612" spans="1:7" ht="14.4" x14ac:dyDescent="0.3">
      <c r="A612" s="324"/>
      <c r="B612" s="324" t="s">
        <v>667</v>
      </c>
      <c r="C612" s="328" t="s">
        <v>115</v>
      </c>
      <c r="E612" s="326">
        <v>0</v>
      </c>
      <c r="F612" s="48">
        <f t="shared" si="16"/>
        <v>0</v>
      </c>
      <c r="G612" s="326"/>
    </row>
    <row r="613" spans="1:7" ht="14.4" x14ac:dyDescent="0.3">
      <c r="A613" s="324"/>
      <c r="B613" s="324" t="s">
        <v>668</v>
      </c>
      <c r="C613" s="328" t="s">
        <v>115</v>
      </c>
      <c r="E613" s="326">
        <v>0</v>
      </c>
      <c r="F613" s="48">
        <f t="shared" si="16"/>
        <v>0</v>
      </c>
      <c r="G613" s="326"/>
    </row>
    <row r="614" spans="1:7" ht="14.4" x14ac:dyDescent="0.3">
      <c r="A614" s="324"/>
      <c r="B614" s="324" t="s">
        <v>669</v>
      </c>
      <c r="C614" s="328" t="s">
        <v>115</v>
      </c>
      <c r="E614" s="326">
        <v>0</v>
      </c>
      <c r="F614" s="48">
        <f t="shared" si="16"/>
        <v>0</v>
      </c>
      <c r="G614" s="326"/>
    </row>
    <row r="615" spans="1:7" ht="14.4" x14ac:dyDescent="0.3">
      <c r="A615" s="324"/>
      <c r="B615" s="324" t="s">
        <v>670</v>
      </c>
      <c r="C615" s="328" t="s">
        <v>115</v>
      </c>
      <c r="E615" s="326">
        <v>0</v>
      </c>
      <c r="F615" s="48">
        <f t="shared" si="16"/>
        <v>0</v>
      </c>
      <c r="G615" s="326"/>
    </row>
    <row r="616" spans="1:7" ht="14.4" x14ac:dyDescent="0.3">
      <c r="A616" s="324"/>
      <c r="B616" s="324" t="s">
        <v>671</v>
      </c>
      <c r="C616" s="328" t="s">
        <v>115</v>
      </c>
      <c r="E616" s="326">
        <v>0</v>
      </c>
      <c r="F616" s="48">
        <f t="shared" si="16"/>
        <v>0</v>
      </c>
      <c r="G616" s="326"/>
    </row>
    <row r="617" spans="1:7" ht="14.4" x14ac:dyDescent="0.3">
      <c r="A617" s="324"/>
      <c r="B617" s="324" t="s">
        <v>672</v>
      </c>
      <c r="C617" s="328" t="s">
        <v>115</v>
      </c>
      <c r="E617" s="326">
        <v>0</v>
      </c>
      <c r="F617" s="48">
        <f t="shared" si="16"/>
        <v>0</v>
      </c>
      <c r="G617" s="326"/>
    </row>
    <row r="618" spans="1:7" ht="14.4" x14ac:dyDescent="0.3">
      <c r="A618" s="324"/>
      <c r="B618" s="324" t="s">
        <v>673</v>
      </c>
      <c r="C618" s="328" t="s">
        <v>115</v>
      </c>
      <c r="E618" s="326">
        <v>0</v>
      </c>
      <c r="F618" s="48">
        <f t="shared" si="16"/>
        <v>0</v>
      </c>
      <c r="G618" s="326"/>
    </row>
    <row r="619" spans="1:7" ht="14.4" x14ac:dyDescent="0.3">
      <c r="A619" s="324"/>
      <c r="B619" s="324" t="s">
        <v>674</v>
      </c>
      <c r="C619" s="328" t="s">
        <v>115</v>
      </c>
      <c r="E619" s="326">
        <v>0</v>
      </c>
      <c r="F619" s="48">
        <f t="shared" si="16"/>
        <v>0</v>
      </c>
      <c r="G619" s="326"/>
    </row>
    <row r="620" spans="1:7" ht="14.4" x14ac:dyDescent="0.3">
      <c r="A620" s="324"/>
      <c r="B620" s="324" t="s">
        <v>675</v>
      </c>
      <c r="C620" s="328" t="s">
        <v>115</v>
      </c>
      <c r="E620" s="326">
        <v>0</v>
      </c>
      <c r="F620" s="48">
        <f t="shared" si="16"/>
        <v>0</v>
      </c>
      <c r="G620" s="326"/>
    </row>
    <row r="621" spans="1:7" ht="14.4" x14ac:dyDescent="0.3">
      <c r="A621" s="324"/>
      <c r="B621" s="324" t="s">
        <v>676</v>
      </c>
      <c r="C621" s="328" t="s">
        <v>115</v>
      </c>
      <c r="E621" s="326">
        <v>26.25</v>
      </c>
      <c r="F621" s="48">
        <f t="shared" si="16"/>
        <v>0</v>
      </c>
      <c r="G621" s="326"/>
    </row>
    <row r="622" spans="1:7" ht="14.4" x14ac:dyDescent="0.3">
      <c r="A622" s="324"/>
      <c r="B622" s="324" t="s">
        <v>677</v>
      </c>
      <c r="C622" s="328" t="s">
        <v>115</v>
      </c>
      <c r="E622" s="326">
        <v>0</v>
      </c>
      <c r="F622" s="48">
        <f t="shared" si="16"/>
        <v>0</v>
      </c>
      <c r="G622" s="326"/>
    </row>
    <row r="623" spans="1:7" ht="14.4" x14ac:dyDescent="0.3">
      <c r="A623" s="324"/>
      <c r="B623" s="324" t="s">
        <v>678</v>
      </c>
      <c r="C623" s="328" t="s">
        <v>115</v>
      </c>
      <c r="E623" s="326">
        <v>0</v>
      </c>
      <c r="F623" s="48">
        <f t="shared" si="16"/>
        <v>0</v>
      </c>
      <c r="G623" s="326"/>
    </row>
    <row r="624" spans="1:7" ht="14.4" x14ac:dyDescent="0.3">
      <c r="A624" s="324"/>
      <c r="B624" s="324" t="s">
        <v>679</v>
      </c>
      <c r="C624" s="328" t="s">
        <v>115</v>
      </c>
      <c r="E624" s="326">
        <v>0</v>
      </c>
      <c r="F624" s="48">
        <f t="shared" si="16"/>
        <v>0</v>
      </c>
      <c r="G624" s="326"/>
    </row>
    <row r="625" spans="1:7" ht="14.4" x14ac:dyDescent="0.3">
      <c r="A625" s="324"/>
      <c r="B625" s="324" t="s">
        <v>680</v>
      </c>
      <c r="C625" s="328" t="s">
        <v>115</v>
      </c>
      <c r="E625" s="326">
        <v>0</v>
      </c>
      <c r="F625" s="48">
        <f t="shared" si="16"/>
        <v>0</v>
      </c>
      <c r="G625" s="326"/>
    </row>
    <row r="626" spans="1:7" ht="14.4" x14ac:dyDescent="0.3">
      <c r="A626" s="324"/>
      <c r="B626" s="324" t="s">
        <v>681</v>
      </c>
      <c r="C626" s="328" t="s">
        <v>115</v>
      </c>
      <c r="E626" s="326">
        <v>0</v>
      </c>
      <c r="F626" s="48">
        <f t="shared" ref="F626:F689" si="17">E626*D626</f>
        <v>0</v>
      </c>
      <c r="G626" s="326"/>
    </row>
    <row r="627" spans="1:7" ht="14.4" x14ac:dyDescent="0.3">
      <c r="A627" s="324"/>
      <c r="B627" s="324" t="s">
        <v>682</v>
      </c>
      <c r="C627" s="328" t="s">
        <v>115</v>
      </c>
      <c r="E627" s="326">
        <v>0</v>
      </c>
      <c r="F627" s="48">
        <f t="shared" si="17"/>
        <v>0</v>
      </c>
      <c r="G627" s="326"/>
    </row>
    <row r="628" spans="1:7" ht="14.4" x14ac:dyDescent="0.3">
      <c r="A628" s="324"/>
      <c r="B628" s="324" t="s">
        <v>683</v>
      </c>
      <c r="C628" s="328" t="s">
        <v>115</v>
      </c>
      <c r="E628" s="326">
        <v>0</v>
      </c>
      <c r="F628" s="48">
        <f t="shared" si="17"/>
        <v>0</v>
      </c>
      <c r="G628" s="326"/>
    </row>
    <row r="629" spans="1:7" ht="14.4" x14ac:dyDescent="0.3">
      <c r="A629" s="324"/>
      <c r="B629" s="324" t="s">
        <v>684</v>
      </c>
      <c r="C629" s="328" t="s">
        <v>115</v>
      </c>
      <c r="E629" s="326">
        <v>0</v>
      </c>
      <c r="F629" s="48">
        <f t="shared" si="17"/>
        <v>0</v>
      </c>
      <c r="G629" s="326"/>
    </row>
    <row r="630" spans="1:7" ht="14.4" x14ac:dyDescent="0.3">
      <c r="A630" s="324"/>
      <c r="B630" s="324" t="s">
        <v>685</v>
      </c>
      <c r="C630" s="328" t="s">
        <v>115</v>
      </c>
      <c r="E630" s="326">
        <v>0</v>
      </c>
      <c r="F630" s="48">
        <f t="shared" si="17"/>
        <v>0</v>
      </c>
      <c r="G630" s="326"/>
    </row>
    <row r="631" spans="1:7" ht="14.4" x14ac:dyDescent="0.3">
      <c r="A631" s="324"/>
      <c r="B631" s="324" t="s">
        <v>686</v>
      </c>
      <c r="C631" s="328" t="s">
        <v>115</v>
      </c>
      <c r="E631" s="326">
        <v>0</v>
      </c>
      <c r="F631" s="48">
        <f t="shared" si="17"/>
        <v>0</v>
      </c>
      <c r="G631" s="326"/>
    </row>
    <row r="632" spans="1:7" ht="14.4" x14ac:dyDescent="0.3">
      <c r="A632" s="324"/>
      <c r="B632" s="324" t="s">
        <v>687</v>
      </c>
      <c r="C632" s="328" t="s">
        <v>115</v>
      </c>
      <c r="E632" s="326">
        <v>0</v>
      </c>
      <c r="F632" s="48">
        <f t="shared" si="17"/>
        <v>0</v>
      </c>
      <c r="G632" s="326"/>
    </row>
    <row r="633" spans="1:7" ht="14.4" x14ac:dyDescent="0.3">
      <c r="A633" s="324"/>
      <c r="B633" s="324" t="s">
        <v>688</v>
      </c>
      <c r="C633" s="328" t="s">
        <v>115</v>
      </c>
      <c r="E633" s="326">
        <v>0</v>
      </c>
      <c r="F633" s="48">
        <f t="shared" si="17"/>
        <v>0</v>
      </c>
      <c r="G633" s="326"/>
    </row>
    <row r="634" spans="1:7" ht="14.4" x14ac:dyDescent="0.3">
      <c r="A634" s="324"/>
      <c r="B634" s="324" t="s">
        <v>689</v>
      </c>
      <c r="C634" s="328" t="s">
        <v>115</v>
      </c>
      <c r="E634" s="326">
        <v>0</v>
      </c>
      <c r="F634" s="48">
        <f t="shared" si="17"/>
        <v>0</v>
      </c>
      <c r="G634" s="326"/>
    </row>
    <row r="635" spans="1:7" ht="14.4" x14ac:dyDescent="0.3">
      <c r="A635" s="324"/>
      <c r="B635" s="324" t="s">
        <v>690</v>
      </c>
      <c r="C635" s="328" t="s">
        <v>115</v>
      </c>
      <c r="E635" s="326">
        <v>0</v>
      </c>
      <c r="F635" s="48">
        <f t="shared" si="17"/>
        <v>0</v>
      </c>
      <c r="G635" s="326"/>
    </row>
    <row r="636" spans="1:7" ht="14.4" x14ac:dyDescent="0.3">
      <c r="A636" s="324"/>
      <c r="B636" s="324" t="s">
        <v>691</v>
      </c>
      <c r="C636" s="328" t="s">
        <v>115</v>
      </c>
      <c r="E636" s="326">
        <v>0</v>
      </c>
      <c r="F636" s="48">
        <f t="shared" si="17"/>
        <v>0</v>
      </c>
      <c r="G636" s="326"/>
    </row>
    <row r="637" spans="1:7" ht="14.4" x14ac:dyDescent="0.3">
      <c r="A637" s="324"/>
      <c r="B637" s="324" t="s">
        <v>692</v>
      </c>
      <c r="C637" s="328" t="s">
        <v>115</v>
      </c>
      <c r="E637" s="326">
        <v>0</v>
      </c>
      <c r="F637" s="48">
        <f t="shared" si="17"/>
        <v>0</v>
      </c>
      <c r="G637" s="326"/>
    </row>
    <row r="638" spans="1:7" ht="14.4" x14ac:dyDescent="0.3">
      <c r="A638" s="324"/>
      <c r="B638" s="324" t="s">
        <v>693</v>
      </c>
      <c r="C638" s="328" t="s">
        <v>115</v>
      </c>
      <c r="E638" s="326">
        <v>0</v>
      </c>
      <c r="F638" s="48">
        <f t="shared" si="17"/>
        <v>0</v>
      </c>
      <c r="G638" s="326"/>
    </row>
    <row r="639" spans="1:7" ht="14.4" x14ac:dyDescent="0.3">
      <c r="A639" s="324"/>
      <c r="B639" s="324" t="s">
        <v>694</v>
      </c>
      <c r="C639" s="328" t="s">
        <v>115</v>
      </c>
      <c r="E639" s="326">
        <v>0</v>
      </c>
      <c r="F639" s="48">
        <f t="shared" si="17"/>
        <v>0</v>
      </c>
      <c r="G639" s="326"/>
    </row>
    <row r="640" spans="1:7" ht="14.4" x14ac:dyDescent="0.3">
      <c r="A640" s="324"/>
      <c r="B640" s="324" t="s">
        <v>695</v>
      </c>
      <c r="C640" s="328" t="s">
        <v>115</v>
      </c>
      <c r="E640" s="326">
        <v>0</v>
      </c>
      <c r="F640" s="48">
        <f t="shared" si="17"/>
        <v>0</v>
      </c>
      <c r="G640" s="326"/>
    </row>
    <row r="641" spans="1:7" ht="14.4" x14ac:dyDescent="0.3">
      <c r="A641" s="324"/>
      <c r="B641" s="324" t="s">
        <v>696</v>
      </c>
      <c r="C641" s="328" t="s">
        <v>115</v>
      </c>
      <c r="E641" s="326">
        <v>0</v>
      </c>
      <c r="F641" s="48">
        <f t="shared" si="17"/>
        <v>0</v>
      </c>
      <c r="G641" s="326"/>
    </row>
    <row r="642" spans="1:7" ht="14.4" x14ac:dyDescent="0.3">
      <c r="A642" s="324"/>
      <c r="B642" s="324" t="s">
        <v>697</v>
      </c>
      <c r="C642" s="328" t="s">
        <v>115</v>
      </c>
      <c r="E642" s="326">
        <v>0</v>
      </c>
      <c r="F642" s="48">
        <f t="shared" si="17"/>
        <v>0</v>
      </c>
      <c r="G642" s="326"/>
    </row>
    <row r="643" spans="1:7" ht="14.4" x14ac:dyDescent="0.3">
      <c r="A643" s="324"/>
      <c r="B643" s="324" t="s">
        <v>698</v>
      </c>
      <c r="C643" s="328" t="s">
        <v>115</v>
      </c>
      <c r="E643" s="326">
        <v>0</v>
      </c>
      <c r="F643" s="48">
        <f t="shared" si="17"/>
        <v>0</v>
      </c>
      <c r="G643" s="326"/>
    </row>
    <row r="644" spans="1:7" ht="14.4" x14ac:dyDescent="0.3">
      <c r="A644" s="324"/>
      <c r="B644" s="324" t="s">
        <v>699</v>
      </c>
      <c r="C644" s="328" t="s">
        <v>115</v>
      </c>
      <c r="E644" s="326">
        <v>0</v>
      </c>
      <c r="F644" s="48">
        <f t="shared" si="17"/>
        <v>0</v>
      </c>
      <c r="G644" s="326"/>
    </row>
    <row r="645" spans="1:7" ht="14.4" x14ac:dyDescent="0.3">
      <c r="A645" s="324"/>
      <c r="B645" s="324" t="s">
        <v>700</v>
      </c>
      <c r="C645" s="328" t="s">
        <v>115</v>
      </c>
      <c r="E645" s="326">
        <v>0</v>
      </c>
      <c r="F645" s="48">
        <f t="shared" si="17"/>
        <v>0</v>
      </c>
      <c r="G645" s="326"/>
    </row>
    <row r="646" spans="1:7" ht="14.4" x14ac:dyDescent="0.3">
      <c r="A646" s="324"/>
      <c r="B646" s="324" t="s">
        <v>701</v>
      </c>
      <c r="C646" s="328" t="s">
        <v>115</v>
      </c>
      <c r="E646" s="326">
        <v>0</v>
      </c>
      <c r="F646" s="48">
        <f t="shared" si="17"/>
        <v>0</v>
      </c>
      <c r="G646" s="326"/>
    </row>
    <row r="647" spans="1:7" ht="14.4" x14ac:dyDescent="0.3">
      <c r="A647" s="324"/>
      <c r="B647" s="324" t="s">
        <v>702</v>
      </c>
      <c r="C647" s="328" t="s">
        <v>115</v>
      </c>
      <c r="E647" s="326">
        <v>0</v>
      </c>
      <c r="F647" s="48">
        <f t="shared" si="17"/>
        <v>0</v>
      </c>
      <c r="G647" s="326"/>
    </row>
    <row r="648" spans="1:7" ht="14.4" x14ac:dyDescent="0.3">
      <c r="A648" s="324"/>
      <c r="B648" s="324" t="s">
        <v>703</v>
      </c>
      <c r="C648" s="328" t="s">
        <v>115</v>
      </c>
      <c r="E648" s="326">
        <v>0</v>
      </c>
      <c r="F648" s="48">
        <f t="shared" si="17"/>
        <v>0</v>
      </c>
      <c r="G648" s="326"/>
    </row>
    <row r="649" spans="1:7" ht="14.4" x14ac:dyDescent="0.3">
      <c r="A649" s="324"/>
      <c r="B649" s="324"/>
      <c r="C649" s="328" t="s">
        <v>115</v>
      </c>
      <c r="E649" s="326">
        <v>0</v>
      </c>
      <c r="F649" s="48">
        <f t="shared" si="17"/>
        <v>0</v>
      </c>
      <c r="G649" s="326"/>
    </row>
    <row r="650" spans="1:7" ht="14.4" x14ac:dyDescent="0.3">
      <c r="A650" s="324"/>
      <c r="B650" s="324" t="s">
        <v>704</v>
      </c>
      <c r="C650" s="328"/>
      <c r="E650" s="326">
        <v>0</v>
      </c>
      <c r="F650" s="48">
        <f t="shared" si="17"/>
        <v>0</v>
      </c>
      <c r="G650" s="326"/>
    </row>
    <row r="651" spans="1:7" ht="14.4" x14ac:dyDescent="0.3">
      <c r="A651" s="324"/>
      <c r="B651" s="324" t="s">
        <v>705</v>
      </c>
      <c r="C651" s="328" t="s">
        <v>149</v>
      </c>
      <c r="E651" s="326">
        <v>0</v>
      </c>
      <c r="F651" s="48">
        <f t="shared" si="17"/>
        <v>0</v>
      </c>
      <c r="G651" s="326"/>
    </row>
    <row r="652" spans="1:7" ht="14.4" x14ac:dyDescent="0.3">
      <c r="A652" s="324"/>
      <c r="B652" s="324" t="s">
        <v>706</v>
      </c>
      <c r="C652" s="328" t="s">
        <v>149</v>
      </c>
      <c r="E652" s="326">
        <v>0</v>
      </c>
      <c r="F652" s="48">
        <f t="shared" si="17"/>
        <v>0</v>
      </c>
      <c r="G652" s="326"/>
    </row>
    <row r="653" spans="1:7" ht="14.4" x14ac:dyDescent="0.3">
      <c r="A653" s="324"/>
      <c r="B653" s="324" t="s">
        <v>707</v>
      </c>
      <c r="C653" s="328" t="s">
        <v>149</v>
      </c>
      <c r="E653" s="326">
        <v>0</v>
      </c>
      <c r="F653" s="48">
        <f t="shared" si="17"/>
        <v>0</v>
      </c>
      <c r="G653" s="326"/>
    </row>
    <row r="654" spans="1:7" ht="14.4" x14ac:dyDescent="0.3">
      <c r="A654" s="324"/>
      <c r="B654" s="324" t="s">
        <v>708</v>
      </c>
      <c r="C654" s="328" t="s">
        <v>115</v>
      </c>
      <c r="E654" s="326">
        <v>0</v>
      </c>
      <c r="F654" s="48">
        <f t="shared" si="17"/>
        <v>0</v>
      </c>
      <c r="G654" s="326"/>
    </row>
    <row r="655" spans="1:7" ht="14.4" x14ac:dyDescent="0.3">
      <c r="A655" s="324"/>
      <c r="B655" s="324" t="s">
        <v>709</v>
      </c>
      <c r="C655" s="328" t="s">
        <v>115</v>
      </c>
      <c r="E655" s="326">
        <v>0</v>
      </c>
      <c r="F655" s="48">
        <f t="shared" si="17"/>
        <v>0</v>
      </c>
      <c r="G655" s="326"/>
    </row>
    <row r="656" spans="1:7" ht="14.4" x14ac:dyDescent="0.3">
      <c r="A656" s="324"/>
      <c r="B656" s="324" t="s">
        <v>710</v>
      </c>
      <c r="C656" s="328" t="s">
        <v>115</v>
      </c>
      <c r="E656" s="326">
        <v>0</v>
      </c>
      <c r="F656" s="48">
        <f t="shared" si="17"/>
        <v>0</v>
      </c>
      <c r="G656" s="326"/>
    </row>
    <row r="657" spans="1:7" ht="14.4" x14ac:dyDescent="0.3">
      <c r="A657" s="324"/>
      <c r="B657" s="324" t="s">
        <v>711</v>
      </c>
      <c r="C657" s="328" t="s">
        <v>115</v>
      </c>
      <c r="E657" s="326">
        <v>0</v>
      </c>
      <c r="F657" s="48">
        <f t="shared" si="17"/>
        <v>0</v>
      </c>
      <c r="G657" s="326"/>
    </row>
    <row r="658" spans="1:7" ht="14.4" x14ac:dyDescent="0.3">
      <c r="A658" s="324"/>
      <c r="B658" s="324" t="s">
        <v>712</v>
      </c>
      <c r="C658" s="328" t="s">
        <v>115</v>
      </c>
      <c r="E658" s="326">
        <v>0</v>
      </c>
      <c r="F658" s="48">
        <f t="shared" si="17"/>
        <v>0</v>
      </c>
      <c r="G658" s="326"/>
    </row>
    <row r="659" spans="1:7" ht="14.4" x14ac:dyDescent="0.3">
      <c r="A659" s="324"/>
      <c r="B659" s="324" t="s">
        <v>713</v>
      </c>
      <c r="C659" s="328" t="s">
        <v>115</v>
      </c>
      <c r="E659" s="326">
        <v>0</v>
      </c>
      <c r="F659" s="48">
        <f t="shared" si="17"/>
        <v>0</v>
      </c>
      <c r="G659" s="326"/>
    </row>
    <row r="660" spans="1:7" ht="14.4" x14ac:dyDescent="0.3">
      <c r="A660" s="324"/>
      <c r="B660" s="324" t="s">
        <v>714</v>
      </c>
      <c r="C660" s="328" t="s">
        <v>115</v>
      </c>
      <c r="E660" s="326">
        <v>0</v>
      </c>
      <c r="F660" s="48">
        <f t="shared" si="17"/>
        <v>0</v>
      </c>
      <c r="G660" s="326"/>
    </row>
    <row r="661" spans="1:7" ht="14.4" x14ac:dyDescent="0.3">
      <c r="A661" s="324"/>
      <c r="B661" s="324" t="s">
        <v>715</v>
      </c>
      <c r="C661" s="328" t="s">
        <v>115</v>
      </c>
      <c r="E661" s="326">
        <v>0</v>
      </c>
      <c r="F661" s="48">
        <f t="shared" si="17"/>
        <v>0</v>
      </c>
      <c r="G661" s="326"/>
    </row>
    <row r="662" spans="1:7" ht="14.4" x14ac:dyDescent="0.3">
      <c r="A662" s="324"/>
      <c r="B662" s="324" t="s">
        <v>716</v>
      </c>
      <c r="C662" s="328" t="s">
        <v>115</v>
      </c>
      <c r="E662" s="326">
        <v>0</v>
      </c>
      <c r="F662" s="48">
        <f t="shared" si="17"/>
        <v>0</v>
      </c>
      <c r="G662" s="326"/>
    </row>
    <row r="663" spans="1:7" ht="14.4" x14ac:dyDescent="0.3">
      <c r="A663" s="324"/>
      <c r="B663" s="324" t="s">
        <v>717</v>
      </c>
      <c r="C663" s="328" t="s">
        <v>115</v>
      </c>
      <c r="E663" s="326">
        <v>0</v>
      </c>
      <c r="F663" s="48">
        <f t="shared" si="17"/>
        <v>0</v>
      </c>
      <c r="G663" s="326"/>
    </row>
    <row r="664" spans="1:7" ht="14.4" x14ac:dyDescent="0.3">
      <c r="A664" s="324"/>
      <c r="B664" s="324" t="s">
        <v>718</v>
      </c>
      <c r="C664" s="328" t="s">
        <v>115</v>
      </c>
      <c r="E664" s="326">
        <v>0</v>
      </c>
      <c r="F664" s="48">
        <f t="shared" si="17"/>
        <v>0</v>
      </c>
      <c r="G664" s="326"/>
    </row>
    <row r="665" spans="1:7" ht="14.4" x14ac:dyDescent="0.3">
      <c r="A665" s="324"/>
      <c r="B665" s="324" t="s">
        <v>719</v>
      </c>
      <c r="C665" s="328" t="s">
        <v>115</v>
      </c>
      <c r="E665" s="326">
        <v>0</v>
      </c>
      <c r="F665" s="48">
        <f t="shared" si="17"/>
        <v>0</v>
      </c>
      <c r="G665" s="326"/>
    </row>
    <row r="666" spans="1:7" ht="14.4" x14ac:dyDescent="0.3">
      <c r="A666" s="324"/>
      <c r="B666" s="324" t="s">
        <v>720</v>
      </c>
      <c r="C666" s="328" t="s">
        <v>115</v>
      </c>
      <c r="E666" s="326">
        <v>0</v>
      </c>
      <c r="F666" s="48">
        <f t="shared" si="17"/>
        <v>0</v>
      </c>
      <c r="G666" s="326"/>
    </row>
    <row r="667" spans="1:7" ht="14.4" x14ac:dyDescent="0.3">
      <c r="A667" s="324"/>
      <c r="B667" s="324" t="s">
        <v>721</v>
      </c>
      <c r="C667" s="328" t="s">
        <v>115</v>
      </c>
      <c r="E667" s="326">
        <v>0</v>
      </c>
      <c r="F667" s="48">
        <f t="shared" si="17"/>
        <v>0</v>
      </c>
      <c r="G667" s="326"/>
    </row>
    <row r="668" spans="1:7" ht="14.4" x14ac:dyDescent="0.3">
      <c r="A668" s="324"/>
      <c r="B668" s="324" t="s">
        <v>722</v>
      </c>
      <c r="C668" s="328" t="s">
        <v>115</v>
      </c>
      <c r="E668" s="326">
        <v>0</v>
      </c>
      <c r="F668" s="48">
        <f t="shared" si="17"/>
        <v>0</v>
      </c>
      <c r="G668" s="326"/>
    </row>
    <row r="669" spans="1:7" ht="14.4" x14ac:dyDescent="0.3">
      <c r="A669" s="324"/>
      <c r="B669" s="324" t="s">
        <v>723</v>
      </c>
      <c r="C669" s="328" t="s">
        <v>115</v>
      </c>
      <c r="E669" s="326">
        <v>0</v>
      </c>
      <c r="F669" s="48">
        <f t="shared" si="17"/>
        <v>0</v>
      </c>
      <c r="G669" s="326"/>
    </row>
    <row r="670" spans="1:7" ht="14.4" x14ac:dyDescent="0.3">
      <c r="A670" s="324"/>
      <c r="B670" s="324"/>
      <c r="C670" s="328" t="s">
        <v>115</v>
      </c>
      <c r="E670" s="326"/>
      <c r="F670" s="48">
        <f t="shared" si="17"/>
        <v>0</v>
      </c>
    </row>
    <row r="671" spans="1:7" ht="14.4" x14ac:dyDescent="0.3">
      <c r="A671"/>
      <c r="B671" s="330" t="s">
        <v>724</v>
      </c>
      <c r="C671" s="328"/>
      <c r="E671" s="326">
        <v>56</v>
      </c>
      <c r="F671" s="48">
        <f t="shared" si="17"/>
        <v>0</v>
      </c>
      <c r="G671" s="326"/>
    </row>
    <row r="672" spans="1:7" ht="14.4" x14ac:dyDescent="0.3">
      <c r="A672"/>
      <c r="B672" t="s">
        <v>725</v>
      </c>
      <c r="C672" s="303" t="s">
        <v>115</v>
      </c>
      <c r="E672" s="326">
        <v>202.94</v>
      </c>
      <c r="F672" s="48">
        <f t="shared" si="17"/>
        <v>0</v>
      </c>
      <c r="G672" s="326"/>
    </row>
    <row r="673" spans="1:7" ht="14.4" x14ac:dyDescent="0.3">
      <c r="A673"/>
      <c r="B673" t="s">
        <v>726</v>
      </c>
      <c r="C673" s="303" t="s">
        <v>115</v>
      </c>
      <c r="E673" s="326">
        <v>92.67</v>
      </c>
      <c r="F673" s="48">
        <f t="shared" si="17"/>
        <v>0</v>
      </c>
      <c r="G673" s="326"/>
    </row>
    <row r="674" spans="1:7" ht="14.4" x14ac:dyDescent="0.3">
      <c r="A674"/>
      <c r="B674" t="s">
        <v>727</v>
      </c>
      <c r="C674" s="303" t="s">
        <v>115</v>
      </c>
      <c r="E674" s="326">
        <v>24.71</v>
      </c>
      <c r="F674" s="48">
        <f t="shared" si="17"/>
        <v>0</v>
      </c>
      <c r="G674" s="326"/>
    </row>
    <row r="675" spans="1:7" ht="14.4" x14ac:dyDescent="0.3">
      <c r="A675"/>
      <c r="B675" t="s">
        <v>340</v>
      </c>
      <c r="C675" s="303" t="s">
        <v>115</v>
      </c>
      <c r="E675" s="326">
        <v>20</v>
      </c>
      <c r="F675" s="48">
        <f t="shared" si="17"/>
        <v>0</v>
      </c>
      <c r="G675" s="326"/>
    </row>
    <row r="676" spans="1:7" ht="14.4" x14ac:dyDescent="0.3">
      <c r="A676"/>
      <c r="B676" t="s">
        <v>305</v>
      </c>
      <c r="C676" s="303" t="s">
        <v>115</v>
      </c>
      <c r="E676" s="326">
        <v>136.94</v>
      </c>
      <c r="F676" s="48">
        <f t="shared" si="17"/>
        <v>0</v>
      </c>
      <c r="G676" s="326"/>
    </row>
    <row r="677" spans="1:7" ht="14.4" x14ac:dyDescent="0.3">
      <c r="A677"/>
      <c r="B677" t="s">
        <v>374</v>
      </c>
      <c r="C677" s="303" t="s">
        <v>115</v>
      </c>
      <c r="E677" s="326">
        <v>365</v>
      </c>
      <c r="F677" s="48">
        <f t="shared" si="17"/>
        <v>0</v>
      </c>
      <c r="G677" s="326"/>
    </row>
    <row r="678" spans="1:7" ht="14.4" x14ac:dyDescent="0.3">
      <c r="A678"/>
      <c r="B678" t="s">
        <v>728</v>
      </c>
      <c r="C678" s="303" t="s">
        <v>115</v>
      </c>
      <c r="E678" s="326">
        <v>201.43</v>
      </c>
      <c r="F678" s="48">
        <f t="shared" si="17"/>
        <v>0</v>
      </c>
      <c r="G678" s="326"/>
    </row>
    <row r="679" spans="1:7" ht="14.4" x14ac:dyDescent="0.3">
      <c r="A679"/>
      <c r="B679" t="s">
        <v>376</v>
      </c>
      <c r="C679" s="303" t="s">
        <v>115</v>
      </c>
      <c r="E679" s="326">
        <v>5</v>
      </c>
      <c r="F679" s="48">
        <f t="shared" si="17"/>
        <v>0</v>
      </c>
      <c r="G679" s="326"/>
    </row>
    <row r="680" spans="1:7" ht="14.4" x14ac:dyDescent="0.3">
      <c r="A680"/>
      <c r="B680" t="s">
        <v>729</v>
      </c>
      <c r="C680" s="303" t="s">
        <v>115</v>
      </c>
      <c r="E680" s="326">
        <v>853</v>
      </c>
      <c r="F680" s="48">
        <f t="shared" si="17"/>
        <v>0</v>
      </c>
      <c r="G680" s="326"/>
    </row>
    <row r="681" spans="1:7" ht="14.4" x14ac:dyDescent="0.3">
      <c r="A681"/>
      <c r="B681" t="s">
        <v>730</v>
      </c>
      <c r="C681" s="303" t="s">
        <v>115</v>
      </c>
      <c r="E681" s="326">
        <v>503</v>
      </c>
      <c r="F681" s="48">
        <f t="shared" si="17"/>
        <v>0</v>
      </c>
      <c r="G681" s="326"/>
    </row>
    <row r="682" spans="1:7" ht="14.4" x14ac:dyDescent="0.3">
      <c r="A682"/>
      <c r="B682" t="s">
        <v>731</v>
      </c>
      <c r="C682" s="303" t="s">
        <v>115</v>
      </c>
      <c r="E682" s="326">
        <v>1809.63</v>
      </c>
      <c r="F682" s="48">
        <f t="shared" si="17"/>
        <v>0</v>
      </c>
      <c r="G682" s="326"/>
    </row>
    <row r="683" spans="1:7" ht="14.4" x14ac:dyDescent="0.3">
      <c r="A683"/>
      <c r="B683" s="63" t="s">
        <v>732</v>
      </c>
      <c r="C683" s="303" t="s">
        <v>115</v>
      </c>
      <c r="E683" s="326">
        <v>1650</v>
      </c>
      <c r="F683" s="48">
        <f t="shared" si="17"/>
        <v>0</v>
      </c>
      <c r="G683" s="326"/>
    </row>
    <row r="684" spans="1:7" ht="14.4" x14ac:dyDescent="0.3">
      <c r="A684"/>
      <c r="B684" s="63" t="s">
        <v>733</v>
      </c>
      <c r="C684" s="303" t="s">
        <v>115</v>
      </c>
      <c r="E684" s="326">
        <v>160</v>
      </c>
      <c r="F684" s="48">
        <f t="shared" si="17"/>
        <v>0</v>
      </c>
      <c r="G684" s="326"/>
    </row>
    <row r="685" spans="1:7" ht="14.4" x14ac:dyDescent="0.3">
      <c r="A685"/>
      <c r="B685" s="63" t="s">
        <v>734</v>
      </c>
      <c r="C685" s="303" t="s">
        <v>115</v>
      </c>
      <c r="E685" s="326">
        <v>750</v>
      </c>
      <c r="F685" s="48">
        <f t="shared" si="17"/>
        <v>0</v>
      </c>
      <c r="G685" s="326"/>
    </row>
    <row r="686" spans="1:7" ht="14.4" x14ac:dyDescent="0.3">
      <c r="A686"/>
      <c r="B686" s="63" t="s">
        <v>735</v>
      </c>
      <c r="C686" s="303" t="s">
        <v>115</v>
      </c>
      <c r="E686" s="326">
        <v>450</v>
      </c>
      <c r="F686" s="48">
        <f t="shared" si="17"/>
        <v>0</v>
      </c>
      <c r="G686" s="326"/>
    </row>
    <row r="687" spans="1:7" ht="14.4" x14ac:dyDescent="0.3">
      <c r="A687"/>
      <c r="B687" s="63" t="s">
        <v>736</v>
      </c>
      <c r="C687" s="303" t="s">
        <v>115</v>
      </c>
      <c r="E687" s="326">
        <v>1250</v>
      </c>
      <c r="F687" s="48">
        <f t="shared" si="17"/>
        <v>0</v>
      </c>
      <c r="G687" s="326"/>
    </row>
    <row r="688" spans="1:7" ht="14.4" x14ac:dyDescent="0.3">
      <c r="A688"/>
      <c r="B688" t="s">
        <v>737</v>
      </c>
      <c r="C688" s="303" t="s">
        <v>115</v>
      </c>
      <c r="E688" s="326">
        <v>190</v>
      </c>
      <c r="F688" s="48">
        <f t="shared" si="17"/>
        <v>0</v>
      </c>
      <c r="G688" s="326"/>
    </row>
    <row r="689" spans="1:7" ht="14.4" x14ac:dyDescent="0.3">
      <c r="A689"/>
      <c r="B689" t="s">
        <v>738</v>
      </c>
      <c r="C689" s="303" t="s">
        <v>115</v>
      </c>
      <c r="E689" s="326">
        <v>412.59</v>
      </c>
      <c r="F689" s="48">
        <f t="shared" si="17"/>
        <v>0</v>
      </c>
      <c r="G689" s="326"/>
    </row>
    <row r="690" spans="1:7" ht="14.4" x14ac:dyDescent="0.3">
      <c r="A690"/>
      <c r="B690" t="s">
        <v>739</v>
      </c>
      <c r="C690" s="303" t="s">
        <v>115</v>
      </c>
      <c r="E690" s="326">
        <v>50</v>
      </c>
      <c r="F690" s="48">
        <f t="shared" ref="F690:F708" si="18">E690*D690</f>
        <v>0</v>
      </c>
      <c r="G690" s="326"/>
    </row>
    <row r="691" spans="1:7" ht="16.8" x14ac:dyDescent="0.3">
      <c r="A691"/>
      <c r="B691" s="331" t="s">
        <v>742</v>
      </c>
      <c r="C691" s="303" t="s">
        <v>115</v>
      </c>
      <c r="E691" s="326">
        <v>30</v>
      </c>
      <c r="F691" s="48">
        <f t="shared" si="18"/>
        <v>0</v>
      </c>
      <c r="G691" s="326"/>
    </row>
    <row r="692" spans="1:7" ht="14.4" x14ac:dyDescent="0.3">
      <c r="A692"/>
      <c r="B692" t="s">
        <v>743</v>
      </c>
      <c r="C692" s="303" t="s">
        <v>115</v>
      </c>
      <c r="E692" s="326">
        <v>1850</v>
      </c>
      <c r="F692" s="48">
        <f t="shared" si="18"/>
        <v>0</v>
      </c>
      <c r="G692" s="326"/>
    </row>
    <row r="693" spans="1:7" ht="14.4" x14ac:dyDescent="0.3">
      <c r="A693"/>
      <c r="B693" t="s">
        <v>744</v>
      </c>
      <c r="C693" s="303" t="s">
        <v>115</v>
      </c>
      <c r="D693" s="40">
        <v>4</v>
      </c>
      <c r="E693" s="326">
        <v>1800</v>
      </c>
      <c r="F693" s="48">
        <f t="shared" si="18"/>
        <v>7200</v>
      </c>
      <c r="G693" s="326"/>
    </row>
    <row r="694" spans="1:7" ht="14.4" x14ac:dyDescent="0.3">
      <c r="A694"/>
      <c r="B694"/>
      <c r="C694" s="303" t="s">
        <v>115</v>
      </c>
      <c r="E694" s="326"/>
      <c r="F694" s="48">
        <f t="shared" si="18"/>
        <v>0</v>
      </c>
      <c r="G694" s="326"/>
    </row>
    <row r="695" spans="1:7" ht="14.4" x14ac:dyDescent="0.3">
      <c r="A695" s="324"/>
      <c r="B695" s="420" t="s">
        <v>745</v>
      </c>
      <c r="C695" s="303"/>
      <c r="E695" s="326">
        <v>3800</v>
      </c>
      <c r="F695" s="48">
        <f t="shared" si="18"/>
        <v>0</v>
      </c>
      <c r="G695" s="326"/>
    </row>
    <row r="696" spans="1:7" ht="14.4" x14ac:dyDescent="0.3">
      <c r="A696" s="324"/>
      <c r="B696" s="420" t="s">
        <v>746</v>
      </c>
      <c r="C696" s="328" t="s">
        <v>115</v>
      </c>
      <c r="E696" s="326">
        <v>371.37</v>
      </c>
      <c r="F696" s="48">
        <f t="shared" si="18"/>
        <v>0</v>
      </c>
      <c r="G696" s="326"/>
    </row>
    <row r="697" spans="1:7" ht="14.4" x14ac:dyDescent="0.3">
      <c r="A697" s="324"/>
      <c r="B697" s="420" t="s">
        <v>747</v>
      </c>
      <c r="C697" s="419" t="s">
        <v>115</v>
      </c>
      <c r="E697" s="326">
        <f>430.67+38.37</f>
        <v>469.04</v>
      </c>
      <c r="F697" s="48">
        <f t="shared" si="18"/>
        <v>0</v>
      </c>
      <c r="G697" s="326"/>
    </row>
    <row r="698" spans="1:7" ht="14.4" x14ac:dyDescent="0.3">
      <c r="A698" s="324"/>
      <c r="B698" s="420" t="s">
        <v>748</v>
      </c>
      <c r="C698" s="419" t="s">
        <v>115</v>
      </c>
      <c r="E698" s="326">
        <f>141.13+18.87+18.87+480.93</f>
        <v>659.8</v>
      </c>
      <c r="F698" s="48">
        <f t="shared" si="18"/>
        <v>0</v>
      </c>
      <c r="G698" s="326"/>
    </row>
    <row r="699" spans="1:7" ht="14.4" x14ac:dyDescent="0.3">
      <c r="A699" s="324"/>
      <c r="B699" s="420" t="s">
        <v>749</v>
      </c>
      <c r="C699" s="419" t="s">
        <v>115</v>
      </c>
      <c r="E699" s="326">
        <v>587.96</v>
      </c>
      <c r="F699" s="48">
        <f t="shared" si="18"/>
        <v>0</v>
      </c>
      <c r="G699" s="326"/>
    </row>
    <row r="700" spans="1:7" ht="14.4" x14ac:dyDescent="0.3">
      <c r="A700" s="324"/>
      <c r="B700" s="420" t="s">
        <v>1004</v>
      </c>
      <c r="C700" s="419" t="s">
        <v>115</v>
      </c>
      <c r="D700" s="40">
        <v>1</v>
      </c>
      <c r="E700" s="326">
        <v>503</v>
      </c>
      <c r="F700" s="48">
        <f t="shared" si="18"/>
        <v>503</v>
      </c>
      <c r="G700" s="326"/>
    </row>
    <row r="701" spans="1:7" ht="14.4" x14ac:dyDescent="0.3">
      <c r="A701" s="324"/>
      <c r="B701" s="421" t="s">
        <v>1005</v>
      </c>
      <c r="C701" s="424" t="s">
        <v>115</v>
      </c>
      <c r="D701" s="398">
        <v>5</v>
      </c>
      <c r="E701" s="399">
        <v>450</v>
      </c>
      <c r="F701" s="400">
        <f t="shared" si="18"/>
        <v>2250</v>
      </c>
      <c r="G701" s="326"/>
    </row>
    <row r="702" spans="1:7" ht="14.4" x14ac:dyDescent="0.3">
      <c r="A702" s="324"/>
      <c r="B702" s="421" t="s">
        <v>1006</v>
      </c>
      <c r="C702" s="424" t="s">
        <v>115</v>
      </c>
      <c r="D702" s="398">
        <v>11</v>
      </c>
      <c r="E702" s="399">
        <v>160</v>
      </c>
      <c r="F702" s="400">
        <f t="shared" si="18"/>
        <v>1760</v>
      </c>
      <c r="G702" s="326"/>
    </row>
    <row r="703" spans="1:7" ht="14.4" x14ac:dyDescent="0.3">
      <c r="A703" s="324"/>
      <c r="B703" s="420" t="s">
        <v>750</v>
      </c>
      <c r="C703" s="328" t="s">
        <v>115</v>
      </c>
      <c r="E703" s="326">
        <v>641.58000000000004</v>
      </c>
      <c r="F703" s="48">
        <f t="shared" si="18"/>
        <v>0</v>
      </c>
      <c r="G703" s="326"/>
    </row>
    <row r="704" spans="1:7" ht="14.4" x14ac:dyDescent="0.3">
      <c r="A704" s="324"/>
      <c r="B704" s="420" t="s">
        <v>752</v>
      </c>
      <c r="C704" s="328" t="s">
        <v>115</v>
      </c>
      <c r="E704" s="326">
        <v>50</v>
      </c>
      <c r="F704" s="48">
        <f t="shared" si="18"/>
        <v>0</v>
      </c>
      <c r="G704" s="326"/>
    </row>
    <row r="705" spans="1:7" ht="14.4" x14ac:dyDescent="0.3">
      <c r="A705" s="324"/>
      <c r="B705" s="420" t="s">
        <v>753</v>
      </c>
      <c r="C705" s="419" t="s">
        <v>115</v>
      </c>
      <c r="E705" s="326">
        <v>31.71</v>
      </c>
      <c r="F705" s="48">
        <f t="shared" si="18"/>
        <v>0</v>
      </c>
      <c r="G705" s="326"/>
    </row>
    <row r="706" spans="1:7" ht="14.4" x14ac:dyDescent="0.3">
      <c r="A706" s="324"/>
      <c r="B706" s="420" t="s">
        <v>754</v>
      </c>
      <c r="C706" s="328" t="s">
        <v>115</v>
      </c>
      <c r="E706" s="326">
        <v>146.09</v>
      </c>
      <c r="F706" s="48">
        <f t="shared" si="18"/>
        <v>0</v>
      </c>
      <c r="G706" s="326"/>
    </row>
    <row r="707" spans="1:7" ht="14.4" x14ac:dyDescent="0.3">
      <c r="A707" s="324"/>
      <c r="B707" s="420" t="s">
        <v>755</v>
      </c>
      <c r="C707" s="328" t="s">
        <v>115</v>
      </c>
      <c r="E707" s="326">
        <v>99.49</v>
      </c>
      <c r="F707" s="48">
        <f t="shared" si="18"/>
        <v>0</v>
      </c>
      <c r="G707" s="326"/>
    </row>
    <row r="708" spans="1:7" ht="14.4" x14ac:dyDescent="0.3">
      <c r="B708" s="38" t="s">
        <v>1007</v>
      </c>
      <c r="C708" s="328" t="s">
        <v>115</v>
      </c>
      <c r="D708" s="40">
        <v>1</v>
      </c>
      <c r="E708" s="326">
        <v>200</v>
      </c>
      <c r="F708" s="48">
        <f t="shared" si="18"/>
        <v>200</v>
      </c>
    </row>
    <row r="711" spans="1:7" ht="14.4" x14ac:dyDescent="0.3">
      <c r="B711" s="325" t="s">
        <v>1008</v>
      </c>
    </row>
    <row r="712" spans="1:7" ht="14.4" x14ac:dyDescent="0.3">
      <c r="B712" s="327" t="s">
        <v>354</v>
      </c>
    </row>
    <row r="714" spans="1:7" x14ac:dyDescent="0.2">
      <c r="B714" s="38" t="s">
        <v>1009</v>
      </c>
      <c r="C714" s="40" t="s">
        <v>149</v>
      </c>
      <c r="D714" s="40">
        <v>8</v>
      </c>
      <c r="E714" s="48">
        <f>536/6</f>
        <v>89.333333333333329</v>
      </c>
      <c r="F714" s="48">
        <f t="shared" ref="F714:F747" si="19">E714*D714</f>
        <v>714.66666666666663</v>
      </c>
    </row>
    <row r="715" spans="1:7" x14ac:dyDescent="0.2">
      <c r="B715" s="38" t="s">
        <v>1010</v>
      </c>
      <c r="C715" s="40" t="s">
        <v>115</v>
      </c>
      <c r="D715" s="40">
        <v>1</v>
      </c>
      <c r="E715" s="48">
        <v>189</v>
      </c>
      <c r="F715" s="48">
        <f t="shared" si="19"/>
        <v>189</v>
      </c>
    </row>
    <row r="716" spans="1:7" x14ac:dyDescent="0.2">
      <c r="B716" s="38" t="s">
        <v>1011</v>
      </c>
      <c r="C716" s="40" t="s">
        <v>115</v>
      </c>
      <c r="D716" s="40">
        <v>1</v>
      </c>
      <c r="E716" s="48">
        <v>200</v>
      </c>
      <c r="F716" s="48">
        <f t="shared" si="19"/>
        <v>200</v>
      </c>
    </row>
    <row r="717" spans="1:7" x14ac:dyDescent="0.2">
      <c r="B717" s="38" t="s">
        <v>1012</v>
      </c>
      <c r="C717" s="40" t="s">
        <v>115</v>
      </c>
      <c r="D717" s="40">
        <v>4</v>
      </c>
      <c r="E717" s="48">
        <v>118.5</v>
      </c>
      <c r="F717" s="48">
        <f t="shared" si="19"/>
        <v>474</v>
      </c>
    </row>
    <row r="718" spans="1:7" x14ac:dyDescent="0.2">
      <c r="B718" s="38" t="s">
        <v>1013</v>
      </c>
      <c r="C718" s="40" t="s">
        <v>149</v>
      </c>
      <c r="D718" s="40">
        <v>29</v>
      </c>
      <c r="E718" s="48">
        <f>336/6</f>
        <v>56</v>
      </c>
      <c r="F718" s="48">
        <f t="shared" si="19"/>
        <v>1624</v>
      </c>
    </row>
    <row r="719" spans="1:7" x14ac:dyDescent="0.2">
      <c r="B719" s="38" t="s">
        <v>1014</v>
      </c>
      <c r="C719" s="40" t="s">
        <v>115</v>
      </c>
      <c r="D719" s="40">
        <v>2</v>
      </c>
      <c r="E719" s="48">
        <v>130.1</v>
      </c>
      <c r="F719" s="48">
        <f t="shared" si="19"/>
        <v>260.2</v>
      </c>
    </row>
    <row r="720" spans="1:7" x14ac:dyDescent="0.2">
      <c r="B720" s="38" t="s">
        <v>1015</v>
      </c>
      <c r="C720" s="40" t="s">
        <v>115</v>
      </c>
      <c r="D720" s="40">
        <v>5</v>
      </c>
      <c r="E720" s="48">
        <v>80</v>
      </c>
      <c r="F720" s="48">
        <f t="shared" si="19"/>
        <v>400</v>
      </c>
    </row>
    <row r="721" spans="2:6" x14ac:dyDescent="0.2">
      <c r="B721" s="38" t="s">
        <v>1016</v>
      </c>
      <c r="C721" s="40" t="s">
        <v>115</v>
      </c>
      <c r="D721" s="40">
        <v>1</v>
      </c>
      <c r="E721" s="48">
        <v>90</v>
      </c>
      <c r="F721" s="48">
        <f t="shared" si="19"/>
        <v>90</v>
      </c>
    </row>
    <row r="722" spans="2:6" x14ac:dyDescent="0.2">
      <c r="B722" s="38" t="s">
        <v>1017</v>
      </c>
      <c r="C722" s="40" t="s">
        <v>149</v>
      </c>
      <c r="D722" s="40">
        <v>12</v>
      </c>
      <c r="E722" s="48">
        <f>278.5/6</f>
        <v>46.416666666666664</v>
      </c>
      <c r="F722" s="48">
        <f t="shared" si="19"/>
        <v>557</v>
      </c>
    </row>
    <row r="723" spans="2:6" x14ac:dyDescent="0.2">
      <c r="B723" s="38" t="s">
        <v>1018</v>
      </c>
      <c r="C723" s="40" t="s">
        <v>115</v>
      </c>
      <c r="D723" s="40">
        <v>3</v>
      </c>
      <c r="E723" s="48">
        <v>45.02</v>
      </c>
      <c r="F723" s="48">
        <f t="shared" si="19"/>
        <v>135.06</v>
      </c>
    </row>
    <row r="724" spans="2:6" x14ac:dyDescent="0.2">
      <c r="B724" s="38" t="s">
        <v>1019</v>
      </c>
      <c r="C724" s="40" t="s">
        <v>115</v>
      </c>
      <c r="D724" s="40">
        <v>2</v>
      </c>
      <c r="E724" s="48">
        <v>56.35</v>
      </c>
      <c r="F724" s="48">
        <f t="shared" si="19"/>
        <v>112.7</v>
      </c>
    </row>
    <row r="725" spans="2:6" x14ac:dyDescent="0.2">
      <c r="B725" s="38" t="s">
        <v>994</v>
      </c>
      <c r="C725" s="40" t="s">
        <v>115</v>
      </c>
      <c r="D725" s="40">
        <v>2</v>
      </c>
      <c r="E725" s="48">
        <v>50</v>
      </c>
      <c r="F725" s="48">
        <f t="shared" si="19"/>
        <v>100</v>
      </c>
    </row>
    <row r="726" spans="2:6" x14ac:dyDescent="0.2">
      <c r="B726" s="38" t="s">
        <v>1020</v>
      </c>
      <c r="C726" s="40" t="s">
        <v>149</v>
      </c>
      <c r="D726" s="40">
        <v>15</v>
      </c>
      <c r="E726" s="48">
        <f>230/6</f>
        <v>38.333333333333336</v>
      </c>
      <c r="F726" s="48">
        <f t="shared" si="19"/>
        <v>575</v>
      </c>
    </row>
    <row r="727" spans="2:6" x14ac:dyDescent="0.2">
      <c r="B727" s="38" t="s">
        <v>1021</v>
      </c>
      <c r="C727" s="40" t="s">
        <v>115</v>
      </c>
      <c r="D727" s="40">
        <v>1</v>
      </c>
      <c r="E727" s="48">
        <v>26.04</v>
      </c>
      <c r="F727" s="48">
        <f t="shared" si="19"/>
        <v>26.04</v>
      </c>
    </row>
    <row r="728" spans="2:6" x14ac:dyDescent="0.2">
      <c r="B728" s="38" t="s">
        <v>1022</v>
      </c>
      <c r="C728" s="40" t="s">
        <v>115</v>
      </c>
      <c r="D728" s="40">
        <v>3</v>
      </c>
      <c r="E728" s="48">
        <v>43.01</v>
      </c>
      <c r="F728" s="48">
        <f t="shared" si="19"/>
        <v>129.03</v>
      </c>
    </row>
    <row r="729" spans="2:6" x14ac:dyDescent="0.2">
      <c r="B729" s="38" t="s">
        <v>1023</v>
      </c>
      <c r="C729" s="40" t="s">
        <v>115</v>
      </c>
      <c r="D729" s="40">
        <v>2</v>
      </c>
      <c r="E729" s="48">
        <v>32.72</v>
      </c>
      <c r="F729" s="48">
        <f t="shared" si="19"/>
        <v>65.44</v>
      </c>
    </row>
    <row r="730" spans="2:6" x14ac:dyDescent="0.2">
      <c r="B730" s="38" t="s">
        <v>1024</v>
      </c>
      <c r="C730" s="40" t="s">
        <v>149</v>
      </c>
      <c r="D730" s="40">
        <v>13</v>
      </c>
      <c r="E730" s="48">
        <f>190/6</f>
        <v>31.666666666666668</v>
      </c>
      <c r="F730" s="48">
        <f t="shared" si="19"/>
        <v>411.66666666666669</v>
      </c>
    </row>
    <row r="731" spans="2:6" x14ac:dyDescent="0.2">
      <c r="B731" s="38" t="s">
        <v>1025</v>
      </c>
      <c r="C731" s="40" t="s">
        <v>115</v>
      </c>
      <c r="D731" s="40">
        <v>4</v>
      </c>
      <c r="E731" s="48">
        <v>23.51</v>
      </c>
      <c r="F731" s="48">
        <f t="shared" si="19"/>
        <v>94.04</v>
      </c>
    </row>
    <row r="732" spans="2:6" x14ac:dyDescent="0.2">
      <c r="B732" s="38" t="s">
        <v>1026</v>
      </c>
      <c r="C732" s="40" t="s">
        <v>115</v>
      </c>
      <c r="D732" s="40">
        <v>1</v>
      </c>
      <c r="E732" s="48">
        <v>17.37</v>
      </c>
      <c r="F732" s="48">
        <f t="shared" si="19"/>
        <v>17.37</v>
      </c>
    </row>
    <row r="733" spans="2:6" x14ac:dyDescent="0.2">
      <c r="B733" s="38" t="s">
        <v>1027</v>
      </c>
      <c r="C733" s="40" t="s">
        <v>149</v>
      </c>
      <c r="D733" s="40">
        <v>9</v>
      </c>
      <c r="E733" s="48">
        <f>128.5/6</f>
        <v>21.416666666666668</v>
      </c>
      <c r="F733" s="48">
        <f t="shared" si="19"/>
        <v>192.75</v>
      </c>
    </row>
    <row r="734" spans="2:6" x14ac:dyDescent="0.2">
      <c r="B734" s="38" t="s">
        <v>1028</v>
      </c>
      <c r="C734" s="40" t="s">
        <v>115</v>
      </c>
      <c r="D734" s="40">
        <v>3</v>
      </c>
      <c r="E734" s="48">
        <v>7.7</v>
      </c>
      <c r="F734" s="48">
        <f t="shared" si="19"/>
        <v>23.1</v>
      </c>
    </row>
    <row r="735" spans="2:6" x14ac:dyDescent="0.2">
      <c r="B735" s="38" t="s">
        <v>1029</v>
      </c>
      <c r="C735" s="40" t="s">
        <v>115</v>
      </c>
      <c r="D735" s="40">
        <v>1</v>
      </c>
      <c r="E735" s="48">
        <v>13.2</v>
      </c>
      <c r="F735" s="48">
        <f t="shared" si="19"/>
        <v>13.2</v>
      </c>
    </row>
    <row r="736" spans="2:6" x14ac:dyDescent="0.2">
      <c r="E736" s="48"/>
      <c r="F736" s="48"/>
    </row>
    <row r="737" spans="2:8" x14ac:dyDescent="0.2">
      <c r="B737" s="446" t="s">
        <v>1030</v>
      </c>
      <c r="C737" s="447" t="s">
        <v>115</v>
      </c>
      <c r="D737" s="447">
        <v>2</v>
      </c>
      <c r="E737" s="503">
        <v>356</v>
      </c>
      <c r="F737" s="448">
        <f t="shared" si="19"/>
        <v>712</v>
      </c>
    </row>
    <row r="738" spans="2:8" ht="13.5" customHeight="1" x14ac:dyDescent="0.2">
      <c r="B738" s="446" t="s">
        <v>1031</v>
      </c>
      <c r="C738" s="447" t="s">
        <v>115</v>
      </c>
      <c r="D738" s="447">
        <v>2</v>
      </c>
      <c r="E738" s="504">
        <v>13.88</v>
      </c>
      <c r="F738" s="448">
        <f t="shared" si="19"/>
        <v>27.76</v>
      </c>
      <c r="G738" s="502"/>
      <c r="H738" s="502"/>
    </row>
    <row r="739" spans="2:8" ht="11.25" customHeight="1" x14ac:dyDescent="0.2">
      <c r="B739" s="505" t="s">
        <v>1032</v>
      </c>
      <c r="C739" s="447" t="s">
        <v>115</v>
      </c>
      <c r="D739" s="447">
        <v>2</v>
      </c>
      <c r="E739" s="504">
        <v>18.649999999999999</v>
      </c>
      <c r="F739" s="448">
        <f t="shared" si="19"/>
        <v>37.299999999999997</v>
      </c>
      <c r="G739" s="502"/>
      <c r="H739" s="502"/>
    </row>
    <row r="740" spans="2:8" ht="11.25" customHeight="1" x14ac:dyDescent="0.2">
      <c r="B740" s="506" t="s">
        <v>1033</v>
      </c>
      <c r="C740" s="447" t="s">
        <v>115</v>
      </c>
      <c r="D740" s="507">
        <v>2</v>
      </c>
      <c r="E740" s="504">
        <v>26.55</v>
      </c>
      <c r="F740" s="448">
        <f t="shared" si="19"/>
        <v>53.1</v>
      </c>
      <c r="G740" s="502"/>
      <c r="H740" s="502"/>
    </row>
    <row r="741" spans="2:8" ht="11.4" x14ac:dyDescent="0.2">
      <c r="B741" s="506" t="s">
        <v>1034</v>
      </c>
      <c r="C741" s="447" t="s">
        <v>115</v>
      </c>
      <c r="D741" s="507">
        <v>2</v>
      </c>
      <c r="E741" s="504">
        <v>45.69</v>
      </c>
      <c r="F741" s="448">
        <f t="shared" si="19"/>
        <v>91.38</v>
      </c>
      <c r="G741" s="502"/>
      <c r="H741" s="502"/>
    </row>
    <row r="742" spans="2:8" ht="11.4" x14ac:dyDescent="0.2">
      <c r="B742" s="506" t="s">
        <v>1035</v>
      </c>
      <c r="C742" s="447" t="s">
        <v>115</v>
      </c>
      <c r="D742" s="507">
        <v>2</v>
      </c>
      <c r="E742" s="504">
        <v>62.3</v>
      </c>
      <c r="F742" s="448">
        <f t="shared" si="19"/>
        <v>124.6</v>
      </c>
      <c r="G742" s="502"/>
      <c r="H742" s="502"/>
    </row>
    <row r="743" spans="2:8" ht="11.25" customHeight="1" x14ac:dyDescent="0.2">
      <c r="B743" s="506" t="s">
        <v>1036</v>
      </c>
      <c r="C743" s="447" t="s">
        <v>115</v>
      </c>
      <c r="D743" s="507">
        <v>2</v>
      </c>
      <c r="E743" s="504">
        <v>92.1</v>
      </c>
      <c r="F743" s="448">
        <f t="shared" si="19"/>
        <v>184.2</v>
      </c>
      <c r="G743" s="502"/>
      <c r="H743" s="502"/>
    </row>
    <row r="744" spans="2:8" ht="11.4" x14ac:dyDescent="0.2">
      <c r="B744" s="506" t="s">
        <v>1037</v>
      </c>
      <c r="C744" s="447" t="s">
        <v>115</v>
      </c>
      <c r="D744" s="507">
        <v>2</v>
      </c>
      <c r="E744" s="504">
        <v>256.60000000000002</v>
      </c>
      <c r="F744" s="448">
        <f t="shared" si="19"/>
        <v>513.20000000000005</v>
      </c>
      <c r="G744" s="502"/>
      <c r="H744" s="502"/>
    </row>
    <row r="745" spans="2:8" ht="11.4" x14ac:dyDescent="0.2">
      <c r="B745" s="506" t="s">
        <v>1038</v>
      </c>
      <c r="C745" s="447" t="s">
        <v>115</v>
      </c>
      <c r="D745" s="507">
        <v>2</v>
      </c>
      <c r="E745" s="504">
        <v>378.5</v>
      </c>
      <c r="F745" s="448">
        <f t="shared" si="19"/>
        <v>757</v>
      </c>
      <c r="G745" s="502"/>
      <c r="H745" s="502"/>
    </row>
    <row r="746" spans="2:8" ht="11.4" x14ac:dyDescent="0.2">
      <c r="B746" s="506" t="s">
        <v>1039</v>
      </c>
      <c r="C746" s="447" t="s">
        <v>115</v>
      </c>
      <c r="D746" s="507">
        <v>2</v>
      </c>
      <c r="E746" s="504">
        <v>450</v>
      </c>
      <c r="F746" s="448">
        <f t="shared" si="19"/>
        <v>900</v>
      </c>
      <c r="G746" s="502"/>
      <c r="H746" s="502"/>
    </row>
    <row r="747" spans="2:8" ht="11.4" x14ac:dyDescent="0.2">
      <c r="B747" s="506" t="s">
        <v>1040</v>
      </c>
      <c r="C747" s="447" t="s">
        <v>115</v>
      </c>
      <c r="D747" s="507">
        <v>2</v>
      </c>
      <c r="E747" s="504">
        <v>13.2</v>
      </c>
      <c r="F747" s="448">
        <f t="shared" si="19"/>
        <v>26.4</v>
      </c>
      <c r="G747" s="502"/>
      <c r="H747" s="502"/>
    </row>
    <row r="748" spans="2:8" ht="11.4" x14ac:dyDescent="0.2">
      <c r="E748" s="502"/>
      <c r="F748" s="502"/>
      <c r="G748" s="502"/>
      <c r="H748" s="502"/>
    </row>
    <row r="749" spans="2:8" x14ac:dyDescent="0.2">
      <c r="E749" s="48"/>
      <c r="F749" s="48"/>
    </row>
    <row r="750" spans="2:8" ht="14.4" x14ac:dyDescent="0.3">
      <c r="B750" s="325" t="s">
        <v>762</v>
      </c>
    </row>
    <row r="751" spans="2:8" ht="14.4" x14ac:dyDescent="0.3">
      <c r="B751" s="327" t="s">
        <v>354</v>
      </c>
    </row>
    <row r="752" spans="2:8" ht="14.4" x14ac:dyDescent="0.3">
      <c r="B752" s="324"/>
    </row>
    <row r="753" spans="2:6" ht="14.4" x14ac:dyDescent="0.3">
      <c r="B753" s="324" t="s">
        <v>763</v>
      </c>
      <c r="C753" s="328" t="s">
        <v>149</v>
      </c>
      <c r="D753" s="40">
        <v>13</v>
      </c>
      <c r="E753" s="385">
        <v>14.489999999999998</v>
      </c>
      <c r="F753" s="48">
        <f t="shared" ref="F753:F813" si="20">E753*D753</f>
        <v>188.36999999999998</v>
      </c>
    </row>
    <row r="754" spans="2:6" ht="14.4" x14ac:dyDescent="0.3">
      <c r="B754" s="420" t="s">
        <v>764</v>
      </c>
      <c r="C754" s="328" t="s">
        <v>149</v>
      </c>
      <c r="D754" s="40">
        <v>289</v>
      </c>
      <c r="E754" s="385">
        <v>9.5495999999999999</v>
      </c>
      <c r="F754" s="48">
        <f t="shared" si="20"/>
        <v>2759.8344000000002</v>
      </c>
    </row>
    <row r="755" spans="2:6" ht="14.4" x14ac:dyDescent="0.3">
      <c r="B755" s="420" t="s">
        <v>765</v>
      </c>
      <c r="C755" s="419" t="s">
        <v>115</v>
      </c>
      <c r="E755" s="385">
        <v>9.66</v>
      </c>
      <c r="F755" s="48">
        <f t="shared" si="20"/>
        <v>0</v>
      </c>
    </row>
    <row r="756" spans="2:6" ht="14.4" x14ac:dyDescent="0.3">
      <c r="B756" s="420" t="s">
        <v>766</v>
      </c>
      <c r="C756" s="419" t="s">
        <v>115</v>
      </c>
      <c r="D756" s="40">
        <v>45</v>
      </c>
      <c r="E756" s="385">
        <v>4.7885999999999997</v>
      </c>
      <c r="F756" s="48">
        <f t="shared" si="20"/>
        <v>215.48699999999999</v>
      </c>
    </row>
    <row r="757" spans="2:6" ht="14.4" x14ac:dyDescent="0.3">
      <c r="B757" s="420" t="s">
        <v>767</v>
      </c>
      <c r="C757" s="419" t="s">
        <v>115</v>
      </c>
      <c r="D757" s="40">
        <v>9</v>
      </c>
      <c r="E757" s="385">
        <v>13.799999999999999</v>
      </c>
      <c r="F757" s="48">
        <f t="shared" si="20"/>
        <v>124.19999999999999</v>
      </c>
    </row>
    <row r="758" spans="2:6" ht="14.4" x14ac:dyDescent="0.3">
      <c r="B758" s="420" t="s">
        <v>768</v>
      </c>
      <c r="C758" s="419" t="s">
        <v>115</v>
      </c>
      <c r="D758" s="40">
        <v>3</v>
      </c>
      <c r="E758" s="385">
        <v>6.5274000000000001</v>
      </c>
      <c r="F758" s="48">
        <f t="shared" si="20"/>
        <v>19.5822</v>
      </c>
    </row>
    <row r="759" spans="2:6" ht="14.4" x14ac:dyDescent="0.3">
      <c r="B759" s="420" t="s">
        <v>769</v>
      </c>
      <c r="C759" s="419" t="s">
        <v>115</v>
      </c>
      <c r="D759" s="40">
        <v>6</v>
      </c>
      <c r="E759" s="385">
        <v>8.5974000000000004</v>
      </c>
      <c r="F759" s="48">
        <f t="shared" si="20"/>
        <v>51.584400000000002</v>
      </c>
    </row>
    <row r="760" spans="2:6" ht="14.4" x14ac:dyDescent="0.3">
      <c r="B760" s="420" t="s">
        <v>1041</v>
      </c>
      <c r="C760" s="419" t="s">
        <v>115</v>
      </c>
      <c r="D760" s="40">
        <v>3</v>
      </c>
      <c r="E760" s="385">
        <v>8</v>
      </c>
      <c r="F760" s="48">
        <f t="shared" si="20"/>
        <v>24</v>
      </c>
    </row>
    <row r="761" spans="2:6" ht="14.4" x14ac:dyDescent="0.3">
      <c r="B761" s="420" t="s">
        <v>770</v>
      </c>
      <c r="C761" s="419" t="s">
        <v>115</v>
      </c>
      <c r="E761" s="385">
        <v>6.8999999999999995</v>
      </c>
      <c r="F761" s="48">
        <f t="shared" si="20"/>
        <v>0</v>
      </c>
    </row>
    <row r="762" spans="2:6" ht="14.4" x14ac:dyDescent="0.3">
      <c r="B762" s="420" t="s">
        <v>771</v>
      </c>
      <c r="C762" s="419" t="s">
        <v>115</v>
      </c>
      <c r="E762" s="385">
        <v>6.8999999999999995</v>
      </c>
      <c r="F762" s="48">
        <f t="shared" si="20"/>
        <v>0</v>
      </c>
    </row>
    <row r="763" spans="2:6" ht="14.4" x14ac:dyDescent="0.3">
      <c r="B763" s="420" t="s">
        <v>772</v>
      </c>
      <c r="C763" s="419" t="s">
        <v>115</v>
      </c>
      <c r="D763" s="40">
        <v>58</v>
      </c>
      <c r="E763" s="385">
        <v>2.5667999999999997</v>
      </c>
      <c r="F763" s="48">
        <f t="shared" si="20"/>
        <v>148.87439999999998</v>
      </c>
    </row>
    <row r="764" spans="2:6" ht="14.4" x14ac:dyDescent="0.3">
      <c r="B764" s="420" t="s">
        <v>773</v>
      </c>
      <c r="C764" s="419" t="s">
        <v>115</v>
      </c>
      <c r="D764" s="40">
        <v>32</v>
      </c>
      <c r="E764" s="385">
        <v>2.3308200000000001</v>
      </c>
      <c r="F764" s="48">
        <f t="shared" si="20"/>
        <v>74.586240000000004</v>
      </c>
    </row>
    <row r="765" spans="2:6" ht="14.4" x14ac:dyDescent="0.3">
      <c r="B765" s="420" t="s">
        <v>774</v>
      </c>
      <c r="C765" s="419" t="s">
        <v>115</v>
      </c>
      <c r="E765" s="385">
        <v>5.52</v>
      </c>
      <c r="F765" s="48">
        <f t="shared" si="20"/>
        <v>0</v>
      </c>
    </row>
    <row r="766" spans="2:6" ht="14.4" x14ac:dyDescent="0.3">
      <c r="B766" s="420" t="s">
        <v>775</v>
      </c>
      <c r="C766" s="419" t="s">
        <v>115</v>
      </c>
      <c r="D766" s="40">
        <v>3</v>
      </c>
      <c r="E766" s="385">
        <v>2.6771999999999996</v>
      </c>
      <c r="F766" s="48">
        <f t="shared" si="20"/>
        <v>8.0315999999999992</v>
      </c>
    </row>
    <row r="767" spans="2:6" ht="14.4" x14ac:dyDescent="0.3">
      <c r="B767" s="324" t="s">
        <v>776</v>
      </c>
      <c r="C767" s="328" t="s">
        <v>149</v>
      </c>
      <c r="E767" s="385">
        <v>6.8999999999999995</v>
      </c>
      <c r="F767" s="48">
        <f t="shared" si="20"/>
        <v>0</v>
      </c>
    </row>
    <row r="768" spans="2:6" ht="14.4" x14ac:dyDescent="0.3">
      <c r="B768" s="420" t="s">
        <v>777</v>
      </c>
      <c r="C768" s="328" t="s">
        <v>149</v>
      </c>
      <c r="D768" s="40">
        <v>32</v>
      </c>
      <c r="E768" s="385">
        <v>5.52</v>
      </c>
      <c r="F768" s="48">
        <f t="shared" si="20"/>
        <v>176.64</v>
      </c>
    </row>
    <row r="769" spans="2:6" ht="14.4" x14ac:dyDescent="0.3">
      <c r="B769" s="324" t="s">
        <v>778</v>
      </c>
      <c r="C769" s="328" t="s">
        <v>149</v>
      </c>
      <c r="E769" s="385">
        <v>8.7354000000000003</v>
      </c>
      <c r="F769" s="48">
        <f t="shared" si="20"/>
        <v>0</v>
      </c>
    </row>
    <row r="770" spans="2:6" ht="14.4" x14ac:dyDescent="0.3">
      <c r="B770" s="420" t="s">
        <v>779</v>
      </c>
      <c r="C770" s="328" t="s">
        <v>149</v>
      </c>
      <c r="E770" s="385">
        <v>3.726</v>
      </c>
      <c r="F770" s="48">
        <f t="shared" si="20"/>
        <v>0</v>
      </c>
    </row>
    <row r="771" spans="2:6" ht="14.4" x14ac:dyDescent="0.3">
      <c r="B771" s="420" t="s">
        <v>780</v>
      </c>
      <c r="C771" s="328" t="s">
        <v>149</v>
      </c>
      <c r="D771" s="40">
        <v>12</v>
      </c>
      <c r="E771" s="385">
        <v>2.8979999999999997</v>
      </c>
      <c r="F771" s="48">
        <f t="shared" si="20"/>
        <v>34.775999999999996</v>
      </c>
    </row>
    <row r="772" spans="2:6" ht="14.4" x14ac:dyDescent="0.3">
      <c r="B772" s="420" t="s">
        <v>783</v>
      </c>
      <c r="C772" s="419" t="s">
        <v>115</v>
      </c>
      <c r="D772" s="40">
        <v>22</v>
      </c>
      <c r="E772" s="385">
        <v>2.3321999999999998</v>
      </c>
      <c r="F772" s="48">
        <f t="shared" si="20"/>
        <v>51.308399999999999</v>
      </c>
    </row>
    <row r="773" spans="2:6" ht="14.4" x14ac:dyDescent="0.3">
      <c r="B773" s="420" t="s">
        <v>784</v>
      </c>
      <c r="C773" s="419" t="s">
        <v>115</v>
      </c>
      <c r="E773" s="385">
        <v>4.1399999999999997</v>
      </c>
      <c r="F773" s="48">
        <f t="shared" si="20"/>
        <v>0</v>
      </c>
    </row>
    <row r="774" spans="2:6" ht="14.4" x14ac:dyDescent="0.3">
      <c r="B774" s="420" t="s">
        <v>785</v>
      </c>
      <c r="C774" s="419" t="s">
        <v>115</v>
      </c>
      <c r="D774" s="40">
        <v>2</v>
      </c>
      <c r="E774" s="385">
        <v>0.93840000000000001</v>
      </c>
      <c r="F774" s="48">
        <f t="shared" si="20"/>
        <v>1.8768</v>
      </c>
    </row>
    <row r="775" spans="2:6" ht="14.4" x14ac:dyDescent="0.3">
      <c r="B775" s="420" t="s">
        <v>786</v>
      </c>
      <c r="C775" s="419" t="s">
        <v>115</v>
      </c>
      <c r="D775" s="40">
        <v>2</v>
      </c>
      <c r="E775" s="385">
        <v>11.716199999999999</v>
      </c>
      <c r="F775" s="48">
        <f t="shared" si="20"/>
        <v>23.432399999999998</v>
      </c>
    </row>
    <row r="776" spans="2:6" ht="14.4" x14ac:dyDescent="0.3">
      <c r="B776" s="324" t="s">
        <v>787</v>
      </c>
      <c r="C776" s="328" t="s">
        <v>149</v>
      </c>
      <c r="E776" s="326">
        <v>14</v>
      </c>
      <c r="F776" s="48">
        <f t="shared" si="20"/>
        <v>0</v>
      </c>
    </row>
    <row r="777" spans="2:6" ht="14.4" x14ac:dyDescent="0.3">
      <c r="B777" s="420" t="s">
        <v>788</v>
      </c>
      <c r="C777" s="328" t="s">
        <v>149</v>
      </c>
      <c r="E777" s="326">
        <v>6</v>
      </c>
      <c r="F777" s="48">
        <f t="shared" si="20"/>
        <v>0</v>
      </c>
    </row>
    <row r="778" spans="2:6" ht="14.4" x14ac:dyDescent="0.3">
      <c r="B778" s="324"/>
      <c r="C778" s="328"/>
      <c r="E778" s="328"/>
      <c r="F778" s="48">
        <f t="shared" si="20"/>
        <v>0</v>
      </c>
    </row>
    <row r="779" spans="2:6" ht="14.4" x14ac:dyDescent="0.3">
      <c r="B779" s="324" t="s">
        <v>789</v>
      </c>
      <c r="C779" s="328" t="s">
        <v>115</v>
      </c>
      <c r="E779" s="326">
        <v>40</v>
      </c>
      <c r="F779" s="48">
        <f t="shared" si="20"/>
        <v>0</v>
      </c>
    </row>
    <row r="780" spans="2:6" ht="14.4" x14ac:dyDescent="0.3">
      <c r="B780" s="420" t="s">
        <v>790</v>
      </c>
      <c r="C780" s="328" t="s">
        <v>115</v>
      </c>
      <c r="E780" s="326">
        <v>30</v>
      </c>
      <c r="F780" s="48">
        <f t="shared" si="20"/>
        <v>0</v>
      </c>
    </row>
    <row r="781" spans="2:6" ht="14.4" x14ac:dyDescent="0.3">
      <c r="B781" s="324" t="s">
        <v>791</v>
      </c>
      <c r="C781" s="328" t="s">
        <v>115</v>
      </c>
      <c r="E781" s="326">
        <v>33</v>
      </c>
      <c r="F781" s="48">
        <f t="shared" si="20"/>
        <v>0</v>
      </c>
    </row>
    <row r="782" spans="2:6" ht="14.4" x14ac:dyDescent="0.3">
      <c r="B782" s="420" t="s">
        <v>792</v>
      </c>
      <c r="C782" s="328" t="s">
        <v>115</v>
      </c>
      <c r="E782" s="326">
        <v>23.26</v>
      </c>
      <c r="F782" s="48">
        <f t="shared" si="20"/>
        <v>0</v>
      </c>
    </row>
    <row r="783" spans="2:6" ht="14.4" x14ac:dyDescent="0.3">
      <c r="B783" s="420" t="s">
        <v>793</v>
      </c>
      <c r="C783" s="328" t="s">
        <v>115</v>
      </c>
      <c r="D783" s="40">
        <v>8</v>
      </c>
      <c r="E783" s="326">
        <v>50</v>
      </c>
      <c r="F783" s="48">
        <f t="shared" si="20"/>
        <v>400</v>
      </c>
    </row>
    <row r="784" spans="2:6" ht="14.4" x14ac:dyDescent="0.3">
      <c r="B784" s="324" t="s">
        <v>794</v>
      </c>
      <c r="C784" s="328" t="s">
        <v>115</v>
      </c>
      <c r="E784" s="326">
        <v>7.65</v>
      </c>
      <c r="F784" s="48">
        <f t="shared" si="20"/>
        <v>0</v>
      </c>
    </row>
    <row r="785" spans="2:6" ht="14.4" x14ac:dyDescent="0.3">
      <c r="B785" s="324" t="s">
        <v>795</v>
      </c>
      <c r="C785" s="328" t="s">
        <v>115</v>
      </c>
      <c r="E785" s="326">
        <v>7.65</v>
      </c>
      <c r="F785" s="48">
        <f t="shared" si="20"/>
        <v>0</v>
      </c>
    </row>
    <row r="786" spans="2:6" ht="14.4" x14ac:dyDescent="0.3">
      <c r="B786" s="324" t="s">
        <v>796</v>
      </c>
      <c r="C786" s="328" t="s">
        <v>115</v>
      </c>
      <c r="E786" s="326">
        <v>13.59</v>
      </c>
      <c r="F786" s="48">
        <f t="shared" si="20"/>
        <v>0</v>
      </c>
    </row>
    <row r="787" spans="2:6" ht="14.4" x14ac:dyDescent="0.3">
      <c r="B787" s="324" t="s">
        <v>797</v>
      </c>
      <c r="C787" s="328" t="s">
        <v>115</v>
      </c>
      <c r="E787" s="326">
        <v>0</v>
      </c>
      <c r="F787" s="48">
        <f t="shared" si="20"/>
        <v>0</v>
      </c>
    </row>
    <row r="788" spans="2:6" ht="14.4" x14ac:dyDescent="0.3">
      <c r="B788" s="324" t="s">
        <v>798</v>
      </c>
      <c r="C788" s="328" t="s">
        <v>115</v>
      </c>
      <c r="E788" s="326">
        <v>75</v>
      </c>
      <c r="F788" s="48">
        <f t="shared" si="20"/>
        <v>0</v>
      </c>
    </row>
    <row r="789" spans="2:6" ht="14.4" x14ac:dyDescent="0.3">
      <c r="B789" s="324"/>
      <c r="C789" s="328"/>
      <c r="E789" s="324"/>
      <c r="F789" s="48">
        <f t="shared" si="20"/>
        <v>0</v>
      </c>
    </row>
    <row r="790" spans="2:6" ht="14.4" x14ac:dyDescent="0.3">
      <c r="B790" s="324" t="s">
        <v>799</v>
      </c>
      <c r="C790" s="328" t="s">
        <v>115</v>
      </c>
      <c r="E790" s="326">
        <v>2</v>
      </c>
      <c r="F790" s="48">
        <f t="shared" si="20"/>
        <v>0</v>
      </c>
    </row>
    <row r="791" spans="2:6" ht="14.4" x14ac:dyDescent="0.3">
      <c r="B791" s="324" t="s">
        <v>800</v>
      </c>
      <c r="C791" s="328" t="s">
        <v>115</v>
      </c>
      <c r="E791" s="326">
        <v>1.5</v>
      </c>
      <c r="F791" s="48">
        <f t="shared" si="20"/>
        <v>0</v>
      </c>
    </row>
    <row r="792" spans="2:6" ht="14.4" x14ac:dyDescent="0.3">
      <c r="B792" s="324" t="s">
        <v>491</v>
      </c>
      <c r="C792" s="328" t="s">
        <v>149</v>
      </c>
      <c r="E792" s="326">
        <f>E643</f>
        <v>0</v>
      </c>
      <c r="F792" s="48">
        <f t="shared" si="20"/>
        <v>0</v>
      </c>
    </row>
    <row r="793" spans="2:6" ht="14.4" x14ac:dyDescent="0.3">
      <c r="B793" s="324"/>
      <c r="C793" s="328"/>
      <c r="E793" s="326"/>
      <c r="F793" s="48">
        <f t="shared" si="20"/>
        <v>0</v>
      </c>
    </row>
    <row r="794" spans="2:6" ht="14.4" x14ac:dyDescent="0.3">
      <c r="B794" s="324" t="s">
        <v>801</v>
      </c>
      <c r="C794" s="328" t="s">
        <v>115</v>
      </c>
      <c r="E794" s="326">
        <v>26.4</v>
      </c>
      <c r="F794" s="48">
        <f t="shared" si="20"/>
        <v>0</v>
      </c>
    </row>
    <row r="795" spans="2:6" ht="14.4" x14ac:dyDescent="0.3">
      <c r="B795" s="324" t="s">
        <v>802</v>
      </c>
      <c r="C795" s="328" t="s">
        <v>115</v>
      </c>
      <c r="E795" s="326">
        <v>23</v>
      </c>
      <c r="F795" s="48">
        <f t="shared" si="20"/>
        <v>0</v>
      </c>
    </row>
    <row r="796" spans="2:6" ht="14.4" x14ac:dyDescent="0.3">
      <c r="B796" s="324" t="s">
        <v>803</v>
      </c>
      <c r="C796" s="328" t="s">
        <v>115</v>
      </c>
      <c r="E796" s="326">
        <v>75</v>
      </c>
      <c r="F796" s="48">
        <f t="shared" si="20"/>
        <v>0</v>
      </c>
    </row>
    <row r="797" spans="2:6" ht="14.4" x14ac:dyDescent="0.3">
      <c r="B797" s="324" t="s">
        <v>804</v>
      </c>
      <c r="C797" s="328" t="s">
        <v>115</v>
      </c>
      <c r="E797" s="326">
        <v>22</v>
      </c>
      <c r="F797" s="48">
        <f t="shared" si="20"/>
        <v>0</v>
      </c>
    </row>
    <row r="798" spans="2:6" ht="14.4" x14ac:dyDescent="0.3">
      <c r="B798" s="324" t="s">
        <v>805</v>
      </c>
      <c r="C798" s="328" t="s">
        <v>115</v>
      </c>
      <c r="E798" s="326">
        <v>10</v>
      </c>
      <c r="F798" s="48">
        <f t="shared" si="20"/>
        <v>0</v>
      </c>
    </row>
    <row r="799" spans="2:6" ht="14.4" x14ac:dyDescent="0.3">
      <c r="B799" s="324"/>
      <c r="C799" s="328"/>
      <c r="E799" s="326"/>
      <c r="F799" s="48">
        <f t="shared" si="20"/>
        <v>0</v>
      </c>
    </row>
    <row r="800" spans="2:6" ht="14.4" x14ac:dyDescent="0.3">
      <c r="B800" s="420" t="s">
        <v>806</v>
      </c>
      <c r="C800" s="328" t="s">
        <v>115</v>
      </c>
      <c r="E800" s="326">
        <v>520</v>
      </c>
      <c r="F800" s="48">
        <f t="shared" si="20"/>
        <v>0</v>
      </c>
    </row>
    <row r="801" spans="2:6" ht="14.4" x14ac:dyDescent="0.3">
      <c r="B801" s="420" t="s">
        <v>807</v>
      </c>
      <c r="C801" s="328" t="s">
        <v>115</v>
      </c>
      <c r="E801" s="326">
        <v>230</v>
      </c>
      <c r="F801" s="48">
        <f t="shared" si="20"/>
        <v>0</v>
      </c>
    </row>
    <row r="802" spans="2:6" ht="14.4" x14ac:dyDescent="0.3">
      <c r="B802" s="420" t="s">
        <v>808</v>
      </c>
      <c r="C802" s="328" t="s">
        <v>115</v>
      </c>
      <c r="E802" s="326">
        <v>2800</v>
      </c>
      <c r="F802" s="48">
        <f t="shared" si="20"/>
        <v>0</v>
      </c>
    </row>
    <row r="803" spans="2:6" ht="14.4" x14ac:dyDescent="0.3">
      <c r="B803" s="420" t="s">
        <v>809</v>
      </c>
      <c r="C803" s="328" t="s">
        <v>115</v>
      </c>
      <c r="E803" s="326">
        <v>950</v>
      </c>
      <c r="F803" s="48">
        <f t="shared" si="20"/>
        <v>0</v>
      </c>
    </row>
    <row r="804" spans="2:6" ht="14.4" x14ac:dyDescent="0.3">
      <c r="B804" s="420" t="s">
        <v>745</v>
      </c>
      <c r="C804" s="328" t="s">
        <v>115</v>
      </c>
      <c r="E804" s="326">
        <v>1250</v>
      </c>
      <c r="F804" s="48">
        <f t="shared" si="20"/>
        <v>0</v>
      </c>
    </row>
    <row r="805" spans="2:6" ht="14.4" x14ac:dyDescent="0.3">
      <c r="B805" s="420" t="s">
        <v>810</v>
      </c>
      <c r="C805" s="328" t="s">
        <v>115</v>
      </c>
      <c r="E805" s="334">
        <v>200</v>
      </c>
      <c r="F805" s="48">
        <f t="shared" si="20"/>
        <v>0</v>
      </c>
    </row>
    <row r="806" spans="2:6" ht="14.4" x14ac:dyDescent="0.3">
      <c r="B806" s="420" t="s">
        <v>811</v>
      </c>
      <c r="C806" s="328" t="s">
        <v>115</v>
      </c>
      <c r="E806" s="334">
        <v>60</v>
      </c>
      <c r="F806" s="48">
        <f t="shared" si="20"/>
        <v>0</v>
      </c>
    </row>
    <row r="807" spans="2:6" ht="14.4" x14ac:dyDescent="0.3">
      <c r="B807" s="420" t="s">
        <v>812</v>
      </c>
      <c r="C807" s="328" t="s">
        <v>115</v>
      </c>
      <c r="E807" s="334">
        <v>120</v>
      </c>
      <c r="F807" s="48">
        <f t="shared" si="20"/>
        <v>0</v>
      </c>
    </row>
    <row r="808" spans="2:6" ht="14.4" x14ac:dyDescent="0.3">
      <c r="B808" s="420" t="s">
        <v>813</v>
      </c>
      <c r="C808" s="328" t="s">
        <v>115</v>
      </c>
      <c r="D808" s="40">
        <v>1</v>
      </c>
      <c r="E808" s="326">
        <v>61.33</v>
      </c>
      <c r="F808" s="48">
        <f t="shared" si="20"/>
        <v>61.33</v>
      </c>
    </row>
    <row r="809" spans="2:6" ht="14.4" x14ac:dyDescent="0.3">
      <c r="B809" s="420" t="s">
        <v>814</v>
      </c>
      <c r="C809" s="328" t="s">
        <v>115</v>
      </c>
      <c r="E809" s="334">
        <v>100</v>
      </c>
      <c r="F809" s="48">
        <f t="shared" si="20"/>
        <v>0</v>
      </c>
    </row>
    <row r="810" spans="2:6" ht="28.8" x14ac:dyDescent="0.3">
      <c r="B810" s="425" t="s">
        <v>815</v>
      </c>
      <c r="C810" s="328" t="s">
        <v>115</v>
      </c>
      <c r="E810" s="334">
        <v>250</v>
      </c>
      <c r="F810" s="48">
        <f t="shared" si="20"/>
        <v>0</v>
      </c>
    </row>
    <row r="811" spans="2:6" ht="43.2" x14ac:dyDescent="0.3">
      <c r="B811" s="425" t="s">
        <v>816</v>
      </c>
      <c r="C811" s="328" t="s">
        <v>115</v>
      </c>
      <c r="E811" s="334">
        <v>250</v>
      </c>
      <c r="F811" s="48">
        <f t="shared" si="20"/>
        <v>0</v>
      </c>
    </row>
    <row r="812" spans="2:6" ht="14.4" x14ac:dyDescent="0.3">
      <c r="B812" s="425" t="s">
        <v>817</v>
      </c>
      <c r="C812" s="328" t="s">
        <v>115</v>
      </c>
      <c r="E812" s="326">
        <v>300</v>
      </c>
      <c r="F812" s="48">
        <f t="shared" si="20"/>
        <v>0</v>
      </c>
    </row>
    <row r="813" spans="2:6" ht="14.4" x14ac:dyDescent="0.3">
      <c r="B813" s="425" t="s">
        <v>818</v>
      </c>
      <c r="C813" s="328" t="s">
        <v>115</v>
      </c>
      <c r="E813" s="334">
        <v>1200</v>
      </c>
      <c r="F813" s="48">
        <f t="shared" si="20"/>
        <v>0</v>
      </c>
    </row>
    <row r="816" spans="2:6" ht="14.4" x14ac:dyDescent="0.3">
      <c r="B816" s="325" t="s">
        <v>823</v>
      </c>
    </row>
    <row r="817" spans="2:6" ht="14.4" x14ac:dyDescent="0.3">
      <c r="B817" s="327" t="s">
        <v>354</v>
      </c>
    </row>
    <row r="820" spans="2:6" ht="14.4" x14ac:dyDescent="0.3">
      <c r="B820" s="416" t="s">
        <v>1042</v>
      </c>
      <c r="C820" s="419" t="s">
        <v>149</v>
      </c>
      <c r="D820" s="413">
        <v>128</v>
      </c>
      <c r="E820" s="417">
        <v>11.6</v>
      </c>
      <c r="F820" s="418">
        <f>E820*D820</f>
        <v>1484.8</v>
      </c>
    </row>
    <row r="821" spans="2:6" ht="14.4" x14ac:dyDescent="0.3">
      <c r="B821" s="416" t="s">
        <v>1043</v>
      </c>
      <c r="C821" s="419" t="s">
        <v>115</v>
      </c>
      <c r="D821" s="413">
        <v>15</v>
      </c>
      <c r="E821" s="417">
        <v>10</v>
      </c>
      <c r="F821" s="418">
        <f t="shared" ref="F821:F831" si="21">E821*D821</f>
        <v>150</v>
      </c>
    </row>
    <row r="822" spans="2:6" ht="14.4" x14ac:dyDescent="0.3">
      <c r="B822" s="416" t="s">
        <v>826</v>
      </c>
      <c r="C822" s="419" t="s">
        <v>115</v>
      </c>
      <c r="D822" s="413">
        <v>5</v>
      </c>
      <c r="E822" s="417">
        <v>5.16</v>
      </c>
      <c r="F822" s="418">
        <f t="shared" si="21"/>
        <v>25.8</v>
      </c>
    </row>
    <row r="823" spans="2:6" ht="14.4" x14ac:dyDescent="0.3">
      <c r="B823" s="415" t="s">
        <v>827</v>
      </c>
      <c r="C823" s="413" t="s">
        <v>115</v>
      </c>
      <c r="D823" s="413">
        <v>6</v>
      </c>
      <c r="E823" s="418">
        <v>8.35</v>
      </c>
      <c r="F823" s="418">
        <f t="shared" si="21"/>
        <v>50.099999999999994</v>
      </c>
    </row>
    <row r="824" spans="2:6" ht="14.4" x14ac:dyDescent="0.3">
      <c r="B824" s="415" t="s">
        <v>1044</v>
      </c>
      <c r="C824" s="413" t="s">
        <v>149</v>
      </c>
      <c r="D824" s="413">
        <v>8</v>
      </c>
      <c r="E824" s="418">
        <v>10</v>
      </c>
      <c r="F824" s="418">
        <f t="shared" si="21"/>
        <v>80</v>
      </c>
    </row>
    <row r="825" spans="2:6" ht="14.4" x14ac:dyDescent="0.3">
      <c r="B825" s="415" t="s">
        <v>1045</v>
      </c>
      <c r="C825" s="413" t="s">
        <v>115</v>
      </c>
      <c r="D825" s="413">
        <v>2</v>
      </c>
      <c r="E825" s="418">
        <v>5</v>
      </c>
      <c r="F825" s="418">
        <f t="shared" si="21"/>
        <v>10</v>
      </c>
    </row>
    <row r="826" spans="2:6" ht="14.4" x14ac:dyDescent="0.3">
      <c r="B826" s="415" t="s">
        <v>1046</v>
      </c>
      <c r="C826" s="413" t="s">
        <v>115</v>
      </c>
      <c r="D826" s="413">
        <v>1</v>
      </c>
      <c r="E826" s="418">
        <v>7.5</v>
      </c>
      <c r="F826" s="418">
        <f t="shared" si="21"/>
        <v>7.5</v>
      </c>
    </row>
    <row r="827" spans="2:6" ht="14.4" x14ac:dyDescent="0.3">
      <c r="B827" s="415" t="s">
        <v>1047</v>
      </c>
      <c r="C827" s="413" t="s">
        <v>971</v>
      </c>
      <c r="D827" s="413">
        <v>4</v>
      </c>
      <c r="E827" s="414">
        <v>80</v>
      </c>
      <c r="F827" s="414">
        <f t="shared" si="21"/>
        <v>320</v>
      </c>
    </row>
    <row r="829" spans="2:6" ht="19.5" customHeight="1" x14ac:dyDescent="0.2">
      <c r="B829" s="446" t="s">
        <v>1048</v>
      </c>
      <c r="C829" s="447" t="s">
        <v>115</v>
      </c>
      <c r="D829" s="447">
        <v>1</v>
      </c>
      <c r="E829" s="448">
        <v>2500</v>
      </c>
      <c r="F829" s="449">
        <f t="shared" si="21"/>
        <v>2500</v>
      </c>
    </row>
    <row r="831" spans="2:6" ht="19.5" customHeight="1" x14ac:dyDescent="0.2">
      <c r="B831" s="446" t="s">
        <v>1049</v>
      </c>
      <c r="C831" s="40" t="s">
        <v>115</v>
      </c>
      <c r="D831" s="40">
        <v>1</v>
      </c>
      <c r="E831" s="41">
        <v>2500</v>
      </c>
      <c r="F831" s="449">
        <f t="shared" si="21"/>
        <v>2500</v>
      </c>
    </row>
    <row r="832" spans="2:6" x14ac:dyDescent="0.2">
      <c r="B832" s="446" t="s">
        <v>1050</v>
      </c>
    </row>
    <row r="836" spans="2:6" ht="14.4" x14ac:dyDescent="0.3">
      <c r="B836" s="325" t="s">
        <v>840</v>
      </c>
    </row>
    <row r="837" spans="2:6" ht="14.4" x14ac:dyDescent="0.3">
      <c r="B837" s="327" t="s">
        <v>354</v>
      </c>
    </row>
    <row r="838" spans="2:6" ht="14.4" x14ac:dyDescent="0.3">
      <c r="B838" s="324"/>
    </row>
    <row r="839" spans="2:6" ht="14.4" x14ac:dyDescent="0.3">
      <c r="B839" s="324"/>
    </row>
    <row r="840" spans="2:6" ht="14.4" x14ac:dyDescent="0.3">
      <c r="B840" s="420" t="s">
        <v>841</v>
      </c>
      <c r="C840" s="328" t="s">
        <v>149</v>
      </c>
      <c r="E840" s="385">
        <v>165.6</v>
      </c>
      <c r="F840" s="48">
        <f>E840*D840</f>
        <v>0</v>
      </c>
    </row>
    <row r="841" spans="2:6" ht="14.4" x14ac:dyDescent="0.3">
      <c r="B841" s="420" t="s">
        <v>842</v>
      </c>
      <c r="C841" s="328" t="s">
        <v>149</v>
      </c>
      <c r="E841" s="385">
        <v>89.699999999999989</v>
      </c>
      <c r="F841" s="48">
        <f t="shared" ref="F841:F904" si="22">E841*D841</f>
        <v>0</v>
      </c>
    </row>
    <row r="842" spans="2:6" ht="14.4" x14ac:dyDescent="0.3">
      <c r="B842" s="420" t="s">
        <v>843</v>
      </c>
      <c r="C842" s="328" t="s">
        <v>149</v>
      </c>
      <c r="E842" s="385">
        <v>66.239999999999995</v>
      </c>
      <c r="F842" s="48">
        <f t="shared" si="22"/>
        <v>0</v>
      </c>
    </row>
    <row r="843" spans="2:6" ht="14.4" x14ac:dyDescent="0.3">
      <c r="B843" s="420" t="s">
        <v>844</v>
      </c>
      <c r="C843" s="328" t="s">
        <v>149</v>
      </c>
      <c r="E843" s="385">
        <v>0</v>
      </c>
      <c r="F843" s="48">
        <f t="shared" si="22"/>
        <v>0</v>
      </c>
    </row>
    <row r="844" spans="2:6" ht="14.4" x14ac:dyDescent="0.3">
      <c r="B844" s="420" t="s">
        <v>845</v>
      </c>
      <c r="C844" s="328" t="s">
        <v>149</v>
      </c>
      <c r="E844" s="385">
        <v>85.104599999999991</v>
      </c>
      <c r="F844" s="48">
        <f t="shared" si="22"/>
        <v>0</v>
      </c>
    </row>
    <row r="845" spans="2:6" ht="14.4" x14ac:dyDescent="0.3">
      <c r="B845" s="420" t="s">
        <v>846</v>
      </c>
      <c r="C845" s="328" t="s">
        <v>149</v>
      </c>
      <c r="E845" s="385">
        <v>84.179999999999993</v>
      </c>
      <c r="F845" s="48">
        <f t="shared" si="22"/>
        <v>0</v>
      </c>
    </row>
    <row r="846" spans="2:6" ht="14.4" x14ac:dyDescent="0.3">
      <c r="B846" s="324" t="s">
        <v>847</v>
      </c>
      <c r="C846" s="328" t="s">
        <v>149</v>
      </c>
      <c r="E846" s="385">
        <v>68.77</v>
      </c>
      <c r="F846" s="48">
        <f t="shared" si="22"/>
        <v>0</v>
      </c>
    </row>
    <row r="847" spans="2:6" ht="14.4" x14ac:dyDescent="0.3">
      <c r="B847" s="324" t="s">
        <v>848</v>
      </c>
      <c r="C847" s="328" t="s">
        <v>149</v>
      </c>
      <c r="E847" s="385">
        <v>55.199999999999996</v>
      </c>
      <c r="F847" s="48">
        <f t="shared" si="22"/>
        <v>0</v>
      </c>
    </row>
    <row r="848" spans="2:6" ht="14.4" x14ac:dyDescent="0.3">
      <c r="B848" s="420" t="s">
        <v>849</v>
      </c>
      <c r="C848" s="328" t="s">
        <v>149</v>
      </c>
      <c r="E848" s="385">
        <v>55.199999999999996</v>
      </c>
      <c r="F848" s="48">
        <f t="shared" si="22"/>
        <v>0</v>
      </c>
    </row>
    <row r="849" spans="2:6" ht="14.4" x14ac:dyDescent="0.3">
      <c r="B849" s="420" t="s">
        <v>850</v>
      </c>
      <c r="C849" s="328" t="s">
        <v>149</v>
      </c>
      <c r="E849" s="385">
        <v>42.779999999999994</v>
      </c>
      <c r="F849" s="48">
        <f t="shared" si="22"/>
        <v>0</v>
      </c>
    </row>
    <row r="850" spans="2:6" ht="14.4" x14ac:dyDescent="0.3">
      <c r="B850" s="324" t="s">
        <v>851</v>
      </c>
      <c r="C850" s="328" t="s">
        <v>149</v>
      </c>
      <c r="E850" s="385">
        <v>32.659999999999997</v>
      </c>
      <c r="F850" s="48">
        <f t="shared" si="22"/>
        <v>0</v>
      </c>
    </row>
    <row r="851" spans="2:6" ht="14.4" x14ac:dyDescent="0.3">
      <c r="B851" s="420" t="s">
        <v>852</v>
      </c>
      <c r="C851" s="328" t="s">
        <v>149</v>
      </c>
      <c r="D851" s="40">
        <v>25</v>
      </c>
      <c r="E851" s="385">
        <v>19.549999999999997</v>
      </c>
      <c r="F851" s="48">
        <f t="shared" si="22"/>
        <v>488.74999999999994</v>
      </c>
    </row>
    <row r="852" spans="2:6" ht="14.4" x14ac:dyDescent="0.3">
      <c r="B852" s="324" t="s">
        <v>853</v>
      </c>
      <c r="C852" s="328" t="s">
        <v>149</v>
      </c>
      <c r="E852" s="385">
        <v>16.099999999999998</v>
      </c>
      <c r="F852" s="48">
        <f t="shared" si="22"/>
        <v>0</v>
      </c>
    </row>
    <row r="853" spans="2:6" ht="14.4" x14ac:dyDescent="0.3">
      <c r="B853" s="324" t="s">
        <v>854</v>
      </c>
      <c r="C853" s="328" t="s">
        <v>149</v>
      </c>
      <c r="E853" s="385">
        <v>19.549999999999997</v>
      </c>
      <c r="F853" s="48">
        <f t="shared" si="22"/>
        <v>0</v>
      </c>
    </row>
    <row r="854" spans="2:6" ht="14.4" x14ac:dyDescent="0.3">
      <c r="B854" s="420" t="s">
        <v>853</v>
      </c>
      <c r="C854" s="419" t="s">
        <v>149</v>
      </c>
      <c r="E854" s="385">
        <v>16.559999999999999</v>
      </c>
      <c r="F854" s="48">
        <f t="shared" si="22"/>
        <v>0</v>
      </c>
    </row>
    <row r="855" spans="2:6" ht="14.4" x14ac:dyDescent="0.3">
      <c r="B855" s="420" t="s">
        <v>764</v>
      </c>
      <c r="C855" s="419" t="s">
        <v>149</v>
      </c>
      <c r="D855" s="40">
        <v>45</v>
      </c>
      <c r="E855" s="385">
        <f>(2415.3/(83*6))*1.38</f>
        <v>6.6930000000000005</v>
      </c>
      <c r="F855" s="48">
        <f t="shared" si="22"/>
        <v>301.185</v>
      </c>
    </row>
    <row r="856" spans="2:6" ht="14.4" x14ac:dyDescent="0.3">
      <c r="B856" s="420" t="s">
        <v>855</v>
      </c>
      <c r="C856" s="419" t="s">
        <v>149</v>
      </c>
      <c r="E856" s="385">
        <v>6.8999999999999995</v>
      </c>
      <c r="F856" s="48">
        <f t="shared" si="22"/>
        <v>0</v>
      </c>
    </row>
    <row r="857" spans="2:6" ht="14.4" x14ac:dyDescent="0.3">
      <c r="B857" s="420" t="s">
        <v>856</v>
      </c>
      <c r="C857" s="419" t="s">
        <v>149</v>
      </c>
      <c r="E857" s="385">
        <f>(2415.3/(83*6))*1.38</f>
        <v>6.6930000000000005</v>
      </c>
      <c r="F857" s="48">
        <f t="shared" si="22"/>
        <v>0</v>
      </c>
    </row>
    <row r="858" spans="2:6" ht="14.4" x14ac:dyDescent="0.3">
      <c r="B858" s="420"/>
      <c r="C858" s="419"/>
      <c r="E858" s="385">
        <v>0</v>
      </c>
      <c r="F858" s="48">
        <f t="shared" si="22"/>
        <v>0</v>
      </c>
    </row>
    <row r="859" spans="2:6" ht="14.4" x14ac:dyDescent="0.3">
      <c r="B859" s="335" t="s">
        <v>857</v>
      </c>
      <c r="C859" s="328"/>
      <c r="E859" s="385">
        <v>0</v>
      </c>
      <c r="F859" s="48">
        <f t="shared" si="22"/>
        <v>0</v>
      </c>
    </row>
    <row r="860" spans="2:6" ht="14.4" x14ac:dyDescent="0.3">
      <c r="B860" s="420"/>
      <c r="C860" s="328" t="s">
        <v>115</v>
      </c>
      <c r="E860" s="385">
        <v>0</v>
      </c>
      <c r="F860" s="48">
        <f t="shared" si="22"/>
        <v>0</v>
      </c>
    </row>
    <row r="861" spans="2:6" ht="14.4" x14ac:dyDescent="0.3">
      <c r="B861" t="s">
        <v>858</v>
      </c>
      <c r="C861" s="328" t="s">
        <v>115</v>
      </c>
      <c r="E861" s="385">
        <v>676.19999999999993</v>
      </c>
      <c r="F861" s="48">
        <f t="shared" si="22"/>
        <v>0</v>
      </c>
    </row>
    <row r="862" spans="2:6" ht="14.4" x14ac:dyDescent="0.3">
      <c r="B862" t="s">
        <v>859</v>
      </c>
      <c r="C862" s="328" t="s">
        <v>115</v>
      </c>
      <c r="E862" s="385">
        <v>896.99999999999989</v>
      </c>
      <c r="F862" s="48">
        <f t="shared" si="22"/>
        <v>0</v>
      </c>
    </row>
    <row r="863" spans="2:6" ht="14.4" x14ac:dyDescent="0.3">
      <c r="B863" t="s">
        <v>860</v>
      </c>
      <c r="C863" s="328" t="s">
        <v>115</v>
      </c>
      <c r="E863" s="385">
        <v>1517.9999999999998</v>
      </c>
      <c r="F863" s="48">
        <f t="shared" si="22"/>
        <v>0</v>
      </c>
    </row>
    <row r="864" spans="2:6" ht="14.4" x14ac:dyDescent="0.3">
      <c r="B864" t="s">
        <v>861</v>
      </c>
      <c r="C864" s="328" t="s">
        <v>115</v>
      </c>
      <c r="E864" s="385">
        <v>634.79999999999995</v>
      </c>
      <c r="F864" s="48">
        <f t="shared" si="22"/>
        <v>0</v>
      </c>
    </row>
    <row r="865" spans="2:6" ht="14.4" x14ac:dyDescent="0.3">
      <c r="B865" t="s">
        <v>862</v>
      </c>
      <c r="C865" s="328" t="s">
        <v>115</v>
      </c>
      <c r="E865" s="385">
        <v>800.4</v>
      </c>
      <c r="F865" s="48">
        <f t="shared" si="22"/>
        <v>0</v>
      </c>
    </row>
    <row r="866" spans="2:6" ht="14.4" x14ac:dyDescent="0.3">
      <c r="B866" t="s">
        <v>863</v>
      </c>
      <c r="C866" s="328" t="s">
        <v>115</v>
      </c>
      <c r="E866" s="385">
        <v>441.59999999999997</v>
      </c>
      <c r="F866" s="48">
        <f t="shared" si="22"/>
        <v>0</v>
      </c>
    </row>
    <row r="867" spans="2:6" ht="14.4" x14ac:dyDescent="0.3">
      <c r="B867" s="420" t="s">
        <v>864</v>
      </c>
      <c r="C867" s="328" t="s">
        <v>115</v>
      </c>
      <c r="E867" s="385">
        <v>579.59999999999991</v>
      </c>
      <c r="F867" s="48">
        <f t="shared" si="22"/>
        <v>0</v>
      </c>
    </row>
    <row r="868" spans="2:6" ht="14.4" x14ac:dyDescent="0.3">
      <c r="B868" s="420" t="s">
        <v>865</v>
      </c>
      <c r="C868" s="328" t="s">
        <v>115</v>
      </c>
      <c r="E868" s="385">
        <v>776.09819999999991</v>
      </c>
      <c r="F868" s="48">
        <f t="shared" si="22"/>
        <v>0</v>
      </c>
    </row>
    <row r="869" spans="2:6" ht="14.4" x14ac:dyDescent="0.3">
      <c r="B869" s="420" t="s">
        <v>866</v>
      </c>
      <c r="C869" s="328" t="s">
        <v>115</v>
      </c>
      <c r="E869" s="385">
        <v>777.4781999999999</v>
      </c>
      <c r="F869" s="48">
        <f t="shared" si="22"/>
        <v>0</v>
      </c>
    </row>
    <row r="870" spans="2:6" ht="14.4" x14ac:dyDescent="0.3">
      <c r="B870" s="420" t="s">
        <v>867</v>
      </c>
      <c r="C870" s="328" t="s">
        <v>115</v>
      </c>
      <c r="E870" s="385">
        <v>524.4</v>
      </c>
      <c r="F870" s="48">
        <f t="shared" si="22"/>
        <v>0</v>
      </c>
    </row>
    <row r="871" spans="2:6" ht="14.4" x14ac:dyDescent="0.3">
      <c r="B871" s="420" t="s">
        <v>868</v>
      </c>
      <c r="C871" s="328" t="s">
        <v>115</v>
      </c>
      <c r="E871" s="385">
        <v>496.79999999999995</v>
      </c>
      <c r="F871" s="48">
        <f t="shared" si="22"/>
        <v>0</v>
      </c>
    </row>
    <row r="872" spans="2:6" ht="14.4" x14ac:dyDescent="0.3">
      <c r="B872" s="420" t="s">
        <v>869</v>
      </c>
      <c r="C872" s="328" t="s">
        <v>115</v>
      </c>
      <c r="E872" s="385">
        <v>745.19999999999993</v>
      </c>
      <c r="F872" s="48">
        <f t="shared" si="22"/>
        <v>0</v>
      </c>
    </row>
    <row r="873" spans="2:6" ht="14.4" x14ac:dyDescent="0.3">
      <c r="B873" s="420" t="s">
        <v>870</v>
      </c>
      <c r="C873" s="328" t="s">
        <v>115</v>
      </c>
      <c r="E873" s="385">
        <v>621</v>
      </c>
      <c r="F873" s="48">
        <f t="shared" si="22"/>
        <v>0</v>
      </c>
    </row>
    <row r="874" spans="2:6" ht="14.4" x14ac:dyDescent="0.3">
      <c r="B874" s="420" t="s">
        <v>871</v>
      </c>
      <c r="C874" s="328" t="s">
        <v>115</v>
      </c>
      <c r="E874" s="385">
        <v>496.79999999999995</v>
      </c>
      <c r="F874" s="48">
        <f t="shared" si="22"/>
        <v>0</v>
      </c>
    </row>
    <row r="875" spans="2:6" ht="14.4" x14ac:dyDescent="0.3">
      <c r="B875" s="420" t="s">
        <v>872</v>
      </c>
      <c r="C875" s="328" t="s">
        <v>115</v>
      </c>
      <c r="E875" s="385">
        <v>441.59999999999997</v>
      </c>
      <c r="F875" s="48">
        <f t="shared" si="22"/>
        <v>0</v>
      </c>
    </row>
    <row r="876" spans="2:6" ht="14.4" x14ac:dyDescent="0.3">
      <c r="B876" s="420" t="s">
        <v>873</v>
      </c>
      <c r="C876" s="328" t="s">
        <v>115</v>
      </c>
      <c r="E876" s="385">
        <v>262.2</v>
      </c>
      <c r="F876" s="48">
        <f t="shared" si="22"/>
        <v>0</v>
      </c>
    </row>
    <row r="877" spans="2:6" ht="14.4" x14ac:dyDescent="0.3">
      <c r="B877" s="420" t="s">
        <v>874</v>
      </c>
      <c r="C877" s="328" t="s">
        <v>115</v>
      </c>
      <c r="E877" s="385">
        <v>345</v>
      </c>
      <c r="F877" s="48">
        <f t="shared" si="22"/>
        <v>0</v>
      </c>
    </row>
    <row r="878" spans="2:6" ht="14.4" x14ac:dyDescent="0.3">
      <c r="B878" s="420" t="s">
        <v>875</v>
      </c>
      <c r="C878" s="328" t="s">
        <v>115</v>
      </c>
      <c r="E878" s="385">
        <v>262.2</v>
      </c>
      <c r="F878" s="48">
        <f t="shared" si="22"/>
        <v>0</v>
      </c>
    </row>
    <row r="879" spans="2:6" ht="14.4" x14ac:dyDescent="0.3">
      <c r="B879" s="420" t="s">
        <v>876</v>
      </c>
      <c r="C879" s="328" t="s">
        <v>115</v>
      </c>
      <c r="E879" s="385">
        <v>455.4</v>
      </c>
      <c r="F879" s="48">
        <f t="shared" si="22"/>
        <v>0</v>
      </c>
    </row>
    <row r="880" spans="2:6" ht="14.4" x14ac:dyDescent="0.3">
      <c r="B880" s="420" t="s">
        <v>877</v>
      </c>
      <c r="C880" s="328" t="s">
        <v>115</v>
      </c>
      <c r="E880" s="385">
        <v>117.645</v>
      </c>
      <c r="F880" s="48">
        <f t="shared" si="22"/>
        <v>0</v>
      </c>
    </row>
    <row r="881" spans="2:6" ht="14.4" x14ac:dyDescent="0.3">
      <c r="B881" s="420" t="s">
        <v>878</v>
      </c>
      <c r="C881" s="328" t="s">
        <v>115</v>
      </c>
      <c r="E881" s="385">
        <v>289.79999999999995</v>
      </c>
      <c r="F881" s="48">
        <f t="shared" si="22"/>
        <v>0</v>
      </c>
    </row>
    <row r="882" spans="2:6" ht="14.4" x14ac:dyDescent="0.3">
      <c r="B882" s="420" t="s">
        <v>879</v>
      </c>
      <c r="C882" s="328" t="s">
        <v>115</v>
      </c>
      <c r="E882" s="385">
        <v>85.559999999999988</v>
      </c>
      <c r="F882" s="48">
        <f t="shared" si="22"/>
        <v>0</v>
      </c>
    </row>
    <row r="883" spans="2:6" ht="14.4" x14ac:dyDescent="0.3">
      <c r="B883" s="420" t="s">
        <v>880</v>
      </c>
      <c r="C883" s="328" t="s">
        <v>115</v>
      </c>
      <c r="E883" s="385">
        <v>84.179999999999993</v>
      </c>
      <c r="F883" s="48">
        <f t="shared" si="22"/>
        <v>0</v>
      </c>
    </row>
    <row r="884" spans="2:6" ht="14.4" x14ac:dyDescent="0.3">
      <c r="B884" s="420" t="s">
        <v>881</v>
      </c>
      <c r="C884" s="419" t="s">
        <v>115</v>
      </c>
      <c r="E884" s="385">
        <v>62.099999999999994</v>
      </c>
      <c r="F884" s="48">
        <f t="shared" si="22"/>
        <v>0</v>
      </c>
    </row>
    <row r="885" spans="2:6" ht="14.4" x14ac:dyDescent="0.3">
      <c r="B885" s="420" t="s">
        <v>882</v>
      </c>
      <c r="C885" s="328" t="s">
        <v>115</v>
      </c>
      <c r="E885" s="385">
        <v>24.839999999999996</v>
      </c>
      <c r="F885" s="48">
        <f t="shared" si="22"/>
        <v>0</v>
      </c>
    </row>
    <row r="886" spans="2:6" ht="14.4" x14ac:dyDescent="0.3">
      <c r="B886" s="420" t="s">
        <v>883</v>
      </c>
      <c r="C886" s="328" t="s">
        <v>115</v>
      </c>
      <c r="D886" s="40">
        <v>7</v>
      </c>
      <c r="E886" s="385">
        <v>22.08</v>
      </c>
      <c r="F886" s="48">
        <f t="shared" si="22"/>
        <v>154.56</v>
      </c>
    </row>
    <row r="887" spans="2:6" ht="14.4" x14ac:dyDescent="0.3">
      <c r="B887" s="420" t="s">
        <v>884</v>
      </c>
      <c r="C887" s="328" t="s">
        <v>115</v>
      </c>
      <c r="D887" s="40">
        <v>2</v>
      </c>
      <c r="E887" s="385">
        <v>16.559999999999999</v>
      </c>
      <c r="F887" s="48">
        <f t="shared" si="22"/>
        <v>33.119999999999997</v>
      </c>
    </row>
    <row r="888" spans="2:6" ht="14.4" x14ac:dyDescent="0.3">
      <c r="B888" s="420" t="s">
        <v>885</v>
      </c>
      <c r="C888" s="419" t="s">
        <v>115</v>
      </c>
      <c r="E888" s="385">
        <v>22.08</v>
      </c>
      <c r="F888" s="48">
        <f t="shared" si="22"/>
        <v>0</v>
      </c>
    </row>
    <row r="889" spans="2:6" ht="14.4" x14ac:dyDescent="0.3">
      <c r="B889" s="420" t="s">
        <v>886</v>
      </c>
      <c r="C889" s="419" t="s">
        <v>115</v>
      </c>
      <c r="D889" s="40">
        <v>2</v>
      </c>
      <c r="E889" s="385">
        <v>22.08</v>
      </c>
      <c r="F889" s="48">
        <f t="shared" si="22"/>
        <v>44.16</v>
      </c>
    </row>
    <row r="890" spans="2:6" ht="14.4" x14ac:dyDescent="0.3">
      <c r="B890" s="420" t="s">
        <v>766</v>
      </c>
      <c r="C890" s="419" t="s">
        <v>115</v>
      </c>
      <c r="D890" s="40">
        <v>2</v>
      </c>
      <c r="E890" s="385">
        <v>6.4859999999999998</v>
      </c>
      <c r="F890" s="48">
        <f t="shared" si="22"/>
        <v>12.972</v>
      </c>
    </row>
    <row r="891" spans="2:6" ht="14.4" x14ac:dyDescent="0.3">
      <c r="B891" s="420" t="s">
        <v>887</v>
      </c>
      <c r="C891" s="419" t="s">
        <v>115</v>
      </c>
      <c r="E891" s="385">
        <v>22.08</v>
      </c>
      <c r="F891" s="48">
        <f t="shared" si="22"/>
        <v>0</v>
      </c>
    </row>
    <row r="892" spans="2:6" ht="14.4" x14ac:dyDescent="0.3">
      <c r="B892" s="420" t="s">
        <v>888</v>
      </c>
      <c r="C892" s="419" t="s">
        <v>115</v>
      </c>
      <c r="E892" s="385">
        <v>22.08</v>
      </c>
      <c r="F892" s="48">
        <f t="shared" si="22"/>
        <v>0</v>
      </c>
    </row>
    <row r="893" spans="2:6" ht="14.4" x14ac:dyDescent="0.3">
      <c r="B893" s="420" t="s">
        <v>772</v>
      </c>
      <c r="C893" s="419" t="s">
        <v>115</v>
      </c>
      <c r="D893" s="40">
        <v>8</v>
      </c>
      <c r="E893" s="385">
        <v>16.559999999999999</v>
      </c>
      <c r="F893" s="48">
        <f t="shared" si="22"/>
        <v>132.47999999999999</v>
      </c>
    </row>
    <row r="894" spans="2:6" ht="14.4" x14ac:dyDescent="0.3">
      <c r="B894" s="420" t="s">
        <v>773</v>
      </c>
      <c r="C894" s="419" t="s">
        <v>115</v>
      </c>
      <c r="D894" s="40">
        <v>12</v>
      </c>
      <c r="E894" s="385">
        <v>16.559999999999999</v>
      </c>
      <c r="F894" s="48">
        <f t="shared" si="22"/>
        <v>198.71999999999997</v>
      </c>
    </row>
    <row r="895" spans="2:6" ht="14.4" x14ac:dyDescent="0.3">
      <c r="B895" s="420" t="s">
        <v>889</v>
      </c>
      <c r="C895" s="419" t="s">
        <v>115</v>
      </c>
      <c r="E895" s="385">
        <v>19.32</v>
      </c>
      <c r="F895" s="48">
        <f t="shared" si="22"/>
        <v>0</v>
      </c>
    </row>
    <row r="896" spans="2:6" ht="14.4" x14ac:dyDescent="0.3">
      <c r="B896" s="420" t="s">
        <v>890</v>
      </c>
      <c r="C896" s="419" t="s">
        <v>115</v>
      </c>
      <c r="E896" s="385">
        <v>0.89699999999999991</v>
      </c>
      <c r="F896" s="48">
        <f t="shared" si="22"/>
        <v>0</v>
      </c>
    </row>
    <row r="897" spans="2:6" ht="14.4" x14ac:dyDescent="0.3">
      <c r="B897" s="420" t="s">
        <v>891</v>
      </c>
      <c r="C897" s="419" t="s">
        <v>115</v>
      </c>
      <c r="E897" s="385">
        <v>0.89699999999999991</v>
      </c>
      <c r="F897" s="48">
        <f t="shared" si="22"/>
        <v>0</v>
      </c>
    </row>
    <row r="898" spans="2:6" ht="14.4" x14ac:dyDescent="0.3">
      <c r="B898" s="420"/>
      <c r="C898" s="419"/>
      <c r="E898" s="385">
        <v>0</v>
      </c>
      <c r="F898" s="48">
        <f t="shared" si="22"/>
        <v>0</v>
      </c>
    </row>
    <row r="899" spans="2:6" ht="14.4" x14ac:dyDescent="0.3">
      <c r="B899" s="420"/>
      <c r="C899" s="419"/>
      <c r="E899" s="385">
        <v>0</v>
      </c>
      <c r="F899" s="48">
        <f t="shared" si="22"/>
        <v>0</v>
      </c>
    </row>
    <row r="900" spans="2:6" ht="14.4" x14ac:dyDescent="0.3">
      <c r="B900" s="324" t="s">
        <v>892</v>
      </c>
      <c r="C900" s="328" t="s">
        <v>115</v>
      </c>
      <c r="E900" s="385">
        <v>2.6219999999999999</v>
      </c>
      <c r="F900" s="48">
        <f t="shared" si="22"/>
        <v>0</v>
      </c>
    </row>
    <row r="901" spans="2:6" ht="14.4" x14ac:dyDescent="0.3">
      <c r="B901" s="324" t="s">
        <v>491</v>
      </c>
      <c r="C901" s="328" t="s">
        <v>149</v>
      </c>
      <c r="E901" s="385">
        <v>2.76</v>
      </c>
      <c r="F901" s="48">
        <f t="shared" si="22"/>
        <v>0</v>
      </c>
    </row>
    <row r="902" spans="2:6" ht="14.4" x14ac:dyDescent="0.3">
      <c r="B902" s="324" t="s">
        <v>801</v>
      </c>
      <c r="C902" s="328" t="s">
        <v>115</v>
      </c>
      <c r="E902" s="385">
        <v>36.431999999999995</v>
      </c>
      <c r="F902" s="48">
        <f t="shared" si="22"/>
        <v>0</v>
      </c>
    </row>
    <row r="903" spans="2:6" ht="14.4" x14ac:dyDescent="0.3">
      <c r="B903" s="324" t="s">
        <v>802</v>
      </c>
      <c r="C903" s="328" t="s">
        <v>115</v>
      </c>
      <c r="E903" s="385">
        <v>31.74</v>
      </c>
      <c r="F903" s="48">
        <f t="shared" si="22"/>
        <v>0</v>
      </c>
    </row>
    <row r="904" spans="2:6" ht="14.4" x14ac:dyDescent="0.3">
      <c r="B904" s="324"/>
      <c r="C904" s="328"/>
      <c r="E904" s="385">
        <v>0</v>
      </c>
      <c r="F904" s="48">
        <f t="shared" si="22"/>
        <v>0</v>
      </c>
    </row>
    <row r="905" spans="2:6" ht="14.4" x14ac:dyDescent="0.3">
      <c r="B905" s="426" t="s">
        <v>893</v>
      </c>
      <c r="C905" s="328"/>
      <c r="E905" s="385">
        <v>0</v>
      </c>
      <c r="F905" s="48">
        <f t="shared" ref="F905:F921" si="23">E905*D905</f>
        <v>0</v>
      </c>
    </row>
    <row r="906" spans="2:6" ht="14.4" x14ac:dyDescent="0.3">
      <c r="B906" s="324"/>
      <c r="C906" s="328"/>
      <c r="E906" s="385">
        <v>0</v>
      </c>
      <c r="F906" s="48">
        <f t="shared" si="23"/>
        <v>0</v>
      </c>
    </row>
    <row r="907" spans="2:6" ht="14.4" x14ac:dyDescent="0.3">
      <c r="B907" s="420" t="s">
        <v>894</v>
      </c>
      <c r="C907" s="328" t="s">
        <v>115</v>
      </c>
      <c r="E907" s="385">
        <v>362.13959999999997</v>
      </c>
      <c r="F907" s="48">
        <f t="shared" si="23"/>
        <v>0</v>
      </c>
    </row>
    <row r="908" spans="2:6" ht="14.4" x14ac:dyDescent="0.3">
      <c r="B908" s="420" t="s">
        <v>895</v>
      </c>
      <c r="C908" s="328" t="s">
        <v>115</v>
      </c>
      <c r="E908" s="385">
        <v>827.99999999999989</v>
      </c>
      <c r="F908" s="48">
        <f t="shared" si="23"/>
        <v>0</v>
      </c>
    </row>
    <row r="909" spans="2:6" ht="14.4" x14ac:dyDescent="0.3">
      <c r="B909" s="420" t="s">
        <v>896</v>
      </c>
      <c r="C909" s="328" t="s">
        <v>115</v>
      </c>
      <c r="E909" s="385">
        <v>552</v>
      </c>
      <c r="F909" s="48">
        <f t="shared" si="23"/>
        <v>0</v>
      </c>
    </row>
    <row r="910" spans="2:6" ht="14.4" x14ac:dyDescent="0.3">
      <c r="B910" s="420"/>
      <c r="C910" s="328"/>
      <c r="E910" s="385">
        <v>0</v>
      </c>
      <c r="F910" s="48">
        <f t="shared" si="23"/>
        <v>0</v>
      </c>
    </row>
    <row r="911" spans="2:6" ht="14.4" x14ac:dyDescent="0.3">
      <c r="B911" s="420" t="s">
        <v>897</v>
      </c>
      <c r="C911" s="328" t="s">
        <v>115</v>
      </c>
      <c r="E911" s="385">
        <v>690</v>
      </c>
      <c r="F911" s="48">
        <f t="shared" si="23"/>
        <v>0</v>
      </c>
    </row>
    <row r="912" spans="2:6" ht="14.4" x14ac:dyDescent="0.3">
      <c r="B912" s="420" t="s">
        <v>898</v>
      </c>
      <c r="C912" s="328" t="s">
        <v>115</v>
      </c>
      <c r="E912" s="385">
        <v>413.99999999999994</v>
      </c>
      <c r="F912" s="48">
        <f t="shared" si="23"/>
        <v>0</v>
      </c>
    </row>
    <row r="913" spans="2:6" ht="14.4" x14ac:dyDescent="0.3">
      <c r="B913" s="420" t="s">
        <v>899</v>
      </c>
      <c r="C913" s="328" t="s">
        <v>115</v>
      </c>
      <c r="E913" s="385">
        <v>413.99999999999994</v>
      </c>
      <c r="F913" s="48">
        <f t="shared" si="23"/>
        <v>0</v>
      </c>
    </row>
    <row r="914" spans="2:6" ht="14.4" x14ac:dyDescent="0.3">
      <c r="B914" s="420" t="s">
        <v>898</v>
      </c>
      <c r="C914" s="328" t="s">
        <v>115</v>
      </c>
      <c r="E914" s="385">
        <v>413.99999999999994</v>
      </c>
      <c r="F914" s="48">
        <f t="shared" si="23"/>
        <v>0</v>
      </c>
    </row>
    <row r="915" spans="2:6" ht="14.4" x14ac:dyDescent="0.3">
      <c r="B915" s="420"/>
      <c r="C915" s="328" t="s">
        <v>115</v>
      </c>
      <c r="E915" s="385">
        <v>0</v>
      </c>
      <c r="F915" s="48">
        <f t="shared" si="23"/>
        <v>0</v>
      </c>
    </row>
    <row r="916" spans="2:6" ht="14.4" x14ac:dyDescent="0.3">
      <c r="B916" s="420" t="s">
        <v>905</v>
      </c>
      <c r="C916" s="328" t="s">
        <v>115</v>
      </c>
      <c r="E916" s="385">
        <v>20.7</v>
      </c>
      <c r="F916" s="48">
        <f t="shared" si="23"/>
        <v>0</v>
      </c>
    </row>
    <row r="917" spans="2:6" ht="14.4" x14ac:dyDescent="0.3">
      <c r="B917" s="420" t="s">
        <v>906</v>
      </c>
      <c r="C917" s="419" t="s">
        <v>115</v>
      </c>
      <c r="E917" s="385">
        <v>110.39999999999999</v>
      </c>
      <c r="F917" s="48">
        <f t="shared" si="23"/>
        <v>0</v>
      </c>
    </row>
    <row r="918" spans="2:6" ht="14.4" x14ac:dyDescent="0.3">
      <c r="B918" s="420" t="s">
        <v>907</v>
      </c>
      <c r="C918" s="419" t="s">
        <v>115</v>
      </c>
      <c r="E918" s="326">
        <v>180</v>
      </c>
      <c r="F918" s="48">
        <f t="shared" si="23"/>
        <v>0</v>
      </c>
    </row>
    <row r="919" spans="2:6" ht="14.4" x14ac:dyDescent="0.3">
      <c r="B919" s="420" t="s">
        <v>1051</v>
      </c>
      <c r="C919" s="419" t="s">
        <v>149</v>
      </c>
      <c r="D919" s="40">
        <v>5</v>
      </c>
      <c r="E919" s="326">
        <v>158</v>
      </c>
      <c r="F919" s="48">
        <f t="shared" si="23"/>
        <v>790</v>
      </c>
    </row>
    <row r="920" spans="2:6" ht="14.4" x14ac:dyDescent="0.3">
      <c r="B920" s="420" t="s">
        <v>1052</v>
      </c>
      <c r="C920" s="419" t="s">
        <v>149</v>
      </c>
      <c r="D920" s="40">
        <v>5</v>
      </c>
      <c r="E920" s="326">
        <v>243</v>
      </c>
      <c r="F920" s="48">
        <f t="shared" si="23"/>
        <v>1215</v>
      </c>
    </row>
    <row r="921" spans="2:6" ht="14.25" customHeight="1" x14ac:dyDescent="0.2">
      <c r="B921" s="38" t="s">
        <v>1053</v>
      </c>
      <c r="C921" s="40" t="s">
        <v>971</v>
      </c>
      <c r="D921" s="40">
        <v>2</v>
      </c>
      <c r="E921" s="48">
        <v>22</v>
      </c>
      <c r="F921" s="48">
        <f t="shared" si="23"/>
        <v>44</v>
      </c>
    </row>
    <row r="923" spans="2:6" ht="14.4" x14ac:dyDescent="0.3">
      <c r="B923" s="325" t="s">
        <v>908</v>
      </c>
    </row>
    <row r="925" spans="2:6" ht="14.4" x14ac:dyDescent="0.3">
      <c r="B925" t="s">
        <v>909</v>
      </c>
      <c r="C925" s="419" t="s">
        <v>115</v>
      </c>
      <c r="D925" s="40">
        <v>30</v>
      </c>
      <c r="E925" s="326">
        <v>180</v>
      </c>
      <c r="F925" s="48">
        <f t="shared" ref="F925:F926" si="24">E925*D925</f>
        <v>5400</v>
      </c>
    </row>
    <row r="926" spans="2:6" ht="14.4" x14ac:dyDescent="0.3">
      <c r="B926" t="s">
        <v>909</v>
      </c>
      <c r="C926" s="419" t="s">
        <v>115</v>
      </c>
      <c r="D926" s="40">
        <v>15</v>
      </c>
      <c r="E926" s="326">
        <v>180</v>
      </c>
      <c r="F926" s="48">
        <f t="shared" si="24"/>
        <v>2700</v>
      </c>
    </row>
    <row r="930" spans="2:11" x14ac:dyDescent="0.2">
      <c r="C930" s="548" t="s">
        <v>910</v>
      </c>
      <c r="D930" s="548"/>
      <c r="E930" s="548"/>
    </row>
    <row r="931" spans="2:11" x14ac:dyDescent="0.2">
      <c r="C931" s="548"/>
      <c r="D931" s="548"/>
      <c r="E931" s="548"/>
      <c r="F931" s="41">
        <f>SUM(F15:F930)</f>
        <v>605128.18752629857</v>
      </c>
    </row>
    <row r="932" spans="2:11" x14ac:dyDescent="0.2">
      <c r="C932" s="548"/>
      <c r="D932" s="548"/>
      <c r="E932" s="548"/>
    </row>
    <row r="934" spans="2:11" x14ac:dyDescent="0.2">
      <c r="E934" s="392" t="s">
        <v>911</v>
      </c>
      <c r="F934" s="393">
        <v>1.18</v>
      </c>
    </row>
    <row r="935" spans="2:11" x14ac:dyDescent="0.2">
      <c r="E935" s="392" t="s">
        <v>912</v>
      </c>
      <c r="F935" s="41">
        <v>3650</v>
      </c>
    </row>
    <row r="937" spans="2:11" x14ac:dyDescent="0.2">
      <c r="C937" s="548" t="s">
        <v>14</v>
      </c>
      <c r="D937" s="548"/>
      <c r="E937" s="548"/>
    </row>
    <row r="938" spans="2:11" x14ac:dyDescent="0.2">
      <c r="C938" s="548"/>
      <c r="D938" s="548"/>
      <c r="E938" s="548"/>
      <c r="F938" s="41">
        <f>F931*F934+F935</f>
        <v>717701.26128103223</v>
      </c>
    </row>
    <row r="939" spans="2:11" x14ac:dyDescent="0.2">
      <c r="C939" s="548"/>
      <c r="D939" s="548"/>
      <c r="E939" s="548"/>
    </row>
    <row r="943" spans="2:11" ht="10.8" thickBot="1" x14ac:dyDescent="0.25"/>
    <row r="944" spans="2:11" s="120" customFormat="1" ht="15" thickBot="1" x14ac:dyDescent="0.35">
      <c r="B944" s="173" t="s">
        <v>913</v>
      </c>
      <c r="C944" s="121"/>
      <c r="D944" s="122"/>
      <c r="E944" s="125"/>
      <c r="F944" s="125"/>
      <c r="G944" s="125"/>
      <c r="H944" s="124"/>
      <c r="K944" s="196"/>
    </row>
    <row r="945" spans="2:12" s="120" customFormat="1" ht="14.4" x14ac:dyDescent="0.3">
      <c r="B945" s="126"/>
      <c r="C945" s="193" t="s">
        <v>914</v>
      </c>
      <c r="D945" s="193" t="s">
        <v>102</v>
      </c>
      <c r="E945" s="194"/>
      <c r="F945" s="194"/>
      <c r="G945" s="125"/>
      <c r="H945" s="124"/>
      <c r="K945" s="196"/>
    </row>
    <row r="946" spans="2:12" s="120" customFormat="1" ht="14.4" x14ac:dyDescent="0.3">
      <c r="B946" s="427" t="s">
        <v>915</v>
      </c>
      <c r="C946" s="196">
        <f>C950</f>
        <v>545</v>
      </c>
      <c r="D946" s="196" t="s">
        <v>149</v>
      </c>
      <c r="E946" s="125"/>
      <c r="F946" s="125"/>
      <c r="G946" s="125"/>
      <c r="H946" s="124"/>
      <c r="K946" s="196"/>
    </row>
    <row r="947" spans="2:12" s="120" customFormat="1" ht="14.4" x14ac:dyDescent="0.3">
      <c r="B947" s="336" t="s">
        <v>916</v>
      </c>
      <c r="C947" s="196">
        <v>0</v>
      </c>
      <c r="D947" s="196" t="s">
        <v>149</v>
      </c>
      <c r="E947" s="125"/>
      <c r="F947" s="125"/>
      <c r="G947" s="125"/>
      <c r="H947" s="124"/>
      <c r="K947" s="196"/>
    </row>
    <row r="948" spans="2:12" s="120" customFormat="1" ht="14.4" x14ac:dyDescent="0.3">
      <c r="B948" s="336" t="s">
        <v>917</v>
      </c>
      <c r="C948" s="196">
        <v>0</v>
      </c>
      <c r="D948" s="196" t="s">
        <v>154</v>
      </c>
      <c r="E948" s="125"/>
      <c r="F948" s="125"/>
      <c r="G948" s="125"/>
      <c r="H948" s="124"/>
      <c r="K948" s="196"/>
    </row>
    <row r="949" spans="2:12" s="120" customFormat="1" ht="14.4" x14ac:dyDescent="0.3">
      <c r="B949" s="336" t="s">
        <v>918</v>
      </c>
      <c r="C949" s="196">
        <v>0</v>
      </c>
      <c r="D949" s="196" t="s">
        <v>149</v>
      </c>
      <c r="E949" s="125"/>
      <c r="F949" s="125"/>
      <c r="G949" s="125"/>
      <c r="H949" s="124"/>
      <c r="K949" s="196"/>
    </row>
    <row r="950" spans="2:12" s="120" customFormat="1" ht="14.4" x14ac:dyDescent="0.3">
      <c r="B950" s="427" t="s">
        <v>919</v>
      </c>
      <c r="C950" s="428">
        <f>SUM(D171:D174)+SUM(D349:D358)+D754+D769+D767+D768+D820+D824+SUM(D840:D857)</f>
        <v>545</v>
      </c>
      <c r="D950" s="196" t="s">
        <v>149</v>
      </c>
      <c r="E950" s="125"/>
      <c r="F950" s="125"/>
      <c r="G950" s="125"/>
      <c r="H950" s="124"/>
      <c r="K950" s="196"/>
    </row>
    <row r="951" spans="2:12" s="120" customFormat="1" ht="14.4" x14ac:dyDescent="0.3">
      <c r="B951" s="427" t="s">
        <v>920</v>
      </c>
      <c r="C951" s="338"/>
      <c r="D951" s="196" t="s">
        <v>149</v>
      </c>
      <c r="E951" s="125"/>
      <c r="F951" s="125"/>
      <c r="G951" s="125"/>
      <c r="H951" s="124"/>
      <c r="K951" s="196"/>
    </row>
    <row r="952" spans="2:12" s="120" customFormat="1" ht="14.4" x14ac:dyDescent="0.3">
      <c r="B952" s="427" t="s">
        <v>921</v>
      </c>
      <c r="C952" s="339">
        <v>0.1</v>
      </c>
      <c r="D952" s="196" t="s">
        <v>149</v>
      </c>
      <c r="F952" s="125"/>
      <c r="G952" s="125"/>
      <c r="H952" s="124"/>
      <c r="K952" s="196"/>
    </row>
    <row r="953" spans="2:12" s="120" customFormat="1" ht="14.4" x14ac:dyDescent="0.3">
      <c r="B953" s="427" t="s">
        <v>922</v>
      </c>
      <c r="C953" s="339"/>
      <c r="D953" s="196" t="s">
        <v>149</v>
      </c>
      <c r="E953" s="429">
        <f>C953/(C950+C951)</f>
        <v>0</v>
      </c>
      <c r="F953" s="125"/>
      <c r="G953" s="125"/>
      <c r="H953" s="124"/>
      <c r="K953" s="196"/>
    </row>
    <row r="954" spans="2:12" s="120" customFormat="1" ht="14.4" x14ac:dyDescent="0.3">
      <c r="B954" s="427" t="s">
        <v>923</v>
      </c>
      <c r="C954" s="339"/>
      <c r="D954" s="196" t="s">
        <v>149</v>
      </c>
      <c r="E954" s="429">
        <f>C954/(C950+C951)</f>
        <v>0</v>
      </c>
      <c r="F954" s="125"/>
      <c r="G954" s="125"/>
      <c r="H954" s="124"/>
      <c r="K954" s="196"/>
    </row>
    <row r="955" spans="2:12" s="120" customFormat="1" ht="14.4" x14ac:dyDescent="0.3">
      <c r="B955" s="427" t="s">
        <v>924</v>
      </c>
      <c r="C955" s="339"/>
      <c r="D955" s="196" t="s">
        <v>149</v>
      </c>
      <c r="E955" s="429">
        <f>C955/(C950+C951)</f>
        <v>0</v>
      </c>
      <c r="F955" s="125"/>
      <c r="G955" s="125"/>
      <c r="H955" s="124"/>
      <c r="K955" s="196"/>
    </row>
    <row r="956" spans="2:12" s="120" customFormat="1" ht="14.4" x14ac:dyDescent="0.3">
      <c r="B956" s="336"/>
      <c r="F956" s="125"/>
      <c r="G956" s="125"/>
      <c r="H956" s="124"/>
      <c r="K956" s="196"/>
    </row>
    <row r="957" spans="2:12" s="120" customFormat="1" ht="14.4" x14ac:dyDescent="0.3">
      <c r="B957" s="126"/>
      <c r="E957" s="125"/>
      <c r="F957" s="125"/>
      <c r="G957" s="125"/>
      <c r="H957" s="124"/>
      <c r="K957" s="196"/>
    </row>
    <row r="958" spans="2:12" s="340" customFormat="1" ht="72" x14ac:dyDescent="0.25">
      <c r="B958" s="341"/>
      <c r="C958" s="342" t="s">
        <v>32</v>
      </c>
      <c r="D958" s="342" t="s">
        <v>925</v>
      </c>
      <c r="E958" s="125" t="s">
        <v>926</v>
      </c>
      <c r="F958" s="430" t="s">
        <v>927</v>
      </c>
      <c r="G958" s="431" t="s">
        <v>928</v>
      </c>
      <c r="H958" s="343" t="s">
        <v>929</v>
      </c>
      <c r="I958" s="344" t="s">
        <v>930</v>
      </c>
      <c r="J958" s="344" t="s">
        <v>931</v>
      </c>
      <c r="K958" s="344" t="s">
        <v>932</v>
      </c>
      <c r="L958" s="431" t="s">
        <v>933</v>
      </c>
    </row>
    <row r="959" spans="2:12" s="120" customFormat="1" ht="14.4" x14ac:dyDescent="0.3">
      <c r="B959" s="336" t="str">
        <f>B950</f>
        <v>L/M of Inground Pipe (Average Depth)</v>
      </c>
      <c r="C959" s="345">
        <v>0.95</v>
      </c>
      <c r="D959" s="345">
        <v>0.6</v>
      </c>
      <c r="E959" s="337">
        <f>C950</f>
        <v>545</v>
      </c>
      <c r="F959" s="432">
        <v>1.3</v>
      </c>
      <c r="G959" s="346">
        <f>C952</f>
        <v>0.1</v>
      </c>
      <c r="H959" s="199">
        <f>(C959*D959*E959)*F959-(C959*D959*E959*G959)</f>
        <v>372.78</v>
      </c>
      <c r="I959" s="347"/>
      <c r="J959" s="347"/>
      <c r="K959" s="348"/>
    </row>
    <row r="960" spans="2:12" s="120" customFormat="1" ht="14.4" x14ac:dyDescent="0.3">
      <c r="B960" s="427" t="str">
        <f>B951</f>
        <v>L/M of Inground Pipe (Deeper Than Average Depth)</v>
      </c>
      <c r="C960" s="345">
        <v>1.1000000000000001</v>
      </c>
      <c r="D960" s="345">
        <v>0.5</v>
      </c>
      <c r="E960" s="337">
        <f>C951</f>
        <v>0</v>
      </c>
      <c r="F960" s="432">
        <v>1.3</v>
      </c>
      <c r="G960" s="345">
        <v>0</v>
      </c>
      <c r="H960" s="199">
        <f>(C960*D960*E960)*F960</f>
        <v>0</v>
      </c>
      <c r="I960" s="347"/>
      <c r="J960" s="347"/>
      <c r="K960" s="348"/>
    </row>
    <row r="961" spans="2:16" s="120" customFormat="1" ht="14.4" x14ac:dyDescent="0.3">
      <c r="B961" s="427" t="s">
        <v>934</v>
      </c>
      <c r="C961" s="345">
        <v>0.35</v>
      </c>
      <c r="D961" s="346">
        <f>D959</f>
        <v>0.6</v>
      </c>
      <c r="E961" s="346">
        <f>E959</f>
        <v>545</v>
      </c>
      <c r="F961" s="432">
        <v>0</v>
      </c>
      <c r="G961" s="346">
        <f>C952</f>
        <v>0.1</v>
      </c>
      <c r="H961" s="199"/>
      <c r="I961" s="199">
        <f>(C961*D961*E961)-(C961*D961*E961*G961)</f>
        <v>103.005</v>
      </c>
      <c r="J961" s="199"/>
      <c r="K961" s="348"/>
    </row>
    <row r="962" spans="2:16" s="120" customFormat="1" ht="14.4" x14ac:dyDescent="0.3">
      <c r="B962" s="427" t="s">
        <v>935</v>
      </c>
      <c r="C962" s="345">
        <v>0.2</v>
      </c>
      <c r="D962" s="346">
        <f>D960</f>
        <v>0.5</v>
      </c>
      <c r="E962" s="349">
        <f>E960</f>
        <v>0</v>
      </c>
      <c r="F962" s="432">
        <v>0</v>
      </c>
      <c r="G962" s="346">
        <f>G960</f>
        <v>0</v>
      </c>
      <c r="H962" s="199"/>
      <c r="I962" s="199">
        <f>(C962*D962*E962)-(C962*D962*E962*G962)</f>
        <v>0</v>
      </c>
      <c r="J962" s="199"/>
      <c r="K962" s="348"/>
    </row>
    <row r="963" spans="2:16" s="120" customFormat="1" ht="14.4" x14ac:dyDescent="0.3">
      <c r="B963" s="427" t="s">
        <v>936</v>
      </c>
      <c r="C963" s="346">
        <f>C959</f>
        <v>0.95</v>
      </c>
      <c r="D963" s="346">
        <f>D959</f>
        <v>0.6</v>
      </c>
      <c r="E963" s="349">
        <f>E959</f>
        <v>545</v>
      </c>
      <c r="F963" s="432">
        <v>1.3</v>
      </c>
      <c r="G963" s="346">
        <f>C952</f>
        <v>0.1</v>
      </c>
      <c r="H963" s="199"/>
      <c r="I963" s="199"/>
      <c r="J963" s="199">
        <f>(C963*D963*E963*F963)-(C963*D963*E963*G963)-I961</f>
        <v>269.77499999999998</v>
      </c>
      <c r="K963" s="348"/>
    </row>
    <row r="964" spans="2:16" s="120" customFormat="1" ht="14.4" x14ac:dyDescent="0.3">
      <c r="B964" s="427" t="s">
        <v>937</v>
      </c>
      <c r="C964" s="346">
        <f>C960</f>
        <v>1.1000000000000001</v>
      </c>
      <c r="D964" s="346">
        <f t="shared" ref="D964:E964" si="25">D960</f>
        <v>0.5</v>
      </c>
      <c r="E964" s="346">
        <f t="shared" si="25"/>
        <v>0</v>
      </c>
      <c r="F964" s="432">
        <v>1.3</v>
      </c>
      <c r="G964" s="346">
        <f>G960</f>
        <v>0</v>
      </c>
      <c r="H964" s="199"/>
      <c r="I964" s="199"/>
      <c r="J964" s="199">
        <f>(C964*D964*E964*F964)-(C964*D964*E964*G964)-I962</f>
        <v>0</v>
      </c>
      <c r="K964" s="348"/>
    </row>
    <row r="965" spans="2:16" s="120" customFormat="1" ht="15" thickBot="1" x14ac:dyDescent="0.35">
      <c r="B965" s="336"/>
      <c r="C965" s="348"/>
      <c r="D965" s="348"/>
      <c r="E965" s="348"/>
      <c r="F965" s="433"/>
      <c r="G965" s="199"/>
      <c r="H965" s="348"/>
      <c r="I965" s="347"/>
      <c r="J965" s="347"/>
      <c r="K965" s="199" t="s">
        <v>938</v>
      </c>
      <c r="L965" s="350" t="s">
        <v>939</v>
      </c>
      <c r="M965" s="350" t="s">
        <v>940</v>
      </c>
    </row>
    <row r="966" spans="2:16" s="120" customFormat="1" ht="15" thickBot="1" x14ac:dyDescent="0.35">
      <c r="B966" s="336"/>
      <c r="C966" s="348"/>
      <c r="D966" s="348"/>
      <c r="E966" s="348"/>
      <c r="F966" s="433"/>
      <c r="G966" s="199"/>
      <c r="H966" s="351">
        <f>SUM(H959:H965)</f>
        <v>372.78</v>
      </c>
      <c r="I966" s="351">
        <f>SUM(I959:I965)</f>
        <v>103.005</v>
      </c>
      <c r="J966" s="351">
        <f>SUM(J959:J965)</f>
        <v>269.77499999999998</v>
      </c>
      <c r="K966" s="352">
        <f>H966-J966</f>
        <v>103.005</v>
      </c>
      <c r="L966" s="353">
        <v>15</v>
      </c>
      <c r="M966" s="354">
        <f>K966*L966</f>
        <v>1545.0749999999998</v>
      </c>
      <c r="O966" s="192"/>
    </row>
    <row r="967" spans="2:16" s="120" customFormat="1" ht="14.4" x14ac:dyDescent="0.3">
      <c r="B967" s="336"/>
      <c r="C967" s="196"/>
      <c r="D967" s="196"/>
      <c r="E967" s="196"/>
      <c r="F967" s="433"/>
      <c r="G967" s="199"/>
      <c r="H967" s="124"/>
      <c r="K967" s="196"/>
      <c r="O967" s="347"/>
    </row>
    <row r="968" spans="2:16" s="120" customFormat="1" ht="14.4" x14ac:dyDescent="0.3">
      <c r="B968" s="336"/>
      <c r="C968" s="196"/>
      <c r="D968" s="196"/>
      <c r="E968" s="196"/>
      <c r="F968" s="433"/>
      <c r="G968" s="199"/>
      <c r="H968" s="124"/>
      <c r="K968" s="196"/>
      <c r="O968" s="347"/>
    </row>
    <row r="969" spans="2:16" s="120" customFormat="1" ht="14.4" x14ac:dyDescent="0.3">
      <c r="B969" s="336"/>
      <c r="C969" s="196"/>
      <c r="D969" s="196"/>
      <c r="E969" s="196"/>
      <c r="F969" s="433"/>
      <c r="G969" s="199"/>
      <c r="H969" s="124"/>
      <c r="K969" s="196"/>
      <c r="O969" s="347"/>
    </row>
    <row r="970" spans="2:16" s="120" customFormat="1" ht="14.4" x14ac:dyDescent="0.3">
      <c r="B970" s="336"/>
      <c r="C970" s="196"/>
      <c r="D970" s="196"/>
      <c r="E970" s="196"/>
      <c r="F970" s="433"/>
      <c r="G970" s="199"/>
      <c r="H970" s="124"/>
      <c r="K970" s="196"/>
      <c r="O970" s="347"/>
    </row>
    <row r="971" spans="2:16" s="120" customFormat="1" ht="7.2" customHeight="1" x14ac:dyDescent="0.3">
      <c r="B971" s="355"/>
      <c r="C971" s="232"/>
      <c r="D971" s="232"/>
      <c r="E971" s="232"/>
      <c r="F971" s="233"/>
      <c r="G971" s="233"/>
      <c r="H971" s="234"/>
      <c r="I971" s="232"/>
      <c r="K971" s="196"/>
    </row>
    <row r="972" spans="2:16" s="120" customFormat="1" ht="14.4" x14ac:dyDescent="0.3">
      <c r="B972" s="126" t="s">
        <v>941</v>
      </c>
      <c r="C972" s="196" t="s">
        <v>942</v>
      </c>
      <c r="D972" s="196" t="s">
        <v>914</v>
      </c>
      <c r="E972" s="125" t="s">
        <v>943</v>
      </c>
      <c r="F972" s="120" t="s">
        <v>911</v>
      </c>
      <c r="G972" s="194" t="s">
        <v>943</v>
      </c>
      <c r="H972" s="200" t="s">
        <v>944</v>
      </c>
      <c r="K972" s="196"/>
    </row>
    <row r="973" spans="2:16" s="120" customFormat="1" ht="14.4" x14ac:dyDescent="0.3">
      <c r="B973" s="336"/>
      <c r="C973" s="196">
        <v>0.1</v>
      </c>
      <c r="D973" s="339"/>
      <c r="E973" s="196">
        <f>D973*C973</f>
        <v>0</v>
      </c>
      <c r="F973" s="433">
        <v>1.1000000000000001</v>
      </c>
      <c r="G973" s="198">
        <f>E973*F973</f>
        <v>0</v>
      </c>
      <c r="H973" s="124">
        <f>G973*E998</f>
        <v>0</v>
      </c>
      <c r="I973" s="195"/>
      <c r="K973" s="196"/>
    </row>
    <row r="974" spans="2:16" s="324" customFormat="1" ht="14.4" x14ac:dyDescent="0.3">
      <c r="C974" s="328"/>
      <c r="D974" s="328"/>
      <c r="E974" s="326"/>
      <c r="F974" s="326"/>
    </row>
    <row r="975" spans="2:16" s="324" customFormat="1" ht="15" thickBot="1" x14ac:dyDescent="0.35">
      <c r="C975" s="328"/>
      <c r="D975" s="328"/>
      <c r="E975" s="326"/>
      <c r="F975" s="326"/>
    </row>
    <row r="976" spans="2:16" s="324" customFormat="1" ht="15" thickBot="1" x14ac:dyDescent="0.35">
      <c r="B976" s="173" t="s">
        <v>945</v>
      </c>
      <c r="C976" s="121"/>
      <c r="D976" s="122"/>
      <c r="E976" s="125"/>
      <c r="F976" s="125"/>
      <c r="G976" s="125"/>
      <c r="H976" s="124"/>
      <c r="I976" s="120"/>
      <c r="J976" s="120"/>
      <c r="K976" s="120"/>
      <c r="L976" s="120"/>
      <c r="M976" s="120"/>
      <c r="N976" s="120"/>
      <c r="O976" s="120"/>
      <c r="P976" s="120"/>
    </row>
    <row r="977" spans="2:18" s="324" customFormat="1" ht="15" thickBot="1" x14ac:dyDescent="0.35">
      <c r="B977" s="192"/>
      <c r="C977" s="120"/>
      <c r="D977" s="120"/>
      <c r="E977" s="125"/>
      <c r="F977" s="125"/>
      <c r="G977" s="125"/>
      <c r="H977" s="124"/>
      <c r="I977" s="120"/>
      <c r="J977" s="120"/>
      <c r="K977" s="120"/>
      <c r="L977" s="120"/>
      <c r="M977" s="342">
        <v>1.4</v>
      </c>
      <c r="N977" s="120"/>
      <c r="O977" s="120"/>
      <c r="P977" s="120"/>
    </row>
    <row r="978" spans="2:18" s="356" customFormat="1" ht="43.8" thickBot="1" x14ac:dyDescent="0.3">
      <c r="B978" s="357" t="s">
        <v>354</v>
      </c>
      <c r="C978" s="350" t="s">
        <v>946</v>
      </c>
      <c r="D978" s="350" t="s">
        <v>102</v>
      </c>
      <c r="E978" s="194" t="s">
        <v>939</v>
      </c>
      <c r="F978" s="194" t="s">
        <v>947</v>
      </c>
      <c r="G978" s="125"/>
      <c r="H978" s="125"/>
      <c r="I978" s="350" t="s">
        <v>938</v>
      </c>
      <c r="J978" s="344" t="s">
        <v>928</v>
      </c>
      <c r="K978" s="350" t="s">
        <v>948</v>
      </c>
      <c r="L978" s="350" t="s">
        <v>940</v>
      </c>
      <c r="M978" s="350" t="s">
        <v>911</v>
      </c>
      <c r="N978" s="358" t="s">
        <v>23</v>
      </c>
      <c r="O978" s="434" t="s">
        <v>949</v>
      </c>
      <c r="P978" s="431" t="s">
        <v>950</v>
      </c>
      <c r="Q978" s="435" t="s">
        <v>951</v>
      </c>
    </row>
    <row r="979" spans="2:18" s="324" customFormat="1" ht="15" thickBot="1" x14ac:dyDescent="0.35">
      <c r="B979" s="120" t="s">
        <v>952</v>
      </c>
      <c r="C979" s="359">
        <v>0.20300000000000001</v>
      </c>
      <c r="D979" s="360" t="s">
        <v>953</v>
      </c>
      <c r="E979" s="361">
        <f>E991</f>
        <v>62</v>
      </c>
      <c r="F979" s="361">
        <f>E979*C979</f>
        <v>12.586</v>
      </c>
      <c r="G979" s="125"/>
      <c r="H979" s="124"/>
      <c r="I979" s="362">
        <f>C979*(C950+C951)</f>
        <v>110.63500000000001</v>
      </c>
      <c r="J979" s="346">
        <f>C952</f>
        <v>0.1</v>
      </c>
      <c r="K979" s="363">
        <f>I979-(I979*J979)</f>
        <v>99.5715</v>
      </c>
      <c r="L979" s="195">
        <f>K979*E979</f>
        <v>6173.433</v>
      </c>
      <c r="M979" s="326">
        <f>(L979*M977)-L979</f>
        <v>2469.3731999999991</v>
      </c>
      <c r="N979" s="364">
        <f>L979*M977</f>
        <v>8642.8061999999991</v>
      </c>
      <c r="O979" s="195">
        <f>N979*E953</f>
        <v>0</v>
      </c>
      <c r="P979" s="120"/>
      <c r="Q979" s="326"/>
      <c r="R979" s="326"/>
    </row>
    <row r="980" spans="2:18" s="324" customFormat="1" ht="14.4" x14ac:dyDescent="0.3">
      <c r="B980" s="120" t="s">
        <v>952</v>
      </c>
      <c r="C980" s="359">
        <v>0.14000000000000001</v>
      </c>
      <c r="D980" s="196" t="s">
        <v>954</v>
      </c>
      <c r="E980" s="125">
        <f>E991</f>
        <v>62</v>
      </c>
      <c r="F980" s="125">
        <f>(E980*C980)*1.95</f>
        <v>16.926000000000002</v>
      </c>
      <c r="G980" s="125"/>
      <c r="H980" s="124"/>
      <c r="I980" s="120"/>
      <c r="J980" s="120"/>
      <c r="L980" s="195"/>
      <c r="N980" s="365"/>
      <c r="O980" s="120"/>
      <c r="P980" s="120"/>
    </row>
    <row r="981" spans="2:18" s="324" customFormat="1" ht="14.4" x14ac:dyDescent="0.3">
      <c r="B981" s="120" t="s">
        <v>955</v>
      </c>
      <c r="C981" s="359">
        <v>0.45</v>
      </c>
      <c r="D981" s="196" t="s">
        <v>953</v>
      </c>
      <c r="E981" s="125">
        <f>E992</f>
        <v>62</v>
      </c>
      <c r="F981" s="125">
        <f>E981*C981</f>
        <v>27.900000000000002</v>
      </c>
      <c r="G981" s="125"/>
      <c r="H981" s="124"/>
      <c r="I981" s="120">
        <v>0</v>
      </c>
      <c r="J981" s="120"/>
      <c r="L981" s="195">
        <f>I981*E981</f>
        <v>0</v>
      </c>
      <c r="N981" s="366">
        <f>L981*$L$289</f>
        <v>0</v>
      </c>
      <c r="O981" s="120"/>
      <c r="P981" s="120"/>
    </row>
    <row r="982" spans="2:18" s="324" customFormat="1" ht="15" thickBot="1" x14ac:dyDescent="0.35">
      <c r="B982" s="120" t="s">
        <v>956</v>
      </c>
      <c r="C982" s="120">
        <v>0</v>
      </c>
      <c r="D982" s="196" t="s">
        <v>953</v>
      </c>
      <c r="E982" s="125">
        <f>E993</f>
        <v>25</v>
      </c>
      <c r="F982" s="125">
        <f t="shared" ref="F982:F987" si="26">E982*C982</f>
        <v>0</v>
      </c>
      <c r="G982" s="125"/>
      <c r="H982" s="124"/>
      <c r="I982" s="120">
        <v>0</v>
      </c>
      <c r="J982" s="120"/>
      <c r="L982" s="195">
        <f>I982*E982</f>
        <v>0</v>
      </c>
      <c r="N982" s="366">
        <f>L982*$L$289</f>
        <v>0</v>
      </c>
      <c r="O982" s="120"/>
      <c r="P982" s="120"/>
    </row>
    <row r="983" spans="2:18" s="324" customFormat="1" ht="15" thickBot="1" x14ac:dyDescent="0.35">
      <c r="B983" s="120" t="s">
        <v>957</v>
      </c>
      <c r="C983" s="359">
        <v>0.22500000000000001</v>
      </c>
      <c r="D983" s="360" t="s">
        <v>953</v>
      </c>
      <c r="E983" s="361">
        <f>E994</f>
        <v>62</v>
      </c>
      <c r="F983" s="361">
        <f t="shared" si="26"/>
        <v>13.950000000000001</v>
      </c>
      <c r="G983" s="125"/>
      <c r="H983" s="124"/>
      <c r="I983" s="362">
        <f>C983*(C950+C951)</f>
        <v>122.625</v>
      </c>
      <c r="J983" s="346">
        <f>C952</f>
        <v>0.1</v>
      </c>
      <c r="K983" s="363">
        <f>I983-(I983*J983)</f>
        <v>110.3625</v>
      </c>
      <c r="L983" s="195">
        <f>K983*E983</f>
        <v>6842.4749999999995</v>
      </c>
      <c r="M983" s="326">
        <f>(L983*M977)-L983</f>
        <v>2736.9899999999989</v>
      </c>
      <c r="N983" s="364">
        <f>L983*M977</f>
        <v>9579.4649999999983</v>
      </c>
      <c r="O983" s="120"/>
      <c r="P983" s="195">
        <f>N983*E954</f>
        <v>0</v>
      </c>
      <c r="Q983" s="326">
        <f>N983*E955</f>
        <v>0</v>
      </c>
    </row>
    <row r="984" spans="2:18" s="324" customFormat="1" ht="14.4" x14ac:dyDescent="0.3">
      <c r="B984" s="120" t="s">
        <v>957</v>
      </c>
      <c r="C984" s="359">
        <v>0.14000000000000001</v>
      </c>
      <c r="D984" s="196" t="s">
        <v>954</v>
      </c>
      <c r="E984" s="125">
        <f>E994</f>
        <v>62</v>
      </c>
      <c r="F984" s="125">
        <f>(E984*C984)*1.5</f>
        <v>13.020000000000003</v>
      </c>
      <c r="G984" s="125"/>
      <c r="H984" s="124"/>
      <c r="I984" s="120"/>
      <c r="J984" s="120"/>
      <c r="L984" s="195"/>
      <c r="N984" s="365"/>
      <c r="O984" s="120"/>
      <c r="P984" s="120"/>
    </row>
    <row r="985" spans="2:18" s="324" customFormat="1" ht="14.4" x14ac:dyDescent="0.3">
      <c r="B985" s="120" t="s">
        <v>958</v>
      </c>
      <c r="C985" s="359">
        <v>0.36</v>
      </c>
      <c r="D985" s="196" t="s">
        <v>953</v>
      </c>
      <c r="E985" s="125">
        <f>F995</f>
        <v>27</v>
      </c>
      <c r="F985" s="125">
        <f t="shared" si="26"/>
        <v>9.7199999999999989</v>
      </c>
      <c r="G985" s="125"/>
      <c r="H985" s="124"/>
      <c r="I985" s="120">
        <f>C949*C985</f>
        <v>0</v>
      </c>
      <c r="J985" s="120"/>
      <c r="L985" s="195">
        <f>I985*E985</f>
        <v>0</v>
      </c>
      <c r="N985" s="366">
        <f>L985*$L$289</f>
        <v>0</v>
      </c>
      <c r="O985" s="120"/>
      <c r="P985" s="120"/>
    </row>
    <row r="986" spans="2:18" s="324" customFormat="1" ht="14.4" x14ac:dyDescent="0.3">
      <c r="B986" s="120" t="s">
        <v>959</v>
      </c>
      <c r="C986" s="359">
        <v>0.36</v>
      </c>
      <c r="D986" s="196" t="s">
        <v>953</v>
      </c>
      <c r="E986" s="125">
        <f>F996</f>
        <v>30</v>
      </c>
      <c r="F986" s="125">
        <f t="shared" si="26"/>
        <v>10.799999999999999</v>
      </c>
      <c r="G986" s="125"/>
      <c r="H986" s="124"/>
      <c r="I986" s="120">
        <f>C986*C949</f>
        <v>0</v>
      </c>
      <c r="J986" s="120"/>
      <c r="L986" s="195">
        <f>I986*E986</f>
        <v>0</v>
      </c>
      <c r="N986" s="366">
        <f>L986*$L$289</f>
        <v>0</v>
      </c>
      <c r="O986" s="120"/>
      <c r="P986" s="120"/>
    </row>
    <row r="987" spans="2:18" s="324" customFormat="1" ht="15" thickBot="1" x14ac:dyDescent="0.35">
      <c r="B987" s="120" t="s">
        <v>960</v>
      </c>
      <c r="C987" s="359">
        <v>0.3</v>
      </c>
      <c r="D987" s="196" t="s">
        <v>954</v>
      </c>
      <c r="E987" s="125">
        <f>N997</f>
        <v>0</v>
      </c>
      <c r="F987" s="125">
        <f t="shared" si="26"/>
        <v>0</v>
      </c>
      <c r="G987" s="125"/>
      <c r="H987" s="124"/>
      <c r="I987" s="120">
        <f>C987*C947</f>
        <v>0</v>
      </c>
      <c r="J987" s="120"/>
      <c r="L987" s="195">
        <f>E987*I987</f>
        <v>0</v>
      </c>
      <c r="N987" s="367">
        <f>L987*$L$289</f>
        <v>0</v>
      </c>
      <c r="O987" s="120"/>
      <c r="P987" s="120"/>
    </row>
    <row r="988" spans="2:18" s="324" customFormat="1" ht="15" thickBot="1" x14ac:dyDescent="0.35">
      <c r="B988" s="120"/>
      <c r="C988" s="120"/>
      <c r="D988" s="196"/>
      <c r="E988" s="368"/>
      <c r="F988" s="368"/>
      <c r="G988" s="125"/>
      <c r="H988" s="124"/>
      <c r="I988" s="120"/>
      <c r="J988" s="120"/>
      <c r="K988" s="120"/>
      <c r="L988" s="120"/>
      <c r="M988" s="120"/>
      <c r="N988" s="120"/>
      <c r="O988" s="120"/>
      <c r="P988" s="120"/>
    </row>
    <row r="989" spans="2:18" s="324" customFormat="1" ht="14.4" x14ac:dyDescent="0.3">
      <c r="B989" s="123"/>
      <c r="C989" s="369"/>
      <c r="D989" s="370"/>
      <c r="E989" s="371" t="s">
        <v>961</v>
      </c>
      <c r="F989" s="372" t="s">
        <v>962</v>
      </c>
      <c r="G989" s="124"/>
      <c r="H989" s="125"/>
      <c r="I989" s="125"/>
      <c r="J989" s="125"/>
      <c r="K989" s="125"/>
      <c r="L989" s="125"/>
      <c r="M989" s="125"/>
      <c r="N989" s="125"/>
      <c r="O989" s="125"/>
    </row>
    <row r="990" spans="2:18" s="324" customFormat="1" ht="15" thickBot="1" x14ac:dyDescent="0.35">
      <c r="B990" s="373" t="s">
        <v>354</v>
      </c>
      <c r="C990" s="374"/>
      <c r="D990" s="375" t="s">
        <v>102</v>
      </c>
      <c r="E990" s="376" t="s">
        <v>939</v>
      </c>
      <c r="F990" s="376" t="s">
        <v>939</v>
      </c>
      <c r="G990" s="377"/>
      <c r="H990" s="125"/>
      <c r="I990" s="124"/>
      <c r="J990" s="125"/>
      <c r="K990" s="124"/>
      <c r="L990" s="125"/>
      <c r="M990" s="124"/>
      <c r="N990" s="125"/>
      <c r="O990" s="124"/>
    </row>
    <row r="991" spans="2:18" s="324" customFormat="1" ht="14.4" x14ac:dyDescent="0.3">
      <c r="B991" s="120" t="s">
        <v>952</v>
      </c>
      <c r="C991" s="196"/>
      <c r="D991" s="378" t="s">
        <v>963</v>
      </c>
      <c r="E991" s="379">
        <v>62</v>
      </c>
      <c r="F991" s="380">
        <v>31</v>
      </c>
      <c r="G991" s="124"/>
      <c r="H991" s="125"/>
      <c r="I991" s="124"/>
      <c r="J991" s="125"/>
      <c r="K991" s="124"/>
      <c r="L991" s="125"/>
      <c r="M991" s="124"/>
      <c r="N991" s="125"/>
      <c r="O991" s="124"/>
    </row>
    <row r="992" spans="2:18" s="324" customFormat="1" ht="14.4" x14ac:dyDescent="0.3">
      <c r="B992" s="120" t="s">
        <v>955</v>
      </c>
      <c r="C992" s="196"/>
      <c r="D992" s="378" t="s">
        <v>963</v>
      </c>
      <c r="E992" s="379">
        <v>62</v>
      </c>
      <c r="F992" s="381">
        <v>39</v>
      </c>
      <c r="G992" s="124"/>
      <c r="H992" s="125"/>
      <c r="I992" s="124"/>
      <c r="J992" s="125"/>
      <c r="K992" s="124"/>
      <c r="L992" s="125"/>
      <c r="M992" s="124"/>
      <c r="N992" s="125"/>
      <c r="O992" s="124"/>
    </row>
    <row r="993" spans="2:15" s="324" customFormat="1" ht="14.4" x14ac:dyDescent="0.3">
      <c r="B993" s="120" t="s">
        <v>956</v>
      </c>
      <c r="C993" s="196"/>
      <c r="D993" s="378" t="s">
        <v>963</v>
      </c>
      <c r="E993" s="382">
        <v>25</v>
      </c>
      <c r="F993" s="381">
        <v>29</v>
      </c>
      <c r="G993" s="124"/>
      <c r="H993" s="125"/>
      <c r="I993" s="124"/>
      <c r="J993" s="436"/>
      <c r="K993" s="124"/>
      <c r="L993" s="125"/>
      <c r="M993" s="124"/>
      <c r="N993" s="125"/>
      <c r="O993" s="124"/>
    </row>
    <row r="994" spans="2:15" s="324" customFormat="1" ht="14.4" x14ac:dyDescent="0.3">
      <c r="B994" s="120" t="s">
        <v>957</v>
      </c>
      <c r="C994" s="196"/>
      <c r="D994" s="378" t="s">
        <v>963</v>
      </c>
      <c r="E994" s="379">
        <v>62</v>
      </c>
      <c r="F994" s="381">
        <v>26</v>
      </c>
      <c r="G994" s="124"/>
      <c r="H994" s="125"/>
      <c r="I994" s="124"/>
      <c r="J994" s="125"/>
      <c r="K994" s="348"/>
      <c r="L994" s="436"/>
      <c r="M994" s="124"/>
      <c r="N994" s="125"/>
      <c r="O994" s="124"/>
    </row>
    <row r="995" spans="2:15" s="324" customFormat="1" ht="14.4" x14ac:dyDescent="0.3">
      <c r="B995" s="120" t="s">
        <v>958</v>
      </c>
      <c r="C995" s="196"/>
      <c r="D995" s="378" t="s">
        <v>963</v>
      </c>
      <c r="E995" s="382">
        <v>48</v>
      </c>
      <c r="F995" s="381">
        <v>27</v>
      </c>
      <c r="G995" s="124"/>
      <c r="H995" s="125"/>
      <c r="I995" s="124"/>
      <c r="J995" s="125"/>
      <c r="K995" s="348"/>
      <c r="L995" s="436"/>
      <c r="M995" s="124"/>
      <c r="N995" s="125"/>
      <c r="O995" s="124"/>
    </row>
    <row r="996" spans="2:15" s="324" customFormat="1" ht="14.4" x14ac:dyDescent="0.3">
      <c r="B996" s="120" t="s">
        <v>959</v>
      </c>
      <c r="C996" s="196"/>
      <c r="D996" s="378" t="s">
        <v>963</v>
      </c>
      <c r="E996" s="382">
        <v>50</v>
      </c>
      <c r="F996" s="381">
        <v>30</v>
      </c>
      <c r="G996" s="124"/>
      <c r="H996" s="125"/>
      <c r="I996" s="124"/>
      <c r="J996" s="125"/>
      <c r="K996" s="348"/>
      <c r="L996" s="436"/>
      <c r="M996" s="124"/>
      <c r="N996" s="125"/>
      <c r="O996" s="124"/>
    </row>
    <row r="997" spans="2:15" s="324" customFormat="1" ht="14.4" x14ac:dyDescent="0.3">
      <c r="B997" s="120" t="s">
        <v>964</v>
      </c>
      <c r="C997" s="196"/>
      <c r="D997" s="378" t="s">
        <v>965</v>
      </c>
      <c r="E997" s="383">
        <v>168</v>
      </c>
      <c r="F997" s="381">
        <v>0</v>
      </c>
      <c r="G997" s="124"/>
      <c r="H997" s="125"/>
      <c r="I997" s="124"/>
      <c r="J997" s="125"/>
      <c r="K997" s="124"/>
      <c r="L997" s="125"/>
      <c r="M997" s="124"/>
      <c r="N997" s="125"/>
      <c r="O997" s="124"/>
    </row>
    <row r="998" spans="2:15" s="324" customFormat="1" ht="15" thickBot="1" x14ac:dyDescent="0.35">
      <c r="B998" s="120" t="s">
        <v>966</v>
      </c>
      <c r="C998" s="348"/>
      <c r="D998" s="378" t="s">
        <v>965</v>
      </c>
      <c r="E998" s="384">
        <v>153</v>
      </c>
      <c r="F998" s="384">
        <v>0</v>
      </c>
      <c r="G998" s="124"/>
      <c r="H998" s="125"/>
      <c r="I998" s="124"/>
      <c r="J998" s="125"/>
      <c r="K998" s="348"/>
      <c r="L998" s="436"/>
      <c r="M998" s="124"/>
      <c r="N998" s="125"/>
      <c r="O998" s="124"/>
    </row>
  </sheetData>
  <mergeCells count="6">
    <mergeCell ref="C937:E939"/>
    <mergeCell ref="A6:F6"/>
    <mergeCell ref="B9:G9"/>
    <mergeCell ref="D14:E14"/>
    <mergeCell ref="J14:P14"/>
    <mergeCell ref="C930:E932"/>
  </mergeCells>
  <printOptions gridLines="1"/>
  <pageMargins left="0.46" right="0.42" top="0.37" bottom="0.4" header="0.39" footer="0.38"/>
  <pageSetup paperSize="8" scale="80" orientation="portrait" horizontalDpi="1200" verticalDpi="1200"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01EF7-D3A1-4AE4-B214-6079B0EADD87}">
  <sheetPr>
    <tabColor theme="7"/>
  </sheetPr>
  <dimension ref="A1:R943"/>
  <sheetViews>
    <sheetView topLeftCell="A882" zoomScale="130" zoomScaleNormal="130" workbookViewId="0">
      <selection activeCell="E862" sqref="E862"/>
    </sheetView>
  </sheetViews>
  <sheetFormatPr defaultColWidth="9.109375" defaultRowHeight="10.199999999999999" x14ac:dyDescent="0.2"/>
  <cols>
    <col min="1" max="1" width="8.109375" style="38" customWidth="1"/>
    <col min="2" max="2" width="78" style="38" customWidth="1"/>
    <col min="3" max="3" width="23.5546875" style="40" customWidth="1"/>
    <col min="4" max="4" width="10.44140625" style="40" customWidth="1"/>
    <col min="5" max="5" width="17.33203125" style="41" customWidth="1"/>
    <col min="6" max="6" width="14.109375" style="41" customWidth="1"/>
    <col min="7" max="237" width="9.109375" style="38"/>
    <col min="238" max="238" width="8.109375" style="38" customWidth="1"/>
    <col min="239" max="239" width="70.44140625" style="38" bestFit="1" customWidth="1"/>
    <col min="240" max="240" width="11.44140625" style="38" customWidth="1"/>
    <col min="241" max="241" width="10.44140625" style="38" customWidth="1"/>
    <col min="242" max="242" width="13.109375" style="38" customWidth="1"/>
    <col min="243" max="243" width="14.109375" style="38" customWidth="1"/>
    <col min="244" max="244" width="12.33203125" style="38" customWidth="1"/>
    <col min="245" max="493" width="9.109375" style="38"/>
    <col min="494" max="494" width="8.109375" style="38" customWidth="1"/>
    <col min="495" max="495" width="70.44140625" style="38" bestFit="1" customWidth="1"/>
    <col min="496" max="496" width="11.44140625" style="38" customWidth="1"/>
    <col min="497" max="497" width="10.44140625" style="38" customWidth="1"/>
    <col min="498" max="498" width="13.109375" style="38" customWidth="1"/>
    <col min="499" max="499" width="14.109375" style="38" customWidth="1"/>
    <col min="500" max="500" width="12.33203125" style="38" customWidth="1"/>
    <col min="501" max="749" width="9.109375" style="38"/>
    <col min="750" max="750" width="8.109375" style="38" customWidth="1"/>
    <col min="751" max="751" width="70.44140625" style="38" bestFit="1" customWidth="1"/>
    <col min="752" max="752" width="11.44140625" style="38" customWidth="1"/>
    <col min="753" max="753" width="10.44140625" style="38" customWidth="1"/>
    <col min="754" max="754" width="13.109375" style="38" customWidth="1"/>
    <col min="755" max="755" width="14.109375" style="38" customWidth="1"/>
    <col min="756" max="756" width="12.33203125" style="38" customWidth="1"/>
    <col min="757" max="1005" width="9.109375" style="38"/>
    <col min="1006" max="1006" width="8.109375" style="38" customWidth="1"/>
    <col min="1007" max="1007" width="70.44140625" style="38" bestFit="1" customWidth="1"/>
    <col min="1008" max="1008" width="11.44140625" style="38" customWidth="1"/>
    <col min="1009" max="1009" width="10.44140625" style="38" customWidth="1"/>
    <col min="1010" max="1010" width="13.109375" style="38" customWidth="1"/>
    <col min="1011" max="1011" width="14.109375" style="38" customWidth="1"/>
    <col min="1012" max="1012" width="12.33203125" style="38" customWidth="1"/>
    <col min="1013" max="1261" width="9.109375" style="38"/>
    <col min="1262" max="1262" width="8.109375" style="38" customWidth="1"/>
    <col min="1263" max="1263" width="70.44140625" style="38" bestFit="1" customWidth="1"/>
    <col min="1264" max="1264" width="11.44140625" style="38" customWidth="1"/>
    <col min="1265" max="1265" width="10.44140625" style="38" customWidth="1"/>
    <col min="1266" max="1266" width="13.109375" style="38" customWidth="1"/>
    <col min="1267" max="1267" width="14.109375" style="38" customWidth="1"/>
    <col min="1268" max="1268" width="12.33203125" style="38" customWidth="1"/>
    <col min="1269" max="1517" width="9.109375" style="38"/>
    <col min="1518" max="1518" width="8.109375" style="38" customWidth="1"/>
    <col min="1519" max="1519" width="70.44140625" style="38" bestFit="1" customWidth="1"/>
    <col min="1520" max="1520" width="11.44140625" style="38" customWidth="1"/>
    <col min="1521" max="1521" width="10.44140625" style="38" customWidth="1"/>
    <col min="1522" max="1522" width="13.109375" style="38" customWidth="1"/>
    <col min="1523" max="1523" width="14.109375" style="38" customWidth="1"/>
    <col min="1524" max="1524" width="12.33203125" style="38" customWidth="1"/>
    <col min="1525" max="1773" width="9.109375" style="38"/>
    <col min="1774" max="1774" width="8.109375" style="38" customWidth="1"/>
    <col min="1775" max="1775" width="70.44140625" style="38" bestFit="1" customWidth="1"/>
    <col min="1776" max="1776" width="11.44140625" style="38" customWidth="1"/>
    <col min="1777" max="1777" width="10.44140625" style="38" customWidth="1"/>
    <col min="1778" max="1778" width="13.109375" style="38" customWidth="1"/>
    <col min="1779" max="1779" width="14.109375" style="38" customWidth="1"/>
    <col min="1780" max="1780" width="12.33203125" style="38" customWidth="1"/>
    <col min="1781" max="2029" width="9.109375" style="38"/>
    <col min="2030" max="2030" width="8.109375" style="38" customWidth="1"/>
    <col min="2031" max="2031" width="70.44140625" style="38" bestFit="1" customWidth="1"/>
    <col min="2032" max="2032" width="11.44140625" style="38" customWidth="1"/>
    <col min="2033" max="2033" width="10.44140625" style="38" customWidth="1"/>
    <col min="2034" max="2034" width="13.109375" style="38" customWidth="1"/>
    <col min="2035" max="2035" width="14.109375" style="38" customWidth="1"/>
    <col min="2036" max="2036" width="12.33203125" style="38" customWidth="1"/>
    <col min="2037" max="2285" width="9.109375" style="38"/>
    <col min="2286" max="2286" width="8.109375" style="38" customWidth="1"/>
    <col min="2287" max="2287" width="70.44140625" style="38" bestFit="1" customWidth="1"/>
    <col min="2288" max="2288" width="11.44140625" style="38" customWidth="1"/>
    <col min="2289" max="2289" width="10.44140625" style="38" customWidth="1"/>
    <col min="2290" max="2290" width="13.109375" style="38" customWidth="1"/>
    <col min="2291" max="2291" width="14.109375" style="38" customWidth="1"/>
    <col min="2292" max="2292" width="12.33203125" style="38" customWidth="1"/>
    <col min="2293" max="2541" width="9.109375" style="38"/>
    <col min="2542" max="2542" width="8.109375" style="38" customWidth="1"/>
    <col min="2543" max="2543" width="70.44140625" style="38" bestFit="1" customWidth="1"/>
    <col min="2544" max="2544" width="11.44140625" style="38" customWidth="1"/>
    <col min="2545" max="2545" width="10.44140625" style="38" customWidth="1"/>
    <col min="2546" max="2546" width="13.109375" style="38" customWidth="1"/>
    <col min="2547" max="2547" width="14.109375" style="38" customWidth="1"/>
    <col min="2548" max="2548" width="12.33203125" style="38" customWidth="1"/>
    <col min="2549" max="2797" width="9.109375" style="38"/>
    <col min="2798" max="2798" width="8.109375" style="38" customWidth="1"/>
    <col min="2799" max="2799" width="70.44140625" style="38" bestFit="1" customWidth="1"/>
    <col min="2800" max="2800" width="11.44140625" style="38" customWidth="1"/>
    <col min="2801" max="2801" width="10.44140625" style="38" customWidth="1"/>
    <col min="2802" max="2802" width="13.109375" style="38" customWidth="1"/>
    <col min="2803" max="2803" width="14.109375" style="38" customWidth="1"/>
    <col min="2804" max="2804" width="12.33203125" style="38" customWidth="1"/>
    <col min="2805" max="3053" width="9.109375" style="38"/>
    <col min="3054" max="3054" width="8.109375" style="38" customWidth="1"/>
    <col min="3055" max="3055" width="70.44140625" style="38" bestFit="1" customWidth="1"/>
    <col min="3056" max="3056" width="11.44140625" style="38" customWidth="1"/>
    <col min="3057" max="3057" width="10.44140625" style="38" customWidth="1"/>
    <col min="3058" max="3058" width="13.109375" style="38" customWidth="1"/>
    <col min="3059" max="3059" width="14.109375" style="38" customWidth="1"/>
    <col min="3060" max="3060" width="12.33203125" style="38" customWidth="1"/>
    <col min="3061" max="3309" width="9.109375" style="38"/>
    <col min="3310" max="3310" width="8.109375" style="38" customWidth="1"/>
    <col min="3311" max="3311" width="70.44140625" style="38" bestFit="1" customWidth="1"/>
    <col min="3312" max="3312" width="11.44140625" style="38" customWidth="1"/>
    <col min="3313" max="3313" width="10.44140625" style="38" customWidth="1"/>
    <col min="3314" max="3314" width="13.109375" style="38" customWidth="1"/>
    <col min="3315" max="3315" width="14.109375" style="38" customWidth="1"/>
    <col min="3316" max="3316" width="12.33203125" style="38" customWidth="1"/>
    <col min="3317" max="3565" width="9.109375" style="38"/>
    <col min="3566" max="3566" width="8.109375" style="38" customWidth="1"/>
    <col min="3567" max="3567" width="70.44140625" style="38" bestFit="1" customWidth="1"/>
    <col min="3568" max="3568" width="11.44140625" style="38" customWidth="1"/>
    <col min="3569" max="3569" width="10.44140625" style="38" customWidth="1"/>
    <col min="3570" max="3570" width="13.109375" style="38" customWidth="1"/>
    <col min="3571" max="3571" width="14.109375" style="38" customWidth="1"/>
    <col min="3572" max="3572" width="12.33203125" style="38" customWidth="1"/>
    <col min="3573" max="3821" width="9.109375" style="38"/>
    <col min="3822" max="3822" width="8.109375" style="38" customWidth="1"/>
    <col min="3823" max="3823" width="70.44140625" style="38" bestFit="1" customWidth="1"/>
    <col min="3824" max="3824" width="11.44140625" style="38" customWidth="1"/>
    <col min="3825" max="3825" width="10.44140625" style="38" customWidth="1"/>
    <col min="3826" max="3826" width="13.109375" style="38" customWidth="1"/>
    <col min="3827" max="3827" width="14.109375" style="38" customWidth="1"/>
    <col min="3828" max="3828" width="12.33203125" style="38" customWidth="1"/>
    <col min="3829" max="4077" width="9.109375" style="38"/>
    <col min="4078" max="4078" width="8.109375" style="38" customWidth="1"/>
    <col min="4079" max="4079" width="70.44140625" style="38" bestFit="1" customWidth="1"/>
    <col min="4080" max="4080" width="11.44140625" style="38" customWidth="1"/>
    <col min="4081" max="4081" width="10.44140625" style="38" customWidth="1"/>
    <col min="4082" max="4082" width="13.109375" style="38" customWidth="1"/>
    <col min="4083" max="4083" width="14.109375" style="38" customWidth="1"/>
    <col min="4084" max="4084" width="12.33203125" style="38" customWidth="1"/>
    <col min="4085" max="4333" width="9.109375" style="38"/>
    <col min="4334" max="4334" width="8.109375" style="38" customWidth="1"/>
    <col min="4335" max="4335" width="70.44140625" style="38" bestFit="1" customWidth="1"/>
    <col min="4336" max="4336" width="11.44140625" style="38" customWidth="1"/>
    <col min="4337" max="4337" width="10.44140625" style="38" customWidth="1"/>
    <col min="4338" max="4338" width="13.109375" style="38" customWidth="1"/>
    <col min="4339" max="4339" width="14.109375" style="38" customWidth="1"/>
    <col min="4340" max="4340" width="12.33203125" style="38" customWidth="1"/>
    <col min="4341" max="4589" width="9.109375" style="38"/>
    <col min="4590" max="4590" width="8.109375" style="38" customWidth="1"/>
    <col min="4591" max="4591" width="70.44140625" style="38" bestFit="1" customWidth="1"/>
    <col min="4592" max="4592" width="11.44140625" style="38" customWidth="1"/>
    <col min="4593" max="4593" width="10.44140625" style="38" customWidth="1"/>
    <col min="4594" max="4594" width="13.109375" style="38" customWidth="1"/>
    <col min="4595" max="4595" width="14.109375" style="38" customWidth="1"/>
    <col min="4596" max="4596" width="12.33203125" style="38" customWidth="1"/>
    <col min="4597" max="4845" width="9.109375" style="38"/>
    <col min="4846" max="4846" width="8.109375" style="38" customWidth="1"/>
    <col min="4847" max="4847" width="70.44140625" style="38" bestFit="1" customWidth="1"/>
    <col min="4848" max="4848" width="11.44140625" style="38" customWidth="1"/>
    <col min="4849" max="4849" width="10.44140625" style="38" customWidth="1"/>
    <col min="4850" max="4850" width="13.109375" style="38" customWidth="1"/>
    <col min="4851" max="4851" width="14.109375" style="38" customWidth="1"/>
    <col min="4852" max="4852" width="12.33203125" style="38" customWidth="1"/>
    <col min="4853" max="5101" width="9.109375" style="38"/>
    <col min="5102" max="5102" width="8.109375" style="38" customWidth="1"/>
    <col min="5103" max="5103" width="70.44140625" style="38" bestFit="1" customWidth="1"/>
    <col min="5104" max="5104" width="11.44140625" style="38" customWidth="1"/>
    <col min="5105" max="5105" width="10.44140625" style="38" customWidth="1"/>
    <col min="5106" max="5106" width="13.109375" style="38" customWidth="1"/>
    <col min="5107" max="5107" width="14.109375" style="38" customWidth="1"/>
    <col min="5108" max="5108" width="12.33203125" style="38" customWidth="1"/>
    <col min="5109" max="5357" width="9.109375" style="38"/>
    <col min="5358" max="5358" width="8.109375" style="38" customWidth="1"/>
    <col min="5359" max="5359" width="70.44140625" style="38" bestFit="1" customWidth="1"/>
    <col min="5360" max="5360" width="11.44140625" style="38" customWidth="1"/>
    <col min="5361" max="5361" width="10.44140625" style="38" customWidth="1"/>
    <col min="5362" max="5362" width="13.109375" style="38" customWidth="1"/>
    <col min="5363" max="5363" width="14.109375" style="38" customWidth="1"/>
    <col min="5364" max="5364" width="12.33203125" style="38" customWidth="1"/>
    <col min="5365" max="5613" width="9.109375" style="38"/>
    <col min="5614" max="5614" width="8.109375" style="38" customWidth="1"/>
    <col min="5615" max="5615" width="70.44140625" style="38" bestFit="1" customWidth="1"/>
    <col min="5616" max="5616" width="11.44140625" style="38" customWidth="1"/>
    <col min="5617" max="5617" width="10.44140625" style="38" customWidth="1"/>
    <col min="5618" max="5618" width="13.109375" style="38" customWidth="1"/>
    <col min="5619" max="5619" width="14.109375" style="38" customWidth="1"/>
    <col min="5620" max="5620" width="12.33203125" style="38" customWidth="1"/>
    <col min="5621" max="5869" width="9.109375" style="38"/>
    <col min="5870" max="5870" width="8.109375" style="38" customWidth="1"/>
    <col min="5871" max="5871" width="70.44140625" style="38" bestFit="1" customWidth="1"/>
    <col min="5872" max="5872" width="11.44140625" style="38" customWidth="1"/>
    <col min="5873" max="5873" width="10.44140625" style="38" customWidth="1"/>
    <col min="5874" max="5874" width="13.109375" style="38" customWidth="1"/>
    <col min="5875" max="5875" width="14.109375" style="38" customWidth="1"/>
    <col min="5876" max="5876" width="12.33203125" style="38" customWidth="1"/>
    <col min="5877" max="6125" width="9.109375" style="38"/>
    <col min="6126" max="6126" width="8.109375" style="38" customWidth="1"/>
    <col min="6127" max="6127" width="70.44140625" style="38" bestFit="1" customWidth="1"/>
    <col min="6128" max="6128" width="11.44140625" style="38" customWidth="1"/>
    <col min="6129" max="6129" width="10.44140625" style="38" customWidth="1"/>
    <col min="6130" max="6130" width="13.109375" style="38" customWidth="1"/>
    <col min="6131" max="6131" width="14.109375" style="38" customWidth="1"/>
    <col min="6132" max="6132" width="12.33203125" style="38" customWidth="1"/>
    <col min="6133" max="6381" width="9.109375" style="38"/>
    <col min="6382" max="6382" width="8.109375" style="38" customWidth="1"/>
    <col min="6383" max="6383" width="70.44140625" style="38" bestFit="1" customWidth="1"/>
    <col min="6384" max="6384" width="11.44140625" style="38" customWidth="1"/>
    <col min="6385" max="6385" width="10.44140625" style="38" customWidth="1"/>
    <col min="6386" max="6386" width="13.109375" style="38" customWidth="1"/>
    <col min="6387" max="6387" width="14.109375" style="38" customWidth="1"/>
    <col min="6388" max="6388" width="12.33203125" style="38" customWidth="1"/>
    <col min="6389" max="6637" width="9.109375" style="38"/>
    <col min="6638" max="6638" width="8.109375" style="38" customWidth="1"/>
    <col min="6639" max="6639" width="70.44140625" style="38" bestFit="1" customWidth="1"/>
    <col min="6640" max="6640" width="11.44140625" style="38" customWidth="1"/>
    <col min="6641" max="6641" width="10.44140625" style="38" customWidth="1"/>
    <col min="6642" max="6642" width="13.109375" style="38" customWidth="1"/>
    <col min="6643" max="6643" width="14.109375" style="38" customWidth="1"/>
    <col min="6644" max="6644" width="12.33203125" style="38" customWidth="1"/>
    <col min="6645" max="6893" width="9.109375" style="38"/>
    <col min="6894" max="6894" width="8.109375" style="38" customWidth="1"/>
    <col min="6895" max="6895" width="70.44140625" style="38" bestFit="1" customWidth="1"/>
    <col min="6896" max="6896" width="11.44140625" style="38" customWidth="1"/>
    <col min="6897" max="6897" width="10.44140625" style="38" customWidth="1"/>
    <col min="6898" max="6898" width="13.109375" style="38" customWidth="1"/>
    <col min="6899" max="6899" width="14.109375" style="38" customWidth="1"/>
    <col min="6900" max="6900" width="12.33203125" style="38" customWidth="1"/>
    <col min="6901" max="7149" width="9.109375" style="38"/>
    <col min="7150" max="7150" width="8.109375" style="38" customWidth="1"/>
    <col min="7151" max="7151" width="70.44140625" style="38" bestFit="1" customWidth="1"/>
    <col min="7152" max="7152" width="11.44140625" style="38" customWidth="1"/>
    <col min="7153" max="7153" width="10.44140625" style="38" customWidth="1"/>
    <col min="7154" max="7154" width="13.109375" style="38" customWidth="1"/>
    <col min="7155" max="7155" width="14.109375" style="38" customWidth="1"/>
    <col min="7156" max="7156" width="12.33203125" style="38" customWidth="1"/>
    <col min="7157" max="7405" width="9.109375" style="38"/>
    <col min="7406" max="7406" width="8.109375" style="38" customWidth="1"/>
    <col min="7407" max="7407" width="70.44140625" style="38" bestFit="1" customWidth="1"/>
    <col min="7408" max="7408" width="11.44140625" style="38" customWidth="1"/>
    <col min="7409" max="7409" width="10.44140625" style="38" customWidth="1"/>
    <col min="7410" max="7410" width="13.109375" style="38" customWidth="1"/>
    <col min="7411" max="7411" width="14.109375" style="38" customWidth="1"/>
    <col min="7412" max="7412" width="12.33203125" style="38" customWidth="1"/>
    <col min="7413" max="7661" width="9.109375" style="38"/>
    <col min="7662" max="7662" width="8.109375" style="38" customWidth="1"/>
    <col min="7663" max="7663" width="70.44140625" style="38" bestFit="1" customWidth="1"/>
    <col min="7664" max="7664" width="11.44140625" style="38" customWidth="1"/>
    <col min="7665" max="7665" width="10.44140625" style="38" customWidth="1"/>
    <col min="7666" max="7666" width="13.109375" style="38" customWidth="1"/>
    <col min="7667" max="7667" width="14.109375" style="38" customWidth="1"/>
    <col min="7668" max="7668" width="12.33203125" style="38" customWidth="1"/>
    <col min="7669" max="7917" width="9.109375" style="38"/>
    <col min="7918" max="7918" width="8.109375" style="38" customWidth="1"/>
    <col min="7919" max="7919" width="70.44140625" style="38" bestFit="1" customWidth="1"/>
    <col min="7920" max="7920" width="11.44140625" style="38" customWidth="1"/>
    <col min="7921" max="7921" width="10.44140625" style="38" customWidth="1"/>
    <col min="7922" max="7922" width="13.109375" style="38" customWidth="1"/>
    <col min="7923" max="7923" width="14.109375" style="38" customWidth="1"/>
    <col min="7924" max="7924" width="12.33203125" style="38" customWidth="1"/>
    <col min="7925" max="8173" width="9.109375" style="38"/>
    <col min="8174" max="8174" width="8.109375" style="38" customWidth="1"/>
    <col min="8175" max="8175" width="70.44140625" style="38" bestFit="1" customWidth="1"/>
    <col min="8176" max="8176" width="11.44140625" style="38" customWidth="1"/>
    <col min="8177" max="8177" width="10.44140625" style="38" customWidth="1"/>
    <col min="8178" max="8178" width="13.109375" style="38" customWidth="1"/>
    <col min="8179" max="8179" width="14.109375" style="38" customWidth="1"/>
    <col min="8180" max="8180" width="12.33203125" style="38" customWidth="1"/>
    <col min="8181" max="8429" width="9.109375" style="38"/>
    <col min="8430" max="8430" width="8.109375" style="38" customWidth="1"/>
    <col min="8431" max="8431" width="70.44140625" style="38" bestFit="1" customWidth="1"/>
    <col min="8432" max="8432" width="11.44140625" style="38" customWidth="1"/>
    <col min="8433" max="8433" width="10.44140625" style="38" customWidth="1"/>
    <col min="8434" max="8434" width="13.109375" style="38" customWidth="1"/>
    <col min="8435" max="8435" width="14.109375" style="38" customWidth="1"/>
    <col min="8436" max="8436" width="12.33203125" style="38" customWidth="1"/>
    <col min="8437" max="8685" width="9.109375" style="38"/>
    <col min="8686" max="8686" width="8.109375" style="38" customWidth="1"/>
    <col min="8687" max="8687" width="70.44140625" style="38" bestFit="1" customWidth="1"/>
    <col min="8688" max="8688" width="11.44140625" style="38" customWidth="1"/>
    <col min="8689" max="8689" width="10.44140625" style="38" customWidth="1"/>
    <col min="8690" max="8690" width="13.109375" style="38" customWidth="1"/>
    <col min="8691" max="8691" width="14.109375" style="38" customWidth="1"/>
    <col min="8692" max="8692" width="12.33203125" style="38" customWidth="1"/>
    <col min="8693" max="8941" width="9.109375" style="38"/>
    <col min="8942" max="8942" width="8.109375" style="38" customWidth="1"/>
    <col min="8943" max="8943" width="70.44140625" style="38" bestFit="1" customWidth="1"/>
    <col min="8944" max="8944" width="11.44140625" style="38" customWidth="1"/>
    <col min="8945" max="8945" width="10.44140625" style="38" customWidth="1"/>
    <col min="8946" max="8946" width="13.109375" style="38" customWidth="1"/>
    <col min="8947" max="8947" width="14.109375" style="38" customWidth="1"/>
    <col min="8948" max="8948" width="12.33203125" style="38" customWidth="1"/>
    <col min="8949" max="9197" width="9.109375" style="38"/>
    <col min="9198" max="9198" width="8.109375" style="38" customWidth="1"/>
    <col min="9199" max="9199" width="70.44140625" style="38" bestFit="1" customWidth="1"/>
    <col min="9200" max="9200" width="11.44140625" style="38" customWidth="1"/>
    <col min="9201" max="9201" width="10.44140625" style="38" customWidth="1"/>
    <col min="9202" max="9202" width="13.109375" style="38" customWidth="1"/>
    <col min="9203" max="9203" width="14.109375" style="38" customWidth="1"/>
    <col min="9204" max="9204" width="12.33203125" style="38" customWidth="1"/>
    <col min="9205" max="9453" width="9.109375" style="38"/>
    <col min="9454" max="9454" width="8.109375" style="38" customWidth="1"/>
    <col min="9455" max="9455" width="70.44140625" style="38" bestFit="1" customWidth="1"/>
    <col min="9456" max="9456" width="11.44140625" style="38" customWidth="1"/>
    <col min="9457" max="9457" width="10.44140625" style="38" customWidth="1"/>
    <col min="9458" max="9458" width="13.109375" style="38" customWidth="1"/>
    <col min="9459" max="9459" width="14.109375" style="38" customWidth="1"/>
    <col min="9460" max="9460" width="12.33203125" style="38" customWidth="1"/>
    <col min="9461" max="9709" width="9.109375" style="38"/>
    <col min="9710" max="9710" width="8.109375" style="38" customWidth="1"/>
    <col min="9711" max="9711" width="70.44140625" style="38" bestFit="1" customWidth="1"/>
    <col min="9712" max="9712" width="11.44140625" style="38" customWidth="1"/>
    <col min="9713" max="9713" width="10.44140625" style="38" customWidth="1"/>
    <col min="9714" max="9714" width="13.109375" style="38" customWidth="1"/>
    <col min="9715" max="9715" width="14.109375" style="38" customWidth="1"/>
    <col min="9716" max="9716" width="12.33203125" style="38" customWidth="1"/>
    <col min="9717" max="9965" width="9.109375" style="38"/>
    <col min="9966" max="9966" width="8.109375" style="38" customWidth="1"/>
    <col min="9967" max="9967" width="70.44140625" style="38" bestFit="1" customWidth="1"/>
    <col min="9968" max="9968" width="11.44140625" style="38" customWidth="1"/>
    <col min="9969" max="9969" width="10.44140625" style="38" customWidth="1"/>
    <col min="9970" max="9970" width="13.109375" style="38" customWidth="1"/>
    <col min="9971" max="9971" width="14.109375" style="38" customWidth="1"/>
    <col min="9972" max="9972" width="12.33203125" style="38" customWidth="1"/>
    <col min="9973" max="10221" width="9.109375" style="38"/>
    <col min="10222" max="10222" width="8.109375" style="38" customWidth="1"/>
    <col min="10223" max="10223" width="70.44140625" style="38" bestFit="1" customWidth="1"/>
    <col min="10224" max="10224" width="11.44140625" style="38" customWidth="1"/>
    <col min="10225" max="10225" width="10.44140625" style="38" customWidth="1"/>
    <col min="10226" max="10226" width="13.109375" style="38" customWidth="1"/>
    <col min="10227" max="10227" width="14.109375" style="38" customWidth="1"/>
    <col min="10228" max="10228" width="12.33203125" style="38" customWidth="1"/>
    <col min="10229" max="10477" width="9.109375" style="38"/>
    <col min="10478" max="10478" width="8.109375" style="38" customWidth="1"/>
    <col min="10479" max="10479" width="70.44140625" style="38" bestFit="1" customWidth="1"/>
    <col min="10480" max="10480" width="11.44140625" style="38" customWidth="1"/>
    <col min="10481" max="10481" width="10.44140625" style="38" customWidth="1"/>
    <col min="10482" max="10482" width="13.109375" style="38" customWidth="1"/>
    <col min="10483" max="10483" width="14.109375" style="38" customWidth="1"/>
    <col min="10484" max="10484" width="12.33203125" style="38" customWidth="1"/>
    <col min="10485" max="10733" width="9.109375" style="38"/>
    <col min="10734" max="10734" width="8.109375" style="38" customWidth="1"/>
    <col min="10735" max="10735" width="70.44140625" style="38" bestFit="1" customWidth="1"/>
    <col min="10736" max="10736" width="11.44140625" style="38" customWidth="1"/>
    <col min="10737" max="10737" width="10.44140625" style="38" customWidth="1"/>
    <col min="10738" max="10738" width="13.109375" style="38" customWidth="1"/>
    <col min="10739" max="10739" width="14.109375" style="38" customWidth="1"/>
    <col min="10740" max="10740" width="12.33203125" style="38" customWidth="1"/>
    <col min="10741" max="10989" width="9.109375" style="38"/>
    <col min="10990" max="10990" width="8.109375" style="38" customWidth="1"/>
    <col min="10991" max="10991" width="70.44140625" style="38" bestFit="1" customWidth="1"/>
    <col min="10992" max="10992" width="11.44140625" style="38" customWidth="1"/>
    <col min="10993" max="10993" width="10.44140625" style="38" customWidth="1"/>
    <col min="10994" max="10994" width="13.109375" style="38" customWidth="1"/>
    <col min="10995" max="10995" width="14.109375" style="38" customWidth="1"/>
    <col min="10996" max="10996" width="12.33203125" style="38" customWidth="1"/>
    <col min="10997" max="11245" width="9.109375" style="38"/>
    <col min="11246" max="11246" width="8.109375" style="38" customWidth="1"/>
    <col min="11247" max="11247" width="70.44140625" style="38" bestFit="1" customWidth="1"/>
    <col min="11248" max="11248" width="11.44140625" style="38" customWidth="1"/>
    <col min="11249" max="11249" width="10.44140625" style="38" customWidth="1"/>
    <col min="11250" max="11250" width="13.109375" style="38" customWidth="1"/>
    <col min="11251" max="11251" width="14.109375" style="38" customWidth="1"/>
    <col min="11252" max="11252" width="12.33203125" style="38" customWidth="1"/>
    <col min="11253" max="11501" width="9.109375" style="38"/>
    <col min="11502" max="11502" width="8.109375" style="38" customWidth="1"/>
    <col min="11503" max="11503" width="70.44140625" style="38" bestFit="1" customWidth="1"/>
    <col min="11504" max="11504" width="11.44140625" style="38" customWidth="1"/>
    <col min="11505" max="11505" width="10.44140625" style="38" customWidth="1"/>
    <col min="11506" max="11506" width="13.109375" style="38" customWidth="1"/>
    <col min="11507" max="11507" width="14.109375" style="38" customWidth="1"/>
    <col min="11508" max="11508" width="12.33203125" style="38" customWidth="1"/>
    <col min="11509" max="11757" width="9.109375" style="38"/>
    <col min="11758" max="11758" width="8.109375" style="38" customWidth="1"/>
    <col min="11759" max="11759" width="70.44140625" style="38" bestFit="1" customWidth="1"/>
    <col min="11760" max="11760" width="11.44140625" style="38" customWidth="1"/>
    <col min="11761" max="11761" width="10.44140625" style="38" customWidth="1"/>
    <col min="11762" max="11762" width="13.109375" style="38" customWidth="1"/>
    <col min="11763" max="11763" width="14.109375" style="38" customWidth="1"/>
    <col min="11764" max="11764" width="12.33203125" style="38" customWidth="1"/>
    <col min="11765" max="12013" width="9.109375" style="38"/>
    <col min="12014" max="12014" width="8.109375" style="38" customWidth="1"/>
    <col min="12015" max="12015" width="70.44140625" style="38" bestFit="1" customWidth="1"/>
    <col min="12016" max="12016" width="11.44140625" style="38" customWidth="1"/>
    <col min="12017" max="12017" width="10.44140625" style="38" customWidth="1"/>
    <col min="12018" max="12018" width="13.109375" style="38" customWidth="1"/>
    <col min="12019" max="12019" width="14.109375" style="38" customWidth="1"/>
    <col min="12020" max="12020" width="12.33203125" style="38" customWidth="1"/>
    <col min="12021" max="12269" width="9.109375" style="38"/>
    <col min="12270" max="12270" width="8.109375" style="38" customWidth="1"/>
    <col min="12271" max="12271" width="70.44140625" style="38" bestFit="1" customWidth="1"/>
    <col min="12272" max="12272" width="11.44140625" style="38" customWidth="1"/>
    <col min="12273" max="12273" width="10.44140625" style="38" customWidth="1"/>
    <col min="12274" max="12274" width="13.109375" style="38" customWidth="1"/>
    <col min="12275" max="12275" width="14.109375" style="38" customWidth="1"/>
    <col min="12276" max="12276" width="12.33203125" style="38" customWidth="1"/>
    <col min="12277" max="12525" width="9.109375" style="38"/>
    <col min="12526" max="12526" width="8.109375" style="38" customWidth="1"/>
    <col min="12527" max="12527" width="70.44140625" style="38" bestFit="1" customWidth="1"/>
    <col min="12528" max="12528" width="11.44140625" style="38" customWidth="1"/>
    <col min="12529" max="12529" width="10.44140625" style="38" customWidth="1"/>
    <col min="12530" max="12530" width="13.109375" style="38" customWidth="1"/>
    <col min="12531" max="12531" width="14.109375" style="38" customWidth="1"/>
    <col min="12532" max="12532" width="12.33203125" style="38" customWidth="1"/>
    <col min="12533" max="12781" width="9.109375" style="38"/>
    <col min="12782" max="12782" width="8.109375" style="38" customWidth="1"/>
    <col min="12783" max="12783" width="70.44140625" style="38" bestFit="1" customWidth="1"/>
    <col min="12784" max="12784" width="11.44140625" style="38" customWidth="1"/>
    <col min="12785" max="12785" width="10.44140625" style="38" customWidth="1"/>
    <col min="12786" max="12786" width="13.109375" style="38" customWidth="1"/>
    <col min="12787" max="12787" width="14.109375" style="38" customWidth="1"/>
    <col min="12788" max="12788" width="12.33203125" style="38" customWidth="1"/>
    <col min="12789" max="13037" width="9.109375" style="38"/>
    <col min="13038" max="13038" width="8.109375" style="38" customWidth="1"/>
    <col min="13039" max="13039" width="70.44140625" style="38" bestFit="1" customWidth="1"/>
    <col min="13040" max="13040" width="11.44140625" style="38" customWidth="1"/>
    <col min="13041" max="13041" width="10.44140625" style="38" customWidth="1"/>
    <col min="13042" max="13042" width="13.109375" style="38" customWidth="1"/>
    <col min="13043" max="13043" width="14.109375" style="38" customWidth="1"/>
    <col min="13044" max="13044" width="12.33203125" style="38" customWidth="1"/>
    <col min="13045" max="13293" width="9.109375" style="38"/>
    <col min="13294" max="13294" width="8.109375" style="38" customWidth="1"/>
    <col min="13295" max="13295" width="70.44140625" style="38" bestFit="1" customWidth="1"/>
    <col min="13296" max="13296" width="11.44140625" style="38" customWidth="1"/>
    <col min="13297" max="13297" width="10.44140625" style="38" customWidth="1"/>
    <col min="13298" max="13298" width="13.109375" style="38" customWidth="1"/>
    <col min="13299" max="13299" width="14.109375" style="38" customWidth="1"/>
    <col min="13300" max="13300" width="12.33203125" style="38" customWidth="1"/>
    <col min="13301" max="13549" width="9.109375" style="38"/>
    <col min="13550" max="13550" width="8.109375" style="38" customWidth="1"/>
    <col min="13551" max="13551" width="70.44140625" style="38" bestFit="1" customWidth="1"/>
    <col min="13552" max="13552" width="11.44140625" style="38" customWidth="1"/>
    <col min="13553" max="13553" width="10.44140625" style="38" customWidth="1"/>
    <col min="13554" max="13554" width="13.109375" style="38" customWidth="1"/>
    <col min="13555" max="13555" width="14.109375" style="38" customWidth="1"/>
    <col min="13556" max="13556" width="12.33203125" style="38" customWidth="1"/>
    <col min="13557" max="13805" width="9.109375" style="38"/>
    <col min="13806" max="13806" width="8.109375" style="38" customWidth="1"/>
    <col min="13807" max="13807" width="70.44140625" style="38" bestFit="1" customWidth="1"/>
    <col min="13808" max="13808" width="11.44140625" style="38" customWidth="1"/>
    <col min="13809" max="13809" width="10.44140625" style="38" customWidth="1"/>
    <col min="13810" max="13810" width="13.109375" style="38" customWidth="1"/>
    <col min="13811" max="13811" width="14.109375" style="38" customWidth="1"/>
    <col min="13812" max="13812" width="12.33203125" style="38" customWidth="1"/>
    <col min="13813" max="14061" width="9.109375" style="38"/>
    <col min="14062" max="14062" width="8.109375" style="38" customWidth="1"/>
    <col min="14063" max="14063" width="70.44140625" style="38" bestFit="1" customWidth="1"/>
    <col min="14064" max="14064" width="11.44140625" style="38" customWidth="1"/>
    <col min="14065" max="14065" width="10.44140625" style="38" customWidth="1"/>
    <col min="14066" max="14066" width="13.109375" style="38" customWidth="1"/>
    <col min="14067" max="14067" width="14.109375" style="38" customWidth="1"/>
    <col min="14068" max="14068" width="12.33203125" style="38" customWidth="1"/>
    <col min="14069" max="14317" width="9.109375" style="38"/>
    <col min="14318" max="14318" width="8.109375" style="38" customWidth="1"/>
    <col min="14319" max="14319" width="70.44140625" style="38" bestFit="1" customWidth="1"/>
    <col min="14320" max="14320" width="11.44140625" style="38" customWidth="1"/>
    <col min="14321" max="14321" width="10.44140625" style="38" customWidth="1"/>
    <col min="14322" max="14322" width="13.109375" style="38" customWidth="1"/>
    <col min="14323" max="14323" width="14.109375" style="38" customWidth="1"/>
    <col min="14324" max="14324" width="12.33203125" style="38" customWidth="1"/>
    <col min="14325" max="14573" width="9.109375" style="38"/>
    <col min="14574" max="14574" width="8.109375" style="38" customWidth="1"/>
    <col min="14575" max="14575" width="70.44140625" style="38" bestFit="1" customWidth="1"/>
    <col min="14576" max="14576" width="11.44140625" style="38" customWidth="1"/>
    <col min="14577" max="14577" width="10.44140625" style="38" customWidth="1"/>
    <col min="14578" max="14578" width="13.109375" style="38" customWidth="1"/>
    <col min="14579" max="14579" width="14.109375" style="38" customWidth="1"/>
    <col min="14580" max="14580" width="12.33203125" style="38" customWidth="1"/>
    <col min="14581" max="14829" width="9.109375" style="38"/>
    <col min="14830" max="14830" width="8.109375" style="38" customWidth="1"/>
    <col min="14831" max="14831" width="70.44140625" style="38" bestFit="1" customWidth="1"/>
    <col min="14832" max="14832" width="11.44140625" style="38" customWidth="1"/>
    <col min="14833" max="14833" width="10.44140625" style="38" customWidth="1"/>
    <col min="14834" max="14834" width="13.109375" style="38" customWidth="1"/>
    <col min="14835" max="14835" width="14.109375" style="38" customWidth="1"/>
    <col min="14836" max="14836" width="12.33203125" style="38" customWidth="1"/>
    <col min="14837" max="15085" width="9.109375" style="38"/>
    <col min="15086" max="15086" width="8.109375" style="38" customWidth="1"/>
    <col min="15087" max="15087" width="70.44140625" style="38" bestFit="1" customWidth="1"/>
    <col min="15088" max="15088" width="11.44140625" style="38" customWidth="1"/>
    <col min="15089" max="15089" width="10.44140625" style="38" customWidth="1"/>
    <col min="15090" max="15090" width="13.109375" style="38" customWidth="1"/>
    <col min="15091" max="15091" width="14.109375" style="38" customWidth="1"/>
    <col min="15092" max="15092" width="12.33203125" style="38" customWidth="1"/>
    <col min="15093" max="15341" width="9.109375" style="38"/>
    <col min="15342" max="15342" width="8.109375" style="38" customWidth="1"/>
    <col min="15343" max="15343" width="70.44140625" style="38" bestFit="1" customWidth="1"/>
    <col min="15344" max="15344" width="11.44140625" style="38" customWidth="1"/>
    <col min="15345" max="15345" width="10.44140625" style="38" customWidth="1"/>
    <col min="15346" max="15346" width="13.109375" style="38" customWidth="1"/>
    <col min="15347" max="15347" width="14.109375" style="38" customWidth="1"/>
    <col min="15348" max="15348" width="12.33203125" style="38" customWidth="1"/>
    <col min="15349" max="15597" width="9.109375" style="38"/>
    <col min="15598" max="15598" width="8.109375" style="38" customWidth="1"/>
    <col min="15599" max="15599" width="70.44140625" style="38" bestFit="1" customWidth="1"/>
    <col min="15600" max="15600" width="11.44140625" style="38" customWidth="1"/>
    <col min="15601" max="15601" width="10.44140625" style="38" customWidth="1"/>
    <col min="15602" max="15602" width="13.109375" style="38" customWidth="1"/>
    <col min="15603" max="15603" width="14.109375" style="38" customWidth="1"/>
    <col min="15604" max="15604" width="12.33203125" style="38" customWidth="1"/>
    <col min="15605" max="15853" width="9.109375" style="38"/>
    <col min="15854" max="15854" width="8.109375" style="38" customWidth="1"/>
    <col min="15855" max="15855" width="70.44140625" style="38" bestFit="1" customWidth="1"/>
    <col min="15856" max="15856" width="11.44140625" style="38" customWidth="1"/>
    <col min="15857" max="15857" width="10.44140625" style="38" customWidth="1"/>
    <col min="15858" max="15858" width="13.109375" style="38" customWidth="1"/>
    <col min="15859" max="15859" width="14.109375" style="38" customWidth="1"/>
    <col min="15860" max="15860" width="12.33203125" style="38" customWidth="1"/>
    <col min="15861" max="16109" width="9.109375" style="38"/>
    <col min="16110" max="16110" width="8.109375" style="38" customWidth="1"/>
    <col min="16111" max="16111" width="70.44140625" style="38" bestFit="1" customWidth="1"/>
    <col min="16112" max="16112" width="11.44140625" style="38" customWidth="1"/>
    <col min="16113" max="16113" width="10.44140625" style="38" customWidth="1"/>
    <col min="16114" max="16114" width="13.109375" style="38" customWidth="1"/>
    <col min="16115" max="16115" width="14.109375" style="38" customWidth="1"/>
    <col min="16116" max="16116" width="12.33203125" style="38" customWidth="1"/>
    <col min="16117" max="16384" width="9.109375" style="38"/>
  </cols>
  <sheetData>
    <row r="1" spans="1:16" x14ac:dyDescent="0.2">
      <c r="B1" s="39" t="s">
        <v>86</v>
      </c>
    </row>
    <row r="2" spans="1:16" x14ac:dyDescent="0.2">
      <c r="B2" s="39" t="s">
        <v>87</v>
      </c>
    </row>
    <row r="3" spans="1:16" x14ac:dyDescent="0.2">
      <c r="B3" s="38" t="s">
        <v>88</v>
      </c>
    </row>
    <row r="4" spans="1:16" ht="13.8" x14ac:dyDescent="0.25">
      <c r="A4" s="42" t="s">
        <v>89</v>
      </c>
      <c r="B4" s="43"/>
    </row>
    <row r="5" spans="1:16" ht="10.8" thickBot="1" x14ac:dyDescent="0.25">
      <c r="A5" s="42"/>
      <c r="B5" s="132"/>
      <c r="E5" s="45"/>
      <c r="F5" s="45"/>
    </row>
    <row r="6" spans="1:16" ht="6" customHeight="1" x14ac:dyDescent="0.2">
      <c r="A6" s="543"/>
      <c r="B6" s="543"/>
      <c r="C6" s="543"/>
      <c r="D6" s="543"/>
      <c r="E6" s="543"/>
      <c r="F6" s="543"/>
    </row>
    <row r="7" spans="1:16" s="40" customFormat="1" x14ac:dyDescent="0.2">
      <c r="A7" s="38"/>
      <c r="B7" s="159"/>
      <c r="E7" s="48"/>
      <c r="F7" s="48"/>
    </row>
    <row r="8" spans="1:16" s="40" customFormat="1" x14ac:dyDescent="0.2">
      <c r="A8" s="42"/>
      <c r="B8" s="39"/>
      <c r="C8" s="42"/>
      <c r="D8" s="42"/>
      <c r="E8" s="51"/>
      <c r="F8" s="48"/>
    </row>
    <row r="9" spans="1:16" s="40" customFormat="1" ht="15.6" x14ac:dyDescent="0.3">
      <c r="A9" s="266">
        <v>1</v>
      </c>
      <c r="B9" s="549" t="s">
        <v>138</v>
      </c>
      <c r="C9" s="549"/>
      <c r="D9" s="549"/>
      <c r="E9" s="549"/>
      <c r="F9" s="549"/>
      <c r="G9" s="549"/>
    </row>
    <row r="10" spans="1:16" s="40" customFormat="1" x14ac:dyDescent="0.2">
      <c r="A10" s="42"/>
      <c r="B10" s="39"/>
      <c r="C10" s="42"/>
      <c r="D10" s="42"/>
      <c r="E10" s="51"/>
      <c r="F10" s="48"/>
    </row>
    <row r="11" spans="1:16" s="40" customFormat="1" ht="10.8" thickBot="1" x14ac:dyDescent="0.25">
      <c r="A11" s="42"/>
      <c r="B11" s="39"/>
      <c r="C11" s="42"/>
      <c r="D11" s="42"/>
      <c r="E11" s="51"/>
      <c r="F11" s="48"/>
    </row>
    <row r="12" spans="1:16" s="40" customFormat="1" ht="10.8" thickBot="1" x14ac:dyDescent="0.25">
      <c r="A12" s="42"/>
      <c r="B12" s="49" t="s">
        <v>106</v>
      </c>
      <c r="C12" s="42"/>
      <c r="D12" s="42"/>
      <c r="E12" s="51"/>
      <c r="F12" s="48"/>
    </row>
    <row r="13" spans="1:16" s="40" customFormat="1" ht="5.25" customHeight="1" x14ac:dyDescent="0.2">
      <c r="A13" s="42"/>
      <c r="B13" s="39"/>
      <c r="C13" s="42"/>
      <c r="D13" s="42"/>
      <c r="E13" s="51"/>
      <c r="F13" s="48"/>
    </row>
    <row r="14" spans="1:16" s="40" customFormat="1" ht="12.75" customHeight="1" x14ac:dyDescent="0.2">
      <c r="A14" s="38"/>
      <c r="B14" s="191" t="s">
        <v>139</v>
      </c>
      <c r="C14" s="42"/>
      <c r="D14" s="550"/>
      <c r="E14" s="550"/>
      <c r="F14" s="48"/>
      <c r="J14" s="551" t="s">
        <v>140</v>
      </c>
      <c r="K14" s="551"/>
      <c r="L14" s="551"/>
      <c r="M14" s="551"/>
      <c r="N14" s="551"/>
      <c r="O14" s="551"/>
      <c r="P14" s="551"/>
    </row>
    <row r="15" spans="1:16" s="40" customFormat="1" x14ac:dyDescent="0.2">
      <c r="A15" s="38"/>
      <c r="B15" s="38" t="str">
        <f>'LabourProject Rates_Master'!$B$14</f>
        <v>TRADESMAN_LEADING HAND</v>
      </c>
      <c r="C15" s="40" t="s">
        <v>93</v>
      </c>
      <c r="D15" s="333"/>
      <c r="E15" s="48">
        <f>'LabourProject Rates_Master'!$E$15</f>
        <v>1231.1428571428571</v>
      </c>
      <c r="F15" s="48">
        <f t="shared" ref="F15:F23" si="0">E15*D15</f>
        <v>0</v>
      </c>
    </row>
    <row r="16" spans="1:16" s="40" customFormat="1" ht="11.4" customHeight="1" x14ac:dyDescent="0.2">
      <c r="A16" s="38"/>
      <c r="B16" s="38" t="str">
        <f>'LabourProject Rates_Master'!$B$23</f>
        <v>TRADESMAN_PLUMBER_OPERATOR</v>
      </c>
      <c r="C16" s="40" t="s">
        <v>93</v>
      </c>
      <c r="D16" s="333"/>
      <c r="E16" s="48">
        <f>'LabourProject Rates_Master'!$E$22</f>
        <v>941.16472848788635</v>
      </c>
      <c r="F16" s="48">
        <f t="shared" si="0"/>
        <v>0</v>
      </c>
      <c r="K16" s="149" t="s">
        <v>141</v>
      </c>
      <c r="L16" s="189">
        <v>0.38</v>
      </c>
      <c r="M16" s="40">
        <v>1.38</v>
      </c>
    </row>
    <row r="17" spans="1:13" s="40" customFormat="1" ht="11.4" customHeight="1" x14ac:dyDescent="0.2">
      <c r="A17" s="42"/>
      <c r="B17" s="38" t="str">
        <f>'LabourProject Rates_Master'!$B$30</f>
        <v>T/A &amp; Apprentice</v>
      </c>
      <c r="C17" s="40" t="s">
        <v>93</v>
      </c>
      <c r="D17" s="333"/>
      <c r="E17" s="48">
        <f>'LabourProject Rates_Master'!$E$29</f>
        <v>768.06507936507944</v>
      </c>
      <c r="F17" s="48">
        <f t="shared" si="0"/>
        <v>0</v>
      </c>
      <c r="K17" s="149" t="s">
        <v>142</v>
      </c>
      <c r="L17" s="189">
        <v>0.38</v>
      </c>
      <c r="M17" s="40">
        <v>1.38</v>
      </c>
    </row>
    <row r="18" spans="1:13" s="40" customFormat="1" ht="11.4" customHeight="1" x14ac:dyDescent="0.2">
      <c r="A18" s="42"/>
      <c r="B18" s="38" t="str">
        <f>'LabourProject Rates_Master'!$B$36</f>
        <v>Crew #1 - InGround Drainage</v>
      </c>
      <c r="C18" s="40" t="s">
        <v>93</v>
      </c>
      <c r="D18" s="333">
        <v>7</v>
      </c>
      <c r="E18" s="48">
        <f>'LabourProject Rates_Master'!$E$37</f>
        <v>2650.394536340852</v>
      </c>
      <c r="F18" s="48">
        <f t="shared" si="0"/>
        <v>18552.761754385963</v>
      </c>
      <c r="K18" s="149" t="s">
        <v>143</v>
      </c>
      <c r="L18" s="189">
        <v>0.15</v>
      </c>
      <c r="M18" s="40">
        <v>1.1499999999999999</v>
      </c>
    </row>
    <row r="19" spans="1:13" s="40" customFormat="1" x14ac:dyDescent="0.2">
      <c r="A19" s="42"/>
      <c r="B19" s="38" t="str">
        <f>'LabourProject Rates_Master'!$B$43</f>
        <v>Crew #2 - InGround Water/Fire</v>
      </c>
      <c r="C19" s="40" t="s">
        <v>93</v>
      </c>
      <c r="D19" s="333">
        <v>4</v>
      </c>
      <c r="E19" s="48">
        <f>'LabourProject Rates_Master'!$E$44</f>
        <v>2650.394536340852</v>
      </c>
      <c r="F19" s="48">
        <f t="shared" si="0"/>
        <v>10601.578145363408</v>
      </c>
      <c r="K19" s="149" t="s">
        <v>144</v>
      </c>
      <c r="L19" s="189">
        <v>0.2</v>
      </c>
      <c r="M19" s="40">
        <v>1.2</v>
      </c>
    </row>
    <row r="20" spans="1:13" s="40" customFormat="1" x14ac:dyDescent="0.2">
      <c r="A20" s="42"/>
      <c r="B20" s="38" t="str">
        <f>'LabourProject Rates_Master'!B51</f>
        <v>Crew #3 - Above Ground Drainage</v>
      </c>
      <c r="C20" s="40" t="s">
        <v>93</v>
      </c>
      <c r="D20" s="333">
        <v>3</v>
      </c>
      <c r="E20" s="48">
        <f>'LabourProject Rates_Master'!E52</f>
        <v>2650.394536340852</v>
      </c>
      <c r="F20" s="48">
        <f t="shared" si="0"/>
        <v>7951.1836090225561</v>
      </c>
      <c r="K20" s="149"/>
      <c r="L20" s="189"/>
    </row>
    <row r="21" spans="1:13" s="40" customFormat="1" x14ac:dyDescent="0.2">
      <c r="A21" s="42"/>
      <c r="B21" s="38" t="str">
        <f>'LabourProject Rates_Master'!B59</f>
        <v>Crew #4 - Above Ground WATER/FIRE</v>
      </c>
      <c r="C21" s="40" t="s">
        <v>93</v>
      </c>
      <c r="D21" s="333">
        <v>14</v>
      </c>
      <c r="E21" s="48">
        <f>'LabourProject Rates_Master'!E60</f>
        <v>2650.394536340852</v>
      </c>
      <c r="F21" s="48">
        <f t="shared" si="0"/>
        <v>37105.523508771927</v>
      </c>
      <c r="K21" s="149"/>
      <c r="L21" s="189"/>
    </row>
    <row r="22" spans="1:13" s="40" customFormat="1" x14ac:dyDescent="0.2">
      <c r="A22" s="42"/>
      <c r="B22" s="38" t="str">
        <f>'LabourProject Rates_Master'!B67</f>
        <v>Crew #5 - Above Ground FitOff / Misc</v>
      </c>
      <c r="C22" s="40" t="s">
        <v>93</v>
      </c>
      <c r="D22" s="333">
        <v>4</v>
      </c>
      <c r="E22" s="48">
        <f>'LabourProject Rates_Master'!E68</f>
        <v>2650.394536340852</v>
      </c>
      <c r="F22" s="48">
        <f t="shared" si="0"/>
        <v>10601.578145363408</v>
      </c>
      <c r="K22" s="149"/>
      <c r="L22" s="189"/>
    </row>
    <row r="23" spans="1:13" s="40" customFormat="1" x14ac:dyDescent="0.2">
      <c r="A23" s="42"/>
      <c r="B23" s="38" t="str">
        <f>'LabourProject Rates_Master'!B75</f>
        <v>Crew #6 - DEMO</v>
      </c>
      <c r="C23" s="40" t="s">
        <v>93</v>
      </c>
      <c r="D23" s="333">
        <v>2</v>
      </c>
      <c r="E23" s="48">
        <f>'LabourProject Rates_Master'!E76</f>
        <v>1709.2298078529657</v>
      </c>
      <c r="F23" s="48">
        <f t="shared" si="0"/>
        <v>3418.4596157059314</v>
      </c>
      <c r="K23" s="149"/>
      <c r="L23" s="189"/>
    </row>
    <row r="24" spans="1:13" s="40" customFormat="1" ht="6.6" customHeight="1" x14ac:dyDescent="0.2">
      <c r="A24" s="42"/>
      <c r="B24" s="38"/>
      <c r="E24" s="311"/>
      <c r="F24" s="41"/>
    </row>
    <row r="25" spans="1:13" s="40" customFormat="1" x14ac:dyDescent="0.2">
      <c r="A25" s="38"/>
      <c r="B25" s="191" t="s">
        <v>145</v>
      </c>
      <c r="C25" s="42"/>
      <c r="D25" s="42"/>
      <c r="E25" s="45"/>
      <c r="F25" s="48"/>
    </row>
    <row r="26" spans="1:13" s="40" customFormat="1" x14ac:dyDescent="0.2">
      <c r="A26" s="38"/>
      <c r="B26" s="38" t="str">
        <f>'LabourProject Rates_Master'!$B$14</f>
        <v>TRADESMAN_LEADING HAND</v>
      </c>
      <c r="C26" s="40" t="s">
        <v>146</v>
      </c>
      <c r="D26" s="40">
        <v>0</v>
      </c>
      <c r="E26" s="48">
        <f>'LabourProject Rates_Master'!$E$14</f>
        <v>123.11428571428571</v>
      </c>
      <c r="F26" s="48">
        <f t="shared" ref="F26:F30" si="1">E26*D26</f>
        <v>0</v>
      </c>
    </row>
    <row r="27" spans="1:13" s="40" customFormat="1" ht="11.4" customHeight="1" x14ac:dyDescent="0.2">
      <c r="A27" s="38"/>
      <c r="B27" s="38" t="str">
        <f>'LabourProject Rates_Master'!$B$23</f>
        <v>TRADESMAN_PLUMBER_OPERATOR</v>
      </c>
      <c r="C27" s="40" t="s">
        <v>146</v>
      </c>
      <c r="D27" s="40">
        <v>0</v>
      </c>
      <c r="E27" s="48">
        <f>'LabourProject Rates_Master'!$E$21</f>
        <v>94.116472848788632</v>
      </c>
      <c r="F27" s="48">
        <f t="shared" si="1"/>
        <v>0</v>
      </c>
    </row>
    <row r="28" spans="1:13" s="40" customFormat="1" ht="11.4" customHeight="1" x14ac:dyDescent="0.2">
      <c r="A28" s="42"/>
      <c r="B28" s="38" t="str">
        <f>'LabourProject Rates_Master'!$B$30</f>
        <v>T/A &amp; Apprentice</v>
      </c>
      <c r="C28" s="40" t="s">
        <v>146</v>
      </c>
      <c r="D28" s="40">
        <v>0</v>
      </c>
      <c r="E28" s="48">
        <f>'LabourProject Rates_Master'!$E$28</f>
        <v>76.806507936507941</v>
      </c>
      <c r="F28" s="48">
        <f t="shared" si="1"/>
        <v>0</v>
      </c>
    </row>
    <row r="29" spans="1:13" s="40" customFormat="1" ht="11.4" customHeight="1" x14ac:dyDescent="0.2">
      <c r="A29" s="42"/>
      <c r="B29" s="38" t="str">
        <f>'LabourProject Rates_Master'!$B$36</f>
        <v>Crew #1 - InGround Drainage</v>
      </c>
      <c r="C29" s="40" t="s">
        <v>146</v>
      </c>
      <c r="D29" s="40">
        <v>0</v>
      </c>
      <c r="E29" s="48">
        <f>'LabourProject Rates_Master'!$E$36</f>
        <v>265.03945363408519</v>
      </c>
      <c r="F29" s="48">
        <f t="shared" si="1"/>
        <v>0</v>
      </c>
    </row>
    <row r="30" spans="1:13" s="40" customFormat="1" x14ac:dyDescent="0.2">
      <c r="A30" s="42"/>
      <c r="B30" s="38" t="str">
        <f>'LabourProject Rates_Master'!$B$43</f>
        <v>Crew #2 - InGround Water/Fire</v>
      </c>
      <c r="C30" s="40" t="s">
        <v>146</v>
      </c>
      <c r="D30" s="40">
        <v>0</v>
      </c>
      <c r="E30" s="48">
        <f>'LabourProject Rates_Master'!$E$43</f>
        <v>265.03945363408519</v>
      </c>
      <c r="F30" s="48">
        <f t="shared" si="1"/>
        <v>0</v>
      </c>
    </row>
    <row r="31" spans="1:13" ht="7.5" customHeight="1" x14ac:dyDescent="0.2">
      <c r="E31" s="48"/>
    </row>
    <row r="32" spans="1:13" ht="10.8" thickBot="1" x14ac:dyDescent="0.25">
      <c r="A32" s="40"/>
      <c r="E32" s="48"/>
      <c r="F32" s="48"/>
    </row>
    <row r="33" spans="1:6" ht="10.8" thickBot="1" x14ac:dyDescent="0.25">
      <c r="A33" s="42"/>
      <c r="B33" s="386" t="s">
        <v>147</v>
      </c>
      <c r="C33" s="387"/>
      <c r="D33" s="387"/>
      <c r="E33" s="388"/>
      <c r="F33" s="388"/>
    </row>
    <row r="34" spans="1:6" x14ac:dyDescent="0.2">
      <c r="A34" s="40"/>
      <c r="B34" s="389" t="s">
        <v>148</v>
      </c>
      <c r="C34" s="387"/>
      <c r="D34" s="387"/>
      <c r="E34" s="388"/>
      <c r="F34" s="388"/>
    </row>
    <row r="35" spans="1:6" x14ac:dyDescent="0.2">
      <c r="A35" s="40"/>
      <c r="B35" s="390" t="str">
        <f>'Misc Subbie Rates_Master'!A49</f>
        <v>Asphalt Cutting</v>
      </c>
      <c r="C35" s="387" t="s">
        <v>149</v>
      </c>
      <c r="D35" s="391"/>
      <c r="E35" s="388">
        <f>'Misc Subbie Rates_Master'!D49+('Misc Subbie Rates_Master'!D49*$L$18)</f>
        <v>15.525</v>
      </c>
      <c r="F35" s="388">
        <f>E35*D35</f>
        <v>0</v>
      </c>
    </row>
    <row r="36" spans="1:6" x14ac:dyDescent="0.2">
      <c r="A36" s="40"/>
      <c r="B36" s="390" t="str">
        <f>'Misc Subbie Rates_Master'!A50</f>
        <v>Concrete Cutting</v>
      </c>
      <c r="C36" s="387" t="s">
        <v>149</v>
      </c>
      <c r="D36" s="387"/>
      <c r="E36" s="388">
        <f>'Misc Subbie Rates_Master'!D50+('Misc Subbie Rates_Master'!D50*$L$18)</f>
        <v>18.399999999999999</v>
      </c>
      <c r="F36" s="388">
        <f t="shared" ref="F36:F46" si="2">E36*D36</f>
        <v>0</v>
      </c>
    </row>
    <row r="37" spans="1:6" x14ac:dyDescent="0.2">
      <c r="A37" s="40"/>
      <c r="B37" s="390" t="s">
        <v>150</v>
      </c>
      <c r="C37" s="387" t="s">
        <v>115</v>
      </c>
      <c r="D37" s="387"/>
      <c r="E37" s="388">
        <f>'Misc Subbie Rates_Master'!D51+('Misc Subbie Rates_Master'!D51*$L$18)</f>
        <v>92</v>
      </c>
      <c r="F37" s="388">
        <f t="shared" si="2"/>
        <v>0</v>
      </c>
    </row>
    <row r="38" spans="1:6" x14ac:dyDescent="0.2">
      <c r="A38" s="40"/>
      <c r="B38" s="389" t="s">
        <v>151</v>
      </c>
      <c r="C38" s="387"/>
      <c r="D38" s="387"/>
      <c r="E38" s="388"/>
      <c r="F38" s="388"/>
    </row>
    <row r="39" spans="1:6" x14ac:dyDescent="0.2">
      <c r="A39" s="40"/>
      <c r="B39" s="390" t="str">
        <f>'Misc Subbie Rates_Master'!A56</f>
        <v>Road/Drveway Reinstate; 1mW x 150 Thck, N25/20/80, Incl Reinforcement</v>
      </c>
      <c r="C39" s="387" t="s">
        <v>149</v>
      </c>
      <c r="D39" s="387"/>
      <c r="E39" s="388">
        <f>'Misc Subbie Rates_Master'!D56</f>
        <v>145</v>
      </c>
      <c r="F39" s="388">
        <f t="shared" si="2"/>
        <v>0</v>
      </c>
    </row>
    <row r="40" spans="1:6" x14ac:dyDescent="0.2">
      <c r="A40" s="40"/>
      <c r="B40" s="390" t="str">
        <f>'Misc Subbie Rates_Master'!A57</f>
        <v>Kerb &amp; Channel - 1m Wide</v>
      </c>
      <c r="C40" s="387" t="s">
        <v>115</v>
      </c>
      <c r="D40" s="387"/>
      <c r="E40" s="388">
        <f>'Misc Subbie Rates_Master'!D57</f>
        <v>155</v>
      </c>
      <c r="F40" s="388">
        <f t="shared" si="2"/>
        <v>0</v>
      </c>
    </row>
    <row r="41" spans="1:6" x14ac:dyDescent="0.2">
      <c r="A41" s="40"/>
      <c r="B41" s="390" t="str">
        <f>'Misc Subbie Rates_Master'!A58</f>
        <v>Footpath - 1.5mW, N25/20/80, Incl Reinforcement</v>
      </c>
      <c r="C41" s="387" t="s">
        <v>152</v>
      </c>
      <c r="D41" s="387"/>
      <c r="E41" s="388">
        <f>'Misc Subbie Rates_Master'!D58</f>
        <v>180</v>
      </c>
      <c r="F41" s="388">
        <f t="shared" si="2"/>
        <v>0</v>
      </c>
    </row>
    <row r="42" spans="1:6" x14ac:dyDescent="0.2">
      <c r="A42" s="40"/>
      <c r="B42" s="390" t="str">
        <f>'Misc Subbie Rates_Master'!A59</f>
        <v>Footpath - 1.5mW, EXPOSED AGG, N25/20/80, Incl Reinforcement</v>
      </c>
      <c r="C42" s="387" t="s">
        <v>152</v>
      </c>
      <c r="D42" s="387"/>
      <c r="E42" s="388">
        <f>'Misc Subbie Rates_Master'!D59</f>
        <v>185</v>
      </c>
      <c r="F42" s="388">
        <f t="shared" si="2"/>
        <v>0</v>
      </c>
    </row>
    <row r="43" spans="1:6" x14ac:dyDescent="0.2">
      <c r="A43" s="40"/>
      <c r="B43" s="389" t="s">
        <v>153</v>
      </c>
      <c r="C43" s="387"/>
      <c r="D43" s="387"/>
      <c r="E43" s="388"/>
      <c r="F43" s="388"/>
    </row>
    <row r="44" spans="1:6" x14ac:dyDescent="0.2">
      <c r="A44" s="40"/>
      <c r="B44" s="390" t="str">
        <f>'Misc Subbie Rates_Master'!A64</f>
        <v xml:space="preserve">50mm Thck - Trench Reinstatement Through Road/Driveway </v>
      </c>
      <c r="C44" s="387" t="s">
        <v>154</v>
      </c>
      <c r="D44" s="387"/>
      <c r="E44" s="388">
        <f>'Misc Subbie Rates_Master'!D64</f>
        <v>97</v>
      </c>
      <c r="F44" s="388">
        <f t="shared" si="2"/>
        <v>0</v>
      </c>
    </row>
    <row r="45" spans="1:6" x14ac:dyDescent="0.2">
      <c r="A45" s="40"/>
      <c r="B45" s="390" t="str">
        <f>'Misc Subbie Rates_Master'!A65</f>
        <v xml:space="preserve">50mm Thck - 1.5-2m Wide Footpath reinstatements </v>
      </c>
      <c r="C45" s="387" t="s">
        <v>154</v>
      </c>
      <c r="D45" s="387"/>
      <c r="E45" s="388">
        <f>'Misc Subbie Rates_Master'!D65</f>
        <v>97</v>
      </c>
      <c r="F45" s="388">
        <f t="shared" si="2"/>
        <v>0</v>
      </c>
    </row>
    <row r="46" spans="1:6" x14ac:dyDescent="0.2">
      <c r="A46" s="40"/>
      <c r="B46" s="390" t="str">
        <f>'Misc Subbie Rates_Master'!A66</f>
        <v>Establishment Fee (1 per stage)</v>
      </c>
      <c r="C46" s="387" t="s">
        <v>155</v>
      </c>
      <c r="D46" s="387"/>
      <c r="E46" s="388">
        <f>'Misc Subbie Rates_Master'!D66</f>
        <v>5500</v>
      </c>
      <c r="F46" s="388">
        <f t="shared" si="2"/>
        <v>0</v>
      </c>
    </row>
    <row r="47" spans="1:6" ht="10.8" thickBot="1" x14ac:dyDescent="0.25">
      <c r="A47" s="40"/>
      <c r="E47" s="48"/>
      <c r="F47" s="48"/>
    </row>
    <row r="48" spans="1:6" ht="10.8" thickBot="1" x14ac:dyDescent="0.25">
      <c r="A48" s="42"/>
      <c r="B48" s="49" t="s">
        <v>156</v>
      </c>
      <c r="E48" s="48"/>
      <c r="F48" s="48"/>
    </row>
    <row r="49" spans="1:6" x14ac:dyDescent="0.2">
      <c r="A49" s="40"/>
      <c r="E49" s="48"/>
      <c r="F49" s="48"/>
    </row>
    <row r="50" spans="1:6" x14ac:dyDescent="0.2">
      <c r="B50" s="284" t="s">
        <v>157</v>
      </c>
      <c r="E50" s="48"/>
      <c r="F50" s="48"/>
    </row>
    <row r="51" spans="1:6" x14ac:dyDescent="0.2">
      <c r="B51" s="38" t="s">
        <v>158</v>
      </c>
      <c r="C51" s="40" t="s">
        <v>159</v>
      </c>
      <c r="E51" s="48">
        <f>'Misc Subbie Rates_Master'!D10</f>
        <v>100</v>
      </c>
      <c r="F51" s="48">
        <f>E51*D51</f>
        <v>0</v>
      </c>
    </row>
    <row r="52" spans="1:6" x14ac:dyDescent="0.2">
      <c r="B52" s="38" t="s">
        <v>160</v>
      </c>
      <c r="C52" s="40" t="s">
        <v>159</v>
      </c>
      <c r="E52" s="48">
        <f>'Misc Subbie Rates_Master'!D11</f>
        <v>115</v>
      </c>
      <c r="F52" s="48">
        <f t="shared" ref="F52:F69" si="3">E52*D52</f>
        <v>0</v>
      </c>
    </row>
    <row r="53" spans="1:6" x14ac:dyDescent="0.2">
      <c r="B53" s="38" t="s">
        <v>161</v>
      </c>
      <c r="C53" s="40" t="s">
        <v>159</v>
      </c>
      <c r="E53" s="48">
        <f>'Misc Subbie Rates_Master'!D12</f>
        <v>154</v>
      </c>
      <c r="F53" s="48">
        <f t="shared" si="3"/>
        <v>0</v>
      </c>
    </row>
    <row r="54" spans="1:6" x14ac:dyDescent="0.2">
      <c r="B54" s="38" t="s">
        <v>162</v>
      </c>
      <c r="C54" s="40" t="s">
        <v>159</v>
      </c>
      <c r="E54" s="48">
        <f>'Misc Subbie Rates_Master'!D13</f>
        <v>21</v>
      </c>
      <c r="F54" s="48">
        <f t="shared" si="3"/>
        <v>0</v>
      </c>
    </row>
    <row r="55" spans="1:6" x14ac:dyDescent="0.2">
      <c r="B55" s="38" t="s">
        <v>163</v>
      </c>
      <c r="C55" s="40" t="s">
        <v>159</v>
      </c>
      <c r="E55" s="48">
        <f>'Misc Subbie Rates_Master'!D14</f>
        <v>10</v>
      </c>
      <c r="F55" s="48">
        <f t="shared" si="3"/>
        <v>0</v>
      </c>
    </row>
    <row r="56" spans="1:6" x14ac:dyDescent="0.2">
      <c r="B56" s="38" t="s">
        <v>164</v>
      </c>
      <c r="C56" s="40" t="s">
        <v>159</v>
      </c>
      <c r="E56" s="48">
        <f>'Misc Subbie Rates_Master'!D15</f>
        <v>150</v>
      </c>
      <c r="F56" s="48">
        <f t="shared" si="3"/>
        <v>0</v>
      </c>
    </row>
    <row r="57" spans="1:6" x14ac:dyDescent="0.2">
      <c r="B57" s="38" t="s">
        <v>165</v>
      </c>
      <c r="C57" s="40" t="s">
        <v>159</v>
      </c>
      <c r="E57" s="48">
        <f>'Misc Subbie Rates_Master'!D16</f>
        <v>50</v>
      </c>
      <c r="F57" s="48">
        <f t="shared" si="3"/>
        <v>0</v>
      </c>
    </row>
    <row r="58" spans="1:6" x14ac:dyDescent="0.2">
      <c r="B58" s="38" t="s">
        <v>166</v>
      </c>
      <c r="C58" s="40" t="s">
        <v>159</v>
      </c>
      <c r="E58" s="48">
        <f>'Misc Subbie Rates_Master'!D17</f>
        <v>140</v>
      </c>
      <c r="F58" s="48">
        <f t="shared" si="3"/>
        <v>0</v>
      </c>
    </row>
    <row r="59" spans="1:6" x14ac:dyDescent="0.2">
      <c r="B59" s="38" t="s">
        <v>167</v>
      </c>
      <c r="C59" s="40" t="s">
        <v>159</v>
      </c>
      <c r="E59" s="48">
        <f>'Misc Subbie Rates_Master'!D18</f>
        <v>128</v>
      </c>
      <c r="F59" s="48">
        <f t="shared" si="3"/>
        <v>0</v>
      </c>
    </row>
    <row r="60" spans="1:6" x14ac:dyDescent="0.2">
      <c r="B60" s="38" t="s">
        <v>168</v>
      </c>
      <c r="C60" s="40" t="s">
        <v>159</v>
      </c>
      <c r="E60" s="48">
        <f>'Misc Subbie Rates_Master'!D19</f>
        <v>26</v>
      </c>
      <c r="F60" s="48">
        <f t="shared" si="3"/>
        <v>0</v>
      </c>
    </row>
    <row r="61" spans="1:6" x14ac:dyDescent="0.2">
      <c r="B61" s="38" t="s">
        <v>169</v>
      </c>
      <c r="C61" s="40" t="s">
        <v>159</v>
      </c>
      <c r="E61" s="48">
        <f>'Misc Subbie Rates_Master'!D20</f>
        <v>10</v>
      </c>
      <c r="F61" s="48">
        <f t="shared" si="3"/>
        <v>0</v>
      </c>
    </row>
    <row r="62" spans="1:6" x14ac:dyDescent="0.2">
      <c r="B62" s="38" t="s">
        <v>170</v>
      </c>
      <c r="C62" s="40" t="s">
        <v>159</v>
      </c>
      <c r="E62" s="48">
        <f>'Misc Subbie Rates_Master'!D21</f>
        <v>153</v>
      </c>
      <c r="F62" s="48">
        <f t="shared" si="3"/>
        <v>0</v>
      </c>
    </row>
    <row r="63" spans="1:6" x14ac:dyDescent="0.2">
      <c r="B63" s="38" t="s">
        <v>171</v>
      </c>
      <c r="C63" s="40" t="s">
        <v>159</v>
      </c>
      <c r="E63" s="48">
        <f>'Misc Subbie Rates_Master'!D22</f>
        <v>36</v>
      </c>
      <c r="F63" s="48">
        <f t="shared" si="3"/>
        <v>0</v>
      </c>
    </row>
    <row r="64" spans="1:6" x14ac:dyDescent="0.2">
      <c r="B64" s="38" t="s">
        <v>172</v>
      </c>
      <c r="C64" s="40" t="s">
        <v>159</v>
      </c>
      <c r="E64" s="48">
        <f>'Misc Subbie Rates_Master'!D23</f>
        <v>10</v>
      </c>
      <c r="F64" s="48">
        <f t="shared" si="3"/>
        <v>0</v>
      </c>
    </row>
    <row r="65" spans="1:6" x14ac:dyDescent="0.2">
      <c r="B65" s="38" t="s">
        <v>173</v>
      </c>
      <c r="C65" s="40" t="s">
        <v>159</v>
      </c>
      <c r="E65" s="48">
        <f>'Misc Subbie Rates_Master'!D24</f>
        <v>190</v>
      </c>
      <c r="F65" s="48">
        <f t="shared" si="3"/>
        <v>0</v>
      </c>
    </row>
    <row r="66" spans="1:6" x14ac:dyDescent="0.2">
      <c r="B66" s="38" t="s">
        <v>174</v>
      </c>
      <c r="C66" s="40" t="s">
        <v>159</v>
      </c>
      <c r="E66" s="48">
        <f>'Misc Subbie Rates_Master'!D25</f>
        <v>220</v>
      </c>
      <c r="F66" s="48">
        <f t="shared" si="3"/>
        <v>0</v>
      </c>
    </row>
    <row r="67" spans="1:6" x14ac:dyDescent="0.2">
      <c r="B67" s="38" t="s">
        <v>175</v>
      </c>
      <c r="C67" s="40" t="s">
        <v>159</v>
      </c>
      <c r="E67" s="48">
        <f>'Misc Subbie Rates_Master'!D26</f>
        <v>250</v>
      </c>
      <c r="F67" s="48">
        <f t="shared" si="3"/>
        <v>0</v>
      </c>
    </row>
    <row r="68" spans="1:6" x14ac:dyDescent="0.2">
      <c r="B68" s="38" t="s">
        <v>176</v>
      </c>
      <c r="C68" s="40" t="s">
        <v>159</v>
      </c>
      <c r="E68" s="48">
        <f>'Misc Subbie Rates_Master'!D27</f>
        <v>110</v>
      </c>
      <c r="F68" s="48">
        <f t="shared" si="3"/>
        <v>0</v>
      </c>
    </row>
    <row r="69" spans="1:6" x14ac:dyDescent="0.2">
      <c r="B69" s="38" t="s">
        <v>177</v>
      </c>
      <c r="C69" s="40" t="s">
        <v>159</v>
      </c>
      <c r="E69" s="48">
        <f>'Misc Subbie Rates_Master'!D28</f>
        <v>110</v>
      </c>
      <c r="F69" s="48">
        <f t="shared" si="3"/>
        <v>0</v>
      </c>
    </row>
    <row r="70" spans="1:6" x14ac:dyDescent="0.2">
      <c r="E70" s="48"/>
      <c r="F70" s="48"/>
    </row>
    <row r="71" spans="1:6" x14ac:dyDescent="0.2">
      <c r="B71" s="284" t="s">
        <v>178</v>
      </c>
      <c r="E71" s="48"/>
      <c r="F71" s="48"/>
    </row>
    <row r="72" spans="1:6" x14ac:dyDescent="0.2">
      <c r="A72" s="40"/>
      <c r="B72" s="201" t="s">
        <v>179</v>
      </c>
      <c r="C72" s="40" t="s">
        <v>93</v>
      </c>
      <c r="D72" s="40">
        <v>10</v>
      </c>
      <c r="E72" s="48">
        <f>'Equip&amp;HIRE_Master'!D4</f>
        <v>225.43333333333334</v>
      </c>
      <c r="F72" s="48">
        <f>E72*D72</f>
        <v>2254.3333333333335</v>
      </c>
    </row>
    <row r="73" spans="1:6" x14ac:dyDescent="0.2">
      <c r="A73" s="40"/>
      <c r="B73" s="201" t="s">
        <v>180</v>
      </c>
      <c r="C73" s="40" t="s">
        <v>93</v>
      </c>
      <c r="E73" s="48">
        <f>'Equip&amp;HIRE_Master'!D5</f>
        <v>163.96666666666667</v>
      </c>
      <c r="F73" s="48">
        <f t="shared" ref="F73:F136" si="4">E73*D73</f>
        <v>0</v>
      </c>
    </row>
    <row r="74" spans="1:6" x14ac:dyDescent="0.2">
      <c r="A74" s="40"/>
      <c r="B74" s="201" t="s">
        <v>181</v>
      </c>
      <c r="C74" s="40" t="s">
        <v>93</v>
      </c>
      <c r="E74" s="48">
        <f>'Equip&amp;HIRE_Master'!D6</f>
        <v>180</v>
      </c>
      <c r="F74" s="48">
        <f t="shared" si="4"/>
        <v>0</v>
      </c>
    </row>
    <row r="75" spans="1:6" ht="6" customHeight="1" x14ac:dyDescent="0.2">
      <c r="A75" s="40"/>
      <c r="B75" s="201"/>
      <c r="E75" s="48">
        <f>'Equip&amp;HIRE_Master'!D7</f>
        <v>0</v>
      </c>
      <c r="F75" s="48">
        <f t="shared" si="4"/>
        <v>0</v>
      </c>
    </row>
    <row r="76" spans="1:6" x14ac:dyDescent="0.2">
      <c r="A76" s="40"/>
      <c r="B76" s="201" t="s">
        <v>182</v>
      </c>
      <c r="C76" s="40" t="s">
        <v>93</v>
      </c>
      <c r="E76" s="48">
        <f>'Equip&amp;HIRE_Master'!D8</f>
        <v>137.14285714285714</v>
      </c>
      <c r="F76" s="48">
        <f t="shared" si="4"/>
        <v>0</v>
      </c>
    </row>
    <row r="77" spans="1:6" x14ac:dyDescent="0.2">
      <c r="A77" s="40"/>
      <c r="B77" s="201" t="s">
        <v>183</v>
      </c>
      <c r="C77" s="40" t="s">
        <v>93</v>
      </c>
      <c r="E77" s="48">
        <f>'Equip&amp;HIRE_Master'!D9</f>
        <v>0</v>
      </c>
      <c r="F77" s="48">
        <f t="shared" si="4"/>
        <v>0</v>
      </c>
    </row>
    <row r="78" spans="1:6" x14ac:dyDescent="0.2">
      <c r="A78" s="40"/>
      <c r="B78" s="201" t="s">
        <v>184</v>
      </c>
      <c r="C78" s="40" t="s">
        <v>93</v>
      </c>
      <c r="D78" s="40">
        <v>7</v>
      </c>
      <c r="E78" s="48">
        <f>'Equip&amp;HIRE_Master'!D10</f>
        <v>238.66666666666666</v>
      </c>
      <c r="F78" s="48">
        <f t="shared" si="4"/>
        <v>1670.6666666666665</v>
      </c>
    </row>
    <row r="79" spans="1:6" x14ac:dyDescent="0.2">
      <c r="A79" s="40"/>
      <c r="B79" s="201" t="s">
        <v>185</v>
      </c>
      <c r="C79" s="40" t="s">
        <v>93</v>
      </c>
      <c r="E79" s="48">
        <f>'Equip&amp;HIRE_Master'!D11</f>
        <v>261.16666666666669</v>
      </c>
      <c r="F79" s="48">
        <f t="shared" si="4"/>
        <v>0</v>
      </c>
    </row>
    <row r="80" spans="1:6" x14ac:dyDescent="0.2">
      <c r="A80" s="40"/>
      <c r="B80" s="201" t="s">
        <v>186</v>
      </c>
      <c r="C80" s="40" t="s">
        <v>93</v>
      </c>
      <c r="E80" s="48">
        <f>'Equip&amp;HIRE_Master'!D12</f>
        <v>0</v>
      </c>
      <c r="F80" s="48">
        <f t="shared" si="4"/>
        <v>0</v>
      </c>
    </row>
    <row r="81" spans="1:6" x14ac:dyDescent="0.2">
      <c r="A81" s="40"/>
      <c r="B81" s="201" t="s">
        <v>187</v>
      </c>
      <c r="C81" s="40" t="s">
        <v>93</v>
      </c>
      <c r="E81" s="48">
        <f>'Equip&amp;HIRE_Master'!D13</f>
        <v>317.2</v>
      </c>
      <c r="F81" s="48">
        <f t="shared" si="4"/>
        <v>0</v>
      </c>
    </row>
    <row r="82" spans="1:6" x14ac:dyDescent="0.2">
      <c r="A82" s="40"/>
      <c r="B82" s="201" t="s">
        <v>188</v>
      </c>
      <c r="C82" s="40" t="s">
        <v>93</v>
      </c>
      <c r="E82" s="48">
        <f>'Equip&amp;HIRE_Master'!D14</f>
        <v>314.28571428571428</v>
      </c>
      <c r="F82" s="48">
        <f t="shared" si="4"/>
        <v>0</v>
      </c>
    </row>
    <row r="83" spans="1:6" ht="6.6" customHeight="1" x14ac:dyDescent="0.2">
      <c r="A83" s="40"/>
      <c r="B83" s="201"/>
      <c r="E83" s="48">
        <f>'Equip&amp;HIRE_Master'!D15</f>
        <v>0</v>
      </c>
      <c r="F83" s="48">
        <f t="shared" si="4"/>
        <v>0</v>
      </c>
    </row>
    <row r="84" spans="1:6" x14ac:dyDescent="0.2">
      <c r="A84" s="40"/>
      <c r="B84" s="201" t="s">
        <v>189</v>
      </c>
      <c r="C84" s="40" t="s">
        <v>93</v>
      </c>
      <c r="E84" s="48">
        <f>'Equip&amp;HIRE_Master'!D16</f>
        <v>0</v>
      </c>
      <c r="F84" s="48">
        <f t="shared" si="4"/>
        <v>0</v>
      </c>
    </row>
    <row r="85" spans="1:6" x14ac:dyDescent="0.2">
      <c r="A85" s="40"/>
      <c r="B85" s="201" t="s">
        <v>190</v>
      </c>
      <c r="C85" s="40" t="s">
        <v>93</v>
      </c>
      <c r="E85" s="48">
        <f>'Equip&amp;HIRE_Master'!D17</f>
        <v>32.74</v>
      </c>
      <c r="F85" s="48">
        <f t="shared" si="4"/>
        <v>0</v>
      </c>
    </row>
    <row r="86" spans="1:6" x14ac:dyDescent="0.2">
      <c r="A86" s="40"/>
      <c r="B86" s="201" t="s">
        <v>191</v>
      </c>
      <c r="C86" s="40" t="s">
        <v>93</v>
      </c>
      <c r="E86" s="48">
        <f>'Equip&amp;HIRE_Master'!D18</f>
        <v>0</v>
      </c>
      <c r="F86" s="48">
        <f t="shared" si="4"/>
        <v>0</v>
      </c>
    </row>
    <row r="87" spans="1:6" x14ac:dyDescent="0.2">
      <c r="A87" s="40"/>
      <c r="B87" s="201" t="s">
        <v>192</v>
      </c>
      <c r="C87" s="40" t="s">
        <v>93</v>
      </c>
      <c r="E87" s="48">
        <f>'Equip&amp;HIRE_Master'!D19</f>
        <v>40.380000000000003</v>
      </c>
      <c r="F87" s="48">
        <f t="shared" si="4"/>
        <v>0</v>
      </c>
    </row>
    <row r="88" spans="1:6" x14ac:dyDescent="0.2">
      <c r="A88" s="40"/>
      <c r="B88" s="201" t="s">
        <v>193</v>
      </c>
      <c r="C88" s="40" t="s">
        <v>93</v>
      </c>
      <c r="E88" s="48">
        <f>'Equip&amp;HIRE_Master'!D20</f>
        <v>123.33</v>
      </c>
      <c r="F88" s="48">
        <f t="shared" si="4"/>
        <v>0</v>
      </c>
    </row>
    <row r="89" spans="1:6" x14ac:dyDescent="0.2">
      <c r="A89" s="40"/>
      <c r="B89" s="201" t="s">
        <v>194</v>
      </c>
      <c r="C89" s="40" t="s">
        <v>93</v>
      </c>
      <c r="E89" s="48">
        <f>'Equip&amp;HIRE_Master'!D21</f>
        <v>165.89</v>
      </c>
      <c r="F89" s="48">
        <f t="shared" si="4"/>
        <v>0</v>
      </c>
    </row>
    <row r="90" spans="1:6" x14ac:dyDescent="0.2">
      <c r="A90" s="40"/>
      <c r="B90" s="201" t="s">
        <v>195</v>
      </c>
      <c r="C90" s="40" t="s">
        <v>93</v>
      </c>
      <c r="E90" s="48">
        <f>'Equip&amp;HIRE_Master'!D22</f>
        <v>165.89</v>
      </c>
      <c r="F90" s="48">
        <f t="shared" si="4"/>
        <v>0</v>
      </c>
    </row>
    <row r="91" spans="1:6" x14ac:dyDescent="0.2">
      <c r="A91" s="40"/>
      <c r="B91" s="201" t="s">
        <v>196</v>
      </c>
      <c r="C91" s="40" t="s">
        <v>93</v>
      </c>
      <c r="E91" s="48">
        <f>'Equip&amp;HIRE_Master'!D23</f>
        <v>0</v>
      </c>
      <c r="F91" s="48">
        <f t="shared" si="4"/>
        <v>0</v>
      </c>
    </row>
    <row r="92" spans="1:6" x14ac:dyDescent="0.2">
      <c r="A92" s="40"/>
      <c r="B92" s="201" t="s">
        <v>197</v>
      </c>
      <c r="C92" s="40" t="s">
        <v>93</v>
      </c>
      <c r="E92" s="48">
        <f>'Equip&amp;HIRE_Master'!D24</f>
        <v>203</v>
      </c>
      <c r="F92" s="48">
        <f t="shared" si="4"/>
        <v>0</v>
      </c>
    </row>
    <row r="93" spans="1:6" x14ac:dyDescent="0.2">
      <c r="A93" s="40"/>
      <c r="B93" s="201" t="s">
        <v>198</v>
      </c>
      <c r="E93" s="48">
        <f>'Equip&amp;HIRE_Master'!D25</f>
        <v>0</v>
      </c>
      <c r="F93" s="48">
        <f t="shared" si="4"/>
        <v>0</v>
      </c>
    </row>
    <row r="94" spans="1:6" x14ac:dyDescent="0.2">
      <c r="A94" s="40"/>
      <c r="B94" s="201" t="s">
        <v>199</v>
      </c>
      <c r="E94" s="48">
        <f>'Equip&amp;HIRE_Master'!D26</f>
        <v>0</v>
      </c>
      <c r="F94" s="48">
        <f t="shared" si="4"/>
        <v>0</v>
      </c>
    </row>
    <row r="95" spans="1:6" ht="4.95" customHeight="1" x14ac:dyDescent="0.2">
      <c r="A95" s="40"/>
      <c r="B95" s="201"/>
      <c r="E95" s="48">
        <f>'Equip&amp;HIRE_Master'!D27</f>
        <v>0</v>
      </c>
      <c r="F95" s="48">
        <f t="shared" si="4"/>
        <v>0</v>
      </c>
    </row>
    <row r="96" spans="1:6" x14ac:dyDescent="0.2">
      <c r="A96" s="40"/>
      <c r="B96" s="201" t="s">
        <v>200</v>
      </c>
      <c r="C96" s="40" t="s">
        <v>93</v>
      </c>
      <c r="D96" s="40">
        <v>7</v>
      </c>
      <c r="E96" s="48">
        <f>'Equip&amp;HIRE_Master'!D28</f>
        <v>205</v>
      </c>
      <c r="F96" s="48">
        <f t="shared" si="4"/>
        <v>1435</v>
      </c>
    </row>
    <row r="97" spans="1:6" x14ac:dyDescent="0.2">
      <c r="A97" s="40"/>
      <c r="B97" s="201" t="s">
        <v>201</v>
      </c>
      <c r="C97" s="40" t="s">
        <v>93</v>
      </c>
      <c r="E97" s="48">
        <f>'Equip&amp;HIRE_Master'!D29</f>
        <v>166.98</v>
      </c>
      <c r="F97" s="48">
        <f t="shared" si="4"/>
        <v>0</v>
      </c>
    </row>
    <row r="98" spans="1:6" x14ac:dyDescent="0.2">
      <c r="A98" s="40"/>
      <c r="B98" s="201" t="s">
        <v>202</v>
      </c>
      <c r="C98" s="40" t="s">
        <v>93</v>
      </c>
      <c r="E98" s="48">
        <f>'Equip&amp;HIRE_Master'!D30</f>
        <v>171.42857142857142</v>
      </c>
      <c r="F98" s="48">
        <f t="shared" si="4"/>
        <v>0</v>
      </c>
    </row>
    <row r="99" spans="1:6" ht="4.2" customHeight="1" x14ac:dyDescent="0.2">
      <c r="A99" s="40"/>
      <c r="B99" s="201"/>
      <c r="E99" s="48">
        <f>'Equip&amp;HIRE_Master'!D31</f>
        <v>0</v>
      </c>
      <c r="F99" s="48">
        <f t="shared" si="4"/>
        <v>0</v>
      </c>
    </row>
    <row r="100" spans="1:6" x14ac:dyDescent="0.2">
      <c r="A100" s="40"/>
      <c r="B100" s="201" t="s">
        <v>203</v>
      </c>
      <c r="C100" s="40" t="s">
        <v>93</v>
      </c>
      <c r="E100" s="48">
        <f>'Equip&amp;HIRE_Master'!D32</f>
        <v>0</v>
      </c>
      <c r="F100" s="48">
        <f t="shared" si="4"/>
        <v>0</v>
      </c>
    </row>
    <row r="101" spans="1:6" x14ac:dyDescent="0.2">
      <c r="A101" s="40"/>
      <c r="B101" s="201" t="s">
        <v>204</v>
      </c>
      <c r="C101" s="40" t="s">
        <v>93</v>
      </c>
      <c r="D101" s="40">
        <v>7</v>
      </c>
      <c r="E101" s="48">
        <f>'Equip&amp;HIRE_Master'!D33</f>
        <v>34.285714285714285</v>
      </c>
      <c r="F101" s="48">
        <f t="shared" si="4"/>
        <v>240</v>
      </c>
    </row>
    <row r="102" spans="1:6" x14ac:dyDescent="0.2">
      <c r="A102" s="40"/>
      <c r="B102" s="201" t="s">
        <v>205</v>
      </c>
      <c r="C102" s="40" t="s">
        <v>93</v>
      </c>
      <c r="E102" s="48">
        <f>'Equip&amp;HIRE_Master'!D34</f>
        <v>165</v>
      </c>
      <c r="F102" s="48">
        <f t="shared" si="4"/>
        <v>0</v>
      </c>
    </row>
    <row r="103" spans="1:6" x14ac:dyDescent="0.2">
      <c r="A103" s="40"/>
      <c r="B103" s="201" t="s">
        <v>206</v>
      </c>
      <c r="C103" s="40" t="s">
        <v>93</v>
      </c>
      <c r="E103" s="48">
        <f>'Equip&amp;HIRE_Master'!D35</f>
        <v>0</v>
      </c>
      <c r="F103" s="48">
        <f t="shared" si="4"/>
        <v>0</v>
      </c>
    </row>
    <row r="104" spans="1:6" x14ac:dyDescent="0.2">
      <c r="A104" s="40"/>
      <c r="B104" s="201" t="s">
        <v>207</v>
      </c>
      <c r="C104" s="40" t="s">
        <v>93</v>
      </c>
      <c r="E104" s="48">
        <f>'Equip&amp;HIRE_Master'!D36</f>
        <v>0</v>
      </c>
      <c r="F104" s="48">
        <f t="shared" si="4"/>
        <v>0</v>
      </c>
    </row>
    <row r="105" spans="1:6" x14ac:dyDescent="0.2">
      <c r="A105" s="40"/>
      <c r="B105" s="201" t="s">
        <v>208</v>
      </c>
      <c r="C105" s="40" t="s">
        <v>93</v>
      </c>
      <c r="E105" s="48">
        <f>'Equip&amp;HIRE_Master'!D37</f>
        <v>0</v>
      </c>
      <c r="F105" s="48">
        <f t="shared" si="4"/>
        <v>0</v>
      </c>
    </row>
    <row r="106" spans="1:6" x14ac:dyDescent="0.2">
      <c r="A106" s="40"/>
      <c r="B106" s="201" t="s">
        <v>209</v>
      </c>
      <c r="C106" s="40" t="s">
        <v>93</v>
      </c>
      <c r="E106" s="48">
        <f>'Equip&amp;HIRE_Master'!D38</f>
        <v>0</v>
      </c>
      <c r="F106" s="48">
        <f t="shared" si="4"/>
        <v>0</v>
      </c>
    </row>
    <row r="107" spans="1:6" ht="6" customHeight="1" x14ac:dyDescent="0.2">
      <c r="A107" s="40"/>
      <c r="B107" s="201"/>
      <c r="E107" s="48">
        <f>'Equip&amp;HIRE_Master'!D39</f>
        <v>0</v>
      </c>
      <c r="F107" s="48">
        <f t="shared" si="4"/>
        <v>0</v>
      </c>
    </row>
    <row r="108" spans="1:6" x14ac:dyDescent="0.2">
      <c r="A108" s="40"/>
      <c r="B108" s="201" t="s">
        <v>210</v>
      </c>
      <c r="C108" s="40" t="s">
        <v>93</v>
      </c>
      <c r="E108" s="48">
        <f>'Equip&amp;HIRE_Master'!D40</f>
        <v>5.46</v>
      </c>
      <c r="F108" s="48">
        <f t="shared" si="4"/>
        <v>0</v>
      </c>
    </row>
    <row r="109" spans="1:6" x14ac:dyDescent="0.2">
      <c r="A109" s="40"/>
      <c r="B109" s="201" t="s">
        <v>211</v>
      </c>
      <c r="C109" s="40" t="s">
        <v>93</v>
      </c>
      <c r="E109" s="48">
        <f>'Equip&amp;HIRE_Master'!D41</f>
        <v>23</v>
      </c>
      <c r="F109" s="48">
        <f t="shared" si="4"/>
        <v>0</v>
      </c>
    </row>
    <row r="110" spans="1:6" x14ac:dyDescent="0.2">
      <c r="A110" s="40"/>
      <c r="B110" s="201" t="s">
        <v>212</v>
      </c>
      <c r="C110" s="40" t="s">
        <v>93</v>
      </c>
      <c r="E110" s="48">
        <f>'Equip&amp;HIRE_Master'!D42</f>
        <v>23</v>
      </c>
      <c r="F110" s="48">
        <f t="shared" si="4"/>
        <v>0</v>
      </c>
    </row>
    <row r="111" spans="1:6" hidden="1" x14ac:dyDescent="0.2">
      <c r="A111" s="40"/>
      <c r="B111" s="201" t="s">
        <v>213</v>
      </c>
      <c r="C111" s="40" t="s">
        <v>93</v>
      </c>
      <c r="E111" s="48">
        <f>'Equip&amp;HIRE_Master'!D43</f>
        <v>0</v>
      </c>
      <c r="F111" s="48">
        <f t="shared" si="4"/>
        <v>0</v>
      </c>
    </row>
    <row r="112" spans="1:6" hidden="1" x14ac:dyDescent="0.2">
      <c r="A112" s="40"/>
      <c r="B112" s="201" t="s">
        <v>214</v>
      </c>
      <c r="C112" s="40" t="s">
        <v>93</v>
      </c>
      <c r="E112" s="48">
        <f>'Equip&amp;HIRE_Master'!D44</f>
        <v>0</v>
      </c>
      <c r="F112" s="48">
        <f t="shared" si="4"/>
        <v>0</v>
      </c>
    </row>
    <row r="113" spans="1:6" hidden="1" x14ac:dyDescent="0.2">
      <c r="A113" s="40"/>
      <c r="B113" s="201" t="s">
        <v>215</v>
      </c>
      <c r="C113" s="40" t="s">
        <v>93</v>
      </c>
      <c r="E113" s="48">
        <f>'Equip&amp;HIRE_Master'!D45</f>
        <v>0</v>
      </c>
      <c r="F113" s="48">
        <f t="shared" si="4"/>
        <v>0</v>
      </c>
    </row>
    <row r="114" spans="1:6" hidden="1" x14ac:dyDescent="0.2">
      <c r="A114" s="40"/>
      <c r="B114" s="201" t="s">
        <v>216</v>
      </c>
      <c r="C114" s="40" t="s">
        <v>93</v>
      </c>
      <c r="E114" s="48">
        <f>'Equip&amp;HIRE_Master'!D46</f>
        <v>0</v>
      </c>
      <c r="F114" s="48">
        <f t="shared" si="4"/>
        <v>0</v>
      </c>
    </row>
    <row r="115" spans="1:6" hidden="1" x14ac:dyDescent="0.2">
      <c r="A115" s="40"/>
      <c r="B115" s="201" t="s">
        <v>217</v>
      </c>
      <c r="C115" s="40" t="s">
        <v>93</v>
      </c>
      <c r="E115" s="48">
        <f>'Equip&amp;HIRE_Master'!D47</f>
        <v>0</v>
      </c>
      <c r="F115" s="48">
        <f t="shared" si="4"/>
        <v>0</v>
      </c>
    </row>
    <row r="116" spans="1:6" hidden="1" x14ac:dyDescent="0.2">
      <c r="A116" s="40"/>
      <c r="B116" s="201" t="s">
        <v>218</v>
      </c>
      <c r="C116" s="40" t="s">
        <v>93</v>
      </c>
      <c r="E116" s="48">
        <f>'Equip&amp;HIRE_Master'!D48</f>
        <v>0</v>
      </c>
      <c r="F116" s="48">
        <f t="shared" si="4"/>
        <v>0</v>
      </c>
    </row>
    <row r="117" spans="1:6" hidden="1" x14ac:dyDescent="0.2">
      <c r="A117" s="40"/>
      <c r="B117" s="201" t="s">
        <v>219</v>
      </c>
      <c r="C117" s="40" t="s">
        <v>93</v>
      </c>
      <c r="E117" s="48">
        <f>'Equip&amp;HIRE_Master'!D49</f>
        <v>0</v>
      </c>
      <c r="F117" s="48">
        <f t="shared" si="4"/>
        <v>0</v>
      </c>
    </row>
    <row r="118" spans="1:6" hidden="1" x14ac:dyDescent="0.2">
      <c r="A118" s="40"/>
      <c r="B118" s="201" t="s">
        <v>220</v>
      </c>
      <c r="C118" s="40" t="s">
        <v>93</v>
      </c>
      <c r="E118" s="48">
        <f>'Equip&amp;HIRE_Master'!D50</f>
        <v>0</v>
      </c>
      <c r="F118" s="48">
        <f t="shared" si="4"/>
        <v>0</v>
      </c>
    </row>
    <row r="119" spans="1:6" hidden="1" x14ac:dyDescent="0.2">
      <c r="A119" s="40"/>
      <c r="B119" s="201" t="s">
        <v>221</v>
      </c>
      <c r="C119" s="40" t="s">
        <v>93</v>
      </c>
      <c r="E119" s="48">
        <f>'Equip&amp;HIRE_Master'!D51</f>
        <v>0</v>
      </c>
      <c r="F119" s="48">
        <f t="shared" si="4"/>
        <v>0</v>
      </c>
    </row>
    <row r="120" spans="1:6" hidden="1" x14ac:dyDescent="0.2">
      <c r="A120" s="40"/>
      <c r="B120" s="201" t="s">
        <v>222</v>
      </c>
      <c r="C120" s="40" t="s">
        <v>93</v>
      </c>
      <c r="E120" s="48">
        <f>'Equip&amp;HIRE_Master'!D52</f>
        <v>0</v>
      </c>
      <c r="F120" s="48">
        <f t="shared" si="4"/>
        <v>0</v>
      </c>
    </row>
    <row r="121" spans="1:6" ht="6" customHeight="1" x14ac:dyDescent="0.2">
      <c r="A121" s="40"/>
      <c r="B121" s="201"/>
      <c r="E121" s="48">
        <f>'Equip&amp;HIRE_Master'!D53</f>
        <v>0</v>
      </c>
      <c r="F121" s="48">
        <f t="shared" si="4"/>
        <v>0</v>
      </c>
    </row>
    <row r="122" spans="1:6" x14ac:dyDescent="0.2">
      <c r="A122" s="40"/>
      <c r="B122" s="201" t="s">
        <v>223</v>
      </c>
      <c r="C122" s="40" t="s">
        <v>93</v>
      </c>
      <c r="E122" s="48">
        <f>'Equip&amp;HIRE_Master'!D54</f>
        <v>0</v>
      </c>
      <c r="F122" s="48">
        <f t="shared" si="4"/>
        <v>0</v>
      </c>
    </row>
    <row r="123" spans="1:6" x14ac:dyDescent="0.2">
      <c r="A123" s="40"/>
      <c r="B123" s="201" t="s">
        <v>224</v>
      </c>
      <c r="C123" s="40" t="s">
        <v>225</v>
      </c>
      <c r="E123" s="48">
        <f>'Equip&amp;HIRE_Master'!D55</f>
        <v>230</v>
      </c>
      <c r="F123" s="48">
        <f t="shared" si="4"/>
        <v>0</v>
      </c>
    </row>
    <row r="124" spans="1:6" x14ac:dyDescent="0.2">
      <c r="A124" s="40"/>
      <c r="B124" s="201" t="s">
        <v>226</v>
      </c>
      <c r="C124" s="40" t="s">
        <v>227</v>
      </c>
      <c r="E124" s="48">
        <f>'Equip&amp;HIRE_Master'!D56</f>
        <v>309</v>
      </c>
      <c r="F124" s="48">
        <f t="shared" si="4"/>
        <v>0</v>
      </c>
    </row>
    <row r="125" spans="1:6" x14ac:dyDescent="0.2">
      <c r="A125" s="40"/>
      <c r="B125" s="201" t="s">
        <v>228</v>
      </c>
      <c r="C125" s="40" t="s">
        <v>229</v>
      </c>
      <c r="E125" s="48">
        <f>'Equip&amp;HIRE_Master'!D57</f>
        <v>35</v>
      </c>
      <c r="F125" s="48">
        <f t="shared" si="4"/>
        <v>0</v>
      </c>
    </row>
    <row r="126" spans="1:6" x14ac:dyDescent="0.2">
      <c r="A126" s="40"/>
      <c r="B126" s="201" t="s">
        <v>230</v>
      </c>
      <c r="C126" s="40" t="s">
        <v>231</v>
      </c>
      <c r="E126" s="48">
        <f>'Equip&amp;HIRE_Master'!D58</f>
        <v>229.9</v>
      </c>
      <c r="F126" s="48">
        <f t="shared" si="4"/>
        <v>0</v>
      </c>
    </row>
    <row r="127" spans="1:6" x14ac:dyDescent="0.2">
      <c r="A127" s="40"/>
      <c r="B127" s="201" t="s">
        <v>232</v>
      </c>
      <c r="C127" s="40" t="s">
        <v>231</v>
      </c>
      <c r="E127" s="48">
        <f>'Equip&amp;HIRE_Master'!D59</f>
        <v>239.8</v>
      </c>
      <c r="F127" s="48">
        <f t="shared" si="4"/>
        <v>0</v>
      </c>
    </row>
    <row r="128" spans="1:6" x14ac:dyDescent="0.2">
      <c r="A128" s="40"/>
      <c r="B128" s="201" t="s">
        <v>233</v>
      </c>
      <c r="C128" s="40" t="s">
        <v>227</v>
      </c>
      <c r="E128" s="48">
        <f>'Equip&amp;HIRE_Master'!D60</f>
        <v>309</v>
      </c>
      <c r="F128" s="48">
        <f t="shared" si="4"/>
        <v>0</v>
      </c>
    </row>
    <row r="129" spans="1:6" x14ac:dyDescent="0.2">
      <c r="A129" s="40"/>
      <c r="B129" s="201" t="s">
        <v>234</v>
      </c>
      <c r="C129" s="40" t="s">
        <v>229</v>
      </c>
      <c r="E129" s="48">
        <f>'Equip&amp;HIRE_Master'!D61</f>
        <v>35</v>
      </c>
      <c r="F129" s="48">
        <f t="shared" si="4"/>
        <v>0</v>
      </c>
    </row>
    <row r="130" spans="1:6" x14ac:dyDescent="0.2">
      <c r="A130" s="40"/>
      <c r="B130" s="201" t="s">
        <v>235</v>
      </c>
      <c r="C130" s="40" t="s">
        <v>93</v>
      </c>
      <c r="E130" s="48">
        <f>'Equip&amp;HIRE_Master'!D62</f>
        <v>295.77</v>
      </c>
      <c r="F130" s="48">
        <f t="shared" si="4"/>
        <v>0</v>
      </c>
    </row>
    <row r="131" spans="1:6" x14ac:dyDescent="0.2">
      <c r="A131" s="40"/>
      <c r="B131" s="201" t="s">
        <v>236</v>
      </c>
      <c r="C131" s="40" t="s">
        <v>93</v>
      </c>
      <c r="E131" s="48">
        <f>'Equip&amp;HIRE_Master'!D63</f>
        <v>355</v>
      </c>
      <c r="F131" s="48">
        <f t="shared" si="4"/>
        <v>0</v>
      </c>
    </row>
    <row r="132" spans="1:6" ht="6" customHeight="1" x14ac:dyDescent="0.2">
      <c r="A132" s="40"/>
      <c r="B132" s="201"/>
      <c r="E132" s="48">
        <f>'Equip&amp;HIRE_Master'!D64</f>
        <v>0</v>
      </c>
      <c r="F132" s="48">
        <f t="shared" si="4"/>
        <v>0</v>
      </c>
    </row>
    <row r="133" spans="1:6" x14ac:dyDescent="0.2">
      <c r="A133" s="40"/>
      <c r="B133" s="201" t="s">
        <v>237</v>
      </c>
      <c r="C133" s="40" t="s">
        <v>93</v>
      </c>
      <c r="E133" s="48">
        <f>'Equip&amp;HIRE_Master'!D65</f>
        <v>0</v>
      </c>
      <c r="F133" s="48">
        <f t="shared" si="4"/>
        <v>0</v>
      </c>
    </row>
    <row r="134" spans="1:6" x14ac:dyDescent="0.2">
      <c r="A134" s="40"/>
      <c r="B134" s="201" t="s">
        <v>238</v>
      </c>
      <c r="C134" s="40" t="s">
        <v>239</v>
      </c>
      <c r="E134" s="48">
        <f>'Equip&amp;HIRE_Master'!D66</f>
        <v>180</v>
      </c>
      <c r="F134" s="48">
        <f t="shared" si="4"/>
        <v>0</v>
      </c>
    </row>
    <row r="135" spans="1:6" x14ac:dyDescent="0.2">
      <c r="A135" s="40"/>
      <c r="B135" s="201" t="s">
        <v>240</v>
      </c>
      <c r="C135" s="40" t="s">
        <v>239</v>
      </c>
      <c r="E135" s="48">
        <f>'Equip&amp;HIRE_Master'!D67</f>
        <v>125</v>
      </c>
      <c r="F135" s="48">
        <f t="shared" si="4"/>
        <v>0</v>
      </c>
    </row>
    <row r="136" spans="1:6" x14ac:dyDescent="0.2">
      <c r="A136" s="40"/>
      <c r="B136" s="201" t="s">
        <v>241</v>
      </c>
      <c r="C136" s="40" t="s">
        <v>239</v>
      </c>
      <c r="E136" s="48">
        <f>'Equip&amp;HIRE_Master'!D68</f>
        <v>160</v>
      </c>
      <c r="F136" s="48">
        <f t="shared" si="4"/>
        <v>0</v>
      </c>
    </row>
    <row r="137" spans="1:6" x14ac:dyDescent="0.2">
      <c r="A137" s="40"/>
      <c r="B137" s="201" t="s">
        <v>242</v>
      </c>
      <c r="C137" s="40" t="s">
        <v>239</v>
      </c>
      <c r="E137" s="48">
        <f>'Equip&amp;HIRE_Master'!D69</f>
        <v>200</v>
      </c>
      <c r="F137" s="48">
        <f t="shared" ref="F137" si="5">E137*D137</f>
        <v>0</v>
      </c>
    </row>
    <row r="138" spans="1:6" x14ac:dyDescent="0.2">
      <c r="A138" s="40"/>
      <c r="E138" s="48"/>
      <c r="F138" s="48"/>
    </row>
    <row r="139" spans="1:6" x14ac:dyDescent="0.2">
      <c r="A139" s="40"/>
      <c r="B139" s="201" t="s">
        <v>244</v>
      </c>
      <c r="C139" s="40" t="s">
        <v>229</v>
      </c>
      <c r="D139" s="40">
        <v>1</v>
      </c>
      <c r="E139" s="48">
        <v>1850</v>
      </c>
      <c r="F139" s="48">
        <f t="shared" ref="F139" si="6">E139*D139</f>
        <v>1850</v>
      </c>
    </row>
    <row r="140" spans="1:6" ht="10.8" thickBot="1" x14ac:dyDescent="0.25">
      <c r="A140" s="40"/>
      <c r="E140" s="48"/>
      <c r="F140" s="48"/>
    </row>
    <row r="141" spans="1:6" ht="10.8" thickBot="1" x14ac:dyDescent="0.25">
      <c r="A141" s="42"/>
      <c r="B141" s="49" t="s">
        <v>245</v>
      </c>
      <c r="E141" s="48"/>
      <c r="F141" s="48"/>
    </row>
    <row r="142" spans="1:6" x14ac:dyDescent="0.2">
      <c r="E142" s="48"/>
      <c r="F142" s="48"/>
    </row>
    <row r="143" spans="1:6" x14ac:dyDescent="0.2">
      <c r="B143" s="38" t="s">
        <v>246</v>
      </c>
      <c r="C143" s="40" t="s">
        <v>115</v>
      </c>
      <c r="E143" s="48">
        <f>'Misc Subbie Rates_Master'!D35</f>
        <v>180</v>
      </c>
      <c r="F143" s="48">
        <f>E143*D143</f>
        <v>0</v>
      </c>
    </row>
    <row r="144" spans="1:6" x14ac:dyDescent="0.2">
      <c r="B144" s="38" t="s">
        <v>247</v>
      </c>
      <c r="C144" s="40" t="s">
        <v>115</v>
      </c>
      <c r="E144" s="48">
        <f>'Misc Subbie Rates_Master'!D42</f>
        <v>130</v>
      </c>
      <c r="F144" s="48">
        <f t="shared" ref="F144:F151" si="7">E144*D144</f>
        <v>0</v>
      </c>
    </row>
    <row r="145" spans="1:6" x14ac:dyDescent="0.2">
      <c r="B145" s="38" t="s">
        <v>248</v>
      </c>
      <c r="C145" s="40" t="s">
        <v>115</v>
      </c>
      <c r="D145" s="40">
        <v>2</v>
      </c>
      <c r="E145" s="48">
        <f>'Misc Subbie Rates_Master'!D72</f>
        <v>115</v>
      </c>
      <c r="F145" s="48">
        <f t="shared" si="7"/>
        <v>230</v>
      </c>
    </row>
    <row r="146" spans="1:6" x14ac:dyDescent="0.2">
      <c r="B146" s="38" t="s">
        <v>249</v>
      </c>
      <c r="C146" s="40" t="s">
        <v>115</v>
      </c>
      <c r="D146" s="40">
        <v>1</v>
      </c>
      <c r="E146" s="48">
        <f>'Misc Subbie Rates_Master'!D73</f>
        <v>90</v>
      </c>
      <c r="F146" s="48">
        <f t="shared" si="7"/>
        <v>90</v>
      </c>
    </row>
    <row r="147" spans="1:6" x14ac:dyDescent="0.2">
      <c r="C147" s="40" t="s">
        <v>115</v>
      </c>
      <c r="E147" s="48"/>
      <c r="F147" s="48">
        <f t="shared" si="7"/>
        <v>0</v>
      </c>
    </row>
    <row r="148" spans="1:6" x14ac:dyDescent="0.2">
      <c r="C148" s="40" t="s">
        <v>115</v>
      </c>
      <c r="E148" s="48"/>
      <c r="F148" s="48">
        <f t="shared" si="7"/>
        <v>0</v>
      </c>
    </row>
    <row r="149" spans="1:6" x14ac:dyDescent="0.2">
      <c r="B149" s="284" t="s">
        <v>250</v>
      </c>
      <c r="C149" s="40" t="s">
        <v>115</v>
      </c>
      <c r="E149" s="48"/>
      <c r="F149" s="48">
        <f t="shared" si="7"/>
        <v>0</v>
      </c>
    </row>
    <row r="150" spans="1:6" x14ac:dyDescent="0.2">
      <c r="B150" s="1" t="s">
        <v>251</v>
      </c>
      <c r="C150" s="40" t="s">
        <v>115</v>
      </c>
      <c r="E150" s="48">
        <f>'Misc Subbie Rates_Master'!D84</f>
        <v>1945</v>
      </c>
      <c r="F150" s="48">
        <f t="shared" si="7"/>
        <v>0</v>
      </c>
    </row>
    <row r="151" spans="1:6" x14ac:dyDescent="0.2">
      <c r="B151" s="38" t="s">
        <v>252</v>
      </c>
      <c r="C151" s="40" t="s">
        <v>115</v>
      </c>
      <c r="E151" s="48">
        <f>'Misc Subbie Rates_Master'!D86</f>
        <v>350</v>
      </c>
      <c r="F151" s="48">
        <f t="shared" si="7"/>
        <v>0</v>
      </c>
    </row>
    <row r="152" spans="1:6" x14ac:dyDescent="0.2">
      <c r="E152" s="48"/>
      <c r="F152" s="48"/>
    </row>
    <row r="153" spans="1:6" ht="10.8" thickBot="1" x14ac:dyDescent="0.25">
      <c r="E153" s="48"/>
      <c r="F153" s="48"/>
    </row>
    <row r="154" spans="1:6" ht="10.8" thickBot="1" x14ac:dyDescent="0.25">
      <c r="A154" s="42"/>
      <c r="B154" s="49" t="s">
        <v>253</v>
      </c>
      <c r="E154" s="48"/>
      <c r="F154" s="48"/>
    </row>
    <row r="155" spans="1:6" x14ac:dyDescent="0.2">
      <c r="E155" s="48"/>
      <c r="F155" s="48"/>
    </row>
    <row r="156" spans="1:6" x14ac:dyDescent="0.2">
      <c r="B156" s="38" t="str">
        <f>'Material Rates_Master'!A185</f>
        <v>Bedding / Fill Sand</v>
      </c>
      <c r="C156" s="40" t="str">
        <f>'Material Rates_Master'!B185</f>
        <v>m3</v>
      </c>
      <c r="E156" s="48">
        <f>'Material Rates_Master'!D185</f>
        <v>39.75</v>
      </c>
      <c r="F156" s="48">
        <f>E156*D156</f>
        <v>0</v>
      </c>
    </row>
    <row r="157" spans="1:6" x14ac:dyDescent="0.2">
      <c r="B157" s="38" t="str">
        <f>'Material Rates_Master'!A186</f>
        <v>CBR 45/2.5 Roadbase</v>
      </c>
      <c r="C157" s="40" t="str">
        <f>'Material Rates_Master'!B186</f>
        <v>m3</v>
      </c>
      <c r="E157" s="48">
        <f>'Material Rates_Master'!D186</f>
        <v>41.9</v>
      </c>
      <c r="F157" s="48">
        <f t="shared" ref="F157:F164" si="8">E157*D157</f>
        <v>0</v>
      </c>
    </row>
    <row r="158" spans="1:6" x14ac:dyDescent="0.2">
      <c r="B158" s="38" t="str">
        <f>'Material Rates_Master'!A187</f>
        <v>Turf Underlay/Topsoil</v>
      </c>
      <c r="C158" s="40" t="str">
        <f>'Material Rates_Master'!B187</f>
        <v>m3</v>
      </c>
      <c r="E158" s="48">
        <f>'Material Rates_Master'!D187</f>
        <v>45.25</v>
      </c>
      <c r="F158" s="48">
        <f t="shared" si="8"/>
        <v>0</v>
      </c>
    </row>
    <row r="159" spans="1:6" x14ac:dyDescent="0.2">
      <c r="B159" s="38" t="str">
        <f>'Material Rates_Master'!A188</f>
        <v>Standard Garden Woodchip</v>
      </c>
      <c r="C159" s="40" t="str">
        <f>'Material Rates_Master'!B188</f>
        <v>m3</v>
      </c>
      <c r="E159" s="48">
        <f>'Material Rates_Master'!D188</f>
        <v>87</v>
      </c>
      <c r="F159" s="48">
        <f t="shared" si="8"/>
        <v>0</v>
      </c>
    </row>
    <row r="160" spans="1:6" x14ac:dyDescent="0.2">
      <c r="B160" s="38" t="str">
        <f>'Material Rates_Master'!A189</f>
        <v>Turf - Standard Couch or Similar</v>
      </c>
      <c r="C160" s="40" t="str">
        <f>'Material Rates_Master'!B189</f>
        <v>Slab (.5m2)</v>
      </c>
      <c r="E160" s="48">
        <f>'Material Rates_Master'!D189</f>
        <v>6.48</v>
      </c>
      <c r="F160" s="48">
        <f t="shared" si="8"/>
        <v>0</v>
      </c>
    </row>
    <row r="161" spans="1:10" ht="4.2" customHeight="1" x14ac:dyDescent="0.2">
      <c r="E161" s="48"/>
      <c r="F161" s="48"/>
    </row>
    <row r="162" spans="1:10" x14ac:dyDescent="0.2">
      <c r="B162" s="38" t="str">
        <f>'Material Rates_Master'!A193</f>
        <v>Cement Stabalized Sand (3-5%)</v>
      </c>
      <c r="C162" s="40" t="str">
        <f>'Material Rates_Master'!B193</f>
        <v>m3</v>
      </c>
      <c r="E162" s="48">
        <f>'Material Rates_Master'!D193</f>
        <v>169</v>
      </c>
      <c r="F162" s="48">
        <f t="shared" si="8"/>
        <v>0</v>
      </c>
    </row>
    <row r="163" spans="1:10" x14ac:dyDescent="0.2">
      <c r="B163" s="38" t="str">
        <f>'Material Rates_Master'!A194</f>
        <v>Exposed Agg Concrete - Standard/Cheapest Exposed Agg Stone</v>
      </c>
      <c r="C163" s="40" t="str">
        <f>'Material Rates_Master'!B194</f>
        <v>m3</v>
      </c>
      <c r="E163" s="48">
        <f>'Material Rates_Master'!D194</f>
        <v>252</v>
      </c>
      <c r="F163" s="48">
        <f t="shared" si="8"/>
        <v>0</v>
      </c>
    </row>
    <row r="164" spans="1:10" x14ac:dyDescent="0.2">
      <c r="B164" s="38" t="str">
        <f>'Material Rates_Master'!A195</f>
        <v>N25 20mm 80 Slump Concrete</v>
      </c>
      <c r="C164" s="40" t="str">
        <f>'Material Rates_Master'!B195</f>
        <v>m3</v>
      </c>
      <c r="E164" s="48">
        <f>'Material Rates_Master'!D195</f>
        <v>263</v>
      </c>
      <c r="F164" s="48">
        <f t="shared" si="8"/>
        <v>0</v>
      </c>
    </row>
    <row r="165" spans="1:10" x14ac:dyDescent="0.2">
      <c r="E165" s="48"/>
      <c r="F165" s="48"/>
    </row>
    <row r="166" spans="1:10" x14ac:dyDescent="0.2">
      <c r="B166" s="38" t="s">
        <v>254</v>
      </c>
      <c r="C166" s="40" t="s">
        <v>115</v>
      </c>
      <c r="E166" s="48">
        <v>380</v>
      </c>
      <c r="F166" s="48">
        <f t="shared" ref="F166" si="9">E166*D166</f>
        <v>0</v>
      </c>
    </row>
    <row r="167" spans="1:10" x14ac:dyDescent="0.2">
      <c r="E167" s="48"/>
      <c r="F167" s="48"/>
    </row>
    <row r="168" spans="1:10" x14ac:dyDescent="0.2">
      <c r="B168" s="201"/>
      <c r="C168" s="38"/>
      <c r="D168" s="38"/>
      <c r="E168" s="38"/>
      <c r="F168" s="38"/>
    </row>
    <row r="169" spans="1:10" x14ac:dyDescent="0.2">
      <c r="A169" s="42"/>
      <c r="B169" s="332" t="s">
        <v>255</v>
      </c>
      <c r="E169" s="48"/>
      <c r="F169" s="48"/>
    </row>
    <row r="170" spans="1:10" x14ac:dyDescent="0.2">
      <c r="E170" s="48"/>
      <c r="F170" s="48"/>
    </row>
    <row r="171" spans="1:10" ht="13.2" x14ac:dyDescent="0.2">
      <c r="A171" s="40"/>
      <c r="B171" s="300" t="s">
        <v>256</v>
      </c>
      <c r="C171" s="40" t="str">
        <f>'Material Rates_Master'!B5</f>
        <v>m</v>
      </c>
      <c r="D171" s="292"/>
      <c r="E171" s="48">
        <f>'Material Rates_Master'!D5*$M$16</f>
        <v>46.810749999999999</v>
      </c>
      <c r="F171" s="48">
        <f t="shared" ref="F171:F234" si="10">E171*D171</f>
        <v>0</v>
      </c>
      <c r="H171" s="20"/>
      <c r="I171" s="47"/>
      <c r="J171" s="47"/>
    </row>
    <row r="172" spans="1:10" x14ac:dyDescent="0.2">
      <c r="A172" s="40"/>
      <c r="B172" s="300" t="s">
        <v>257</v>
      </c>
      <c r="C172" s="40" t="str">
        <f>'Material Rates_Master'!B6</f>
        <v>m</v>
      </c>
      <c r="D172" s="240"/>
      <c r="E172" s="48">
        <f>'Material Rates_Master'!D6*$M$16</f>
        <v>35.143999999999998</v>
      </c>
      <c r="F172" s="48">
        <f t="shared" si="10"/>
        <v>0</v>
      </c>
      <c r="H172" s="20"/>
    </row>
    <row r="173" spans="1:10" x14ac:dyDescent="0.2">
      <c r="A173" s="40"/>
      <c r="B173" s="300" t="s">
        <v>258</v>
      </c>
      <c r="C173" s="40" t="str">
        <f>'Material Rates_Master'!B7</f>
        <v>m</v>
      </c>
      <c r="D173" s="37">
        <v>6</v>
      </c>
      <c r="E173" s="48">
        <f>'Material Rates_Master'!D7*$M$16</f>
        <v>16.993549999999999</v>
      </c>
      <c r="F173" s="48">
        <f t="shared" si="10"/>
        <v>101.96129999999999</v>
      </c>
      <c r="H173" s="20"/>
    </row>
    <row r="174" spans="1:10" x14ac:dyDescent="0.2">
      <c r="A174" s="40"/>
      <c r="B174" s="300" t="s">
        <v>260</v>
      </c>
      <c r="C174" s="40" t="str">
        <f>'Material Rates_Master'!B8</f>
        <v>m</v>
      </c>
      <c r="D174" s="37"/>
      <c r="E174" s="48">
        <f>'Material Rates_Master'!D8*$M$16</f>
        <v>1.6779419999999998</v>
      </c>
      <c r="F174" s="48">
        <f t="shared" si="10"/>
        <v>0</v>
      </c>
      <c r="H174" s="20"/>
    </row>
    <row r="175" spans="1:10" ht="4.2" customHeight="1" x14ac:dyDescent="0.2">
      <c r="A175" s="40"/>
      <c r="B175" s="300"/>
      <c r="E175" s="48">
        <f>'Material Rates_Master'!D9*$M$16</f>
        <v>0</v>
      </c>
      <c r="F175" s="48"/>
      <c r="H175" s="20"/>
    </row>
    <row r="176" spans="1:10" x14ac:dyDescent="0.2">
      <c r="A176" s="40"/>
      <c r="B176" s="300" t="s">
        <v>261</v>
      </c>
      <c r="C176" s="40" t="str">
        <f>'Material Rates_Master'!B10</f>
        <v>ea</v>
      </c>
      <c r="D176" s="240"/>
      <c r="E176" s="48">
        <f>'Material Rates_Master'!D10*$M$16</f>
        <v>60.802799999999998</v>
      </c>
      <c r="F176" s="48">
        <f t="shared" si="10"/>
        <v>0</v>
      </c>
      <c r="H176" s="20"/>
    </row>
    <row r="177" spans="1:8" x14ac:dyDescent="0.2">
      <c r="A177" s="40"/>
      <c r="B177" s="300" t="s">
        <v>262</v>
      </c>
      <c r="C177" s="40" t="str">
        <f>'Material Rates_Master'!B11</f>
        <v>ea</v>
      </c>
      <c r="D177" s="37"/>
      <c r="E177" s="48">
        <f>'Material Rates_Master'!D11*$M$16</f>
        <v>35.493599999999994</v>
      </c>
      <c r="F177" s="48">
        <f t="shared" si="10"/>
        <v>0</v>
      </c>
      <c r="H177" s="20"/>
    </row>
    <row r="178" spans="1:8" x14ac:dyDescent="0.2">
      <c r="A178" s="40"/>
      <c r="B178" s="300" t="s">
        <v>263</v>
      </c>
      <c r="C178" s="40" t="str">
        <f>'Material Rates_Master'!B12</f>
        <v>ea</v>
      </c>
      <c r="D178" s="240">
        <v>1</v>
      </c>
      <c r="E178" s="48">
        <f>'Material Rates_Master'!D12*$M$16</f>
        <v>19.471799999999998</v>
      </c>
      <c r="F178" s="48">
        <f t="shared" si="10"/>
        <v>19.471799999999998</v>
      </c>
      <c r="H178" s="20"/>
    </row>
    <row r="179" spans="1:8" x14ac:dyDescent="0.2">
      <c r="A179" s="40"/>
      <c r="B179" s="300" t="s">
        <v>264</v>
      </c>
      <c r="C179" s="40" t="str">
        <f>'Material Rates_Master'!B13</f>
        <v>ea</v>
      </c>
      <c r="D179" s="240"/>
      <c r="E179" s="48">
        <f>'Material Rates_Master'!D13*$M$16</f>
        <v>150.64079999999998</v>
      </c>
      <c r="F179" s="48">
        <f t="shared" si="10"/>
        <v>0</v>
      </c>
      <c r="H179" s="20"/>
    </row>
    <row r="180" spans="1:8" x14ac:dyDescent="0.2">
      <c r="A180" s="40"/>
      <c r="B180" s="300" t="s">
        <v>265</v>
      </c>
      <c r="C180" s="40" t="str">
        <f>'Material Rates_Master'!B14</f>
        <v>ea</v>
      </c>
      <c r="D180" s="240"/>
      <c r="E180" s="48">
        <f>'Material Rates_Master'!D14*$M$16</f>
        <v>135.1986</v>
      </c>
      <c r="F180" s="48">
        <f t="shared" si="10"/>
        <v>0</v>
      </c>
      <c r="H180" s="20"/>
    </row>
    <row r="181" spans="1:8" x14ac:dyDescent="0.2">
      <c r="A181" s="40"/>
      <c r="B181" s="300" t="s">
        <v>266</v>
      </c>
      <c r="C181" s="40" t="str">
        <f>'Material Rates_Master'!B15</f>
        <v>ea</v>
      </c>
      <c r="D181" s="240"/>
      <c r="E181" s="48">
        <f>'Material Rates_Master'!D15*$M$16</f>
        <v>61.672199999999989</v>
      </c>
      <c r="F181" s="48">
        <f t="shared" si="10"/>
        <v>0</v>
      </c>
      <c r="H181" s="20"/>
    </row>
    <row r="182" spans="1:8" x14ac:dyDescent="0.2">
      <c r="A182" s="40"/>
      <c r="B182" s="300" t="s">
        <v>267</v>
      </c>
      <c r="C182" s="40" t="str">
        <f>'Material Rates_Master'!B16</f>
        <v>ea</v>
      </c>
      <c r="D182" s="240"/>
      <c r="E182" s="48">
        <f>'Material Rates_Master'!D16*$M$16</f>
        <v>150.64079999999998</v>
      </c>
      <c r="F182" s="48">
        <f t="shared" si="10"/>
        <v>0</v>
      </c>
      <c r="H182" s="20"/>
    </row>
    <row r="183" spans="1:8" x14ac:dyDescent="0.2">
      <c r="A183" s="40"/>
      <c r="B183" s="300" t="s">
        <v>268</v>
      </c>
      <c r="C183" s="40" t="str">
        <f>'Material Rates_Master'!B17</f>
        <v>ea</v>
      </c>
      <c r="D183" s="240"/>
      <c r="E183" s="48">
        <f>'Material Rates_Master'!D17*$M$16</f>
        <v>134.9778</v>
      </c>
      <c r="F183" s="48">
        <f t="shared" si="10"/>
        <v>0</v>
      </c>
      <c r="H183" s="20"/>
    </row>
    <row r="184" spans="1:8" x14ac:dyDescent="0.2">
      <c r="A184" s="40"/>
      <c r="B184" s="300" t="s">
        <v>269</v>
      </c>
      <c r="C184" s="40" t="str">
        <f>'Material Rates_Master'!B18</f>
        <v>ea</v>
      </c>
      <c r="D184" s="240">
        <v>1</v>
      </c>
      <c r="E184" s="48">
        <f>'Material Rates_Master'!D18*$M$16</f>
        <v>61.61699999999999</v>
      </c>
      <c r="F184" s="48">
        <f t="shared" si="10"/>
        <v>61.61699999999999</v>
      </c>
      <c r="H184" s="20"/>
    </row>
    <row r="185" spans="1:8" x14ac:dyDescent="0.2">
      <c r="A185" s="40"/>
      <c r="B185" s="300" t="s">
        <v>270</v>
      </c>
      <c r="C185" s="40" t="str">
        <f>'Material Rates_Master'!B19</f>
        <v>ea</v>
      </c>
      <c r="D185" s="240"/>
      <c r="E185" s="48">
        <f>'Material Rates_Master'!D19*$M$16</f>
        <v>151.45499999999998</v>
      </c>
      <c r="F185" s="48">
        <f t="shared" si="10"/>
        <v>0</v>
      </c>
      <c r="H185" s="20"/>
    </row>
    <row r="186" spans="1:8" x14ac:dyDescent="0.2">
      <c r="A186" s="40"/>
      <c r="B186" s="300" t="s">
        <v>271</v>
      </c>
      <c r="C186" s="40" t="str">
        <f>'Material Rates_Master'!B20</f>
        <v>ea</v>
      </c>
      <c r="D186" s="240"/>
      <c r="E186" s="48">
        <f>'Material Rates_Master'!D20*$M$16</f>
        <v>157.7064</v>
      </c>
      <c r="F186" s="48">
        <f t="shared" si="10"/>
        <v>0</v>
      </c>
      <c r="H186" s="20"/>
    </row>
    <row r="187" spans="1:8" x14ac:dyDescent="0.2">
      <c r="A187" s="40"/>
      <c r="B187" s="300" t="s">
        <v>272</v>
      </c>
      <c r="C187" s="40" t="str">
        <f>'Material Rates_Master'!B21</f>
        <v>ea</v>
      </c>
      <c r="D187" s="240"/>
      <c r="E187" s="48">
        <f>'Material Rates_Master'!D21*$M$16</f>
        <v>67.964999999999989</v>
      </c>
      <c r="F187" s="48">
        <f t="shared" si="10"/>
        <v>0</v>
      </c>
      <c r="H187" s="20"/>
    </row>
    <row r="188" spans="1:8" x14ac:dyDescent="0.2">
      <c r="A188" s="40"/>
      <c r="B188" s="300" t="s">
        <v>273</v>
      </c>
      <c r="C188" s="40" t="str">
        <f>'Material Rates_Master'!B22</f>
        <v>ea</v>
      </c>
      <c r="D188" s="240"/>
      <c r="E188" s="48">
        <f>'Material Rates_Master'!D22*$M$16</f>
        <v>289.0686</v>
      </c>
      <c r="F188" s="48">
        <f t="shared" si="10"/>
        <v>0</v>
      </c>
      <c r="H188" s="20"/>
    </row>
    <row r="189" spans="1:8" x14ac:dyDescent="0.2">
      <c r="A189" s="40"/>
      <c r="B189" s="300" t="s">
        <v>274</v>
      </c>
      <c r="C189" s="40" t="str">
        <f>'Material Rates_Master'!B23</f>
        <v>ea</v>
      </c>
      <c r="D189" s="240"/>
      <c r="E189" s="48">
        <f>'Material Rates_Master'!D23*$M$16</f>
        <v>301.4196</v>
      </c>
      <c r="F189" s="48">
        <f t="shared" si="10"/>
        <v>0</v>
      </c>
      <c r="H189" s="20"/>
    </row>
    <row r="190" spans="1:8" x14ac:dyDescent="0.2">
      <c r="A190" s="40"/>
      <c r="B190" s="300" t="s">
        <v>275</v>
      </c>
      <c r="C190" s="40" t="str">
        <f>'Material Rates_Master'!B24</f>
        <v>ea</v>
      </c>
      <c r="D190" s="240"/>
      <c r="E190" s="48">
        <f>'Material Rates_Master'!D24*$M$16</f>
        <v>168.53939999999997</v>
      </c>
      <c r="F190" s="48">
        <f t="shared" si="10"/>
        <v>0</v>
      </c>
      <c r="H190" s="20"/>
    </row>
    <row r="191" spans="1:8" x14ac:dyDescent="0.2">
      <c r="A191" s="40"/>
      <c r="B191" s="300" t="s">
        <v>276</v>
      </c>
      <c r="C191" s="40" t="str">
        <f>'Material Rates_Master'!B25</f>
        <v>ea</v>
      </c>
      <c r="D191" s="240"/>
      <c r="E191" s="48">
        <f>'Material Rates_Master'!D25*$M$16</f>
        <v>173.35559999999998</v>
      </c>
      <c r="F191" s="48">
        <f t="shared" si="10"/>
        <v>0</v>
      </c>
      <c r="H191" s="20"/>
    </row>
    <row r="192" spans="1:8" x14ac:dyDescent="0.2">
      <c r="A192" s="40"/>
      <c r="B192" s="300" t="s">
        <v>277</v>
      </c>
      <c r="C192" s="40" t="str">
        <f>'Material Rates_Master'!B26</f>
        <v>ea</v>
      </c>
      <c r="D192" s="240">
        <v>1</v>
      </c>
      <c r="E192" s="48">
        <f>'Material Rates_Master'!D26*$M$16</f>
        <v>82.938000000000002</v>
      </c>
      <c r="F192" s="48">
        <f t="shared" si="10"/>
        <v>82.938000000000002</v>
      </c>
      <c r="H192" s="20"/>
    </row>
    <row r="193" spans="1:8" x14ac:dyDescent="0.2">
      <c r="A193" s="40"/>
      <c r="B193" s="300" t="s">
        <v>279</v>
      </c>
      <c r="C193" s="40" t="str">
        <f>'Material Rates_Master'!B27</f>
        <v>ea</v>
      </c>
      <c r="D193" s="240"/>
      <c r="E193" s="48">
        <f>'Material Rates_Master'!D27*$M$16</f>
        <v>472.44299999999998</v>
      </c>
      <c r="F193" s="48">
        <f t="shared" si="10"/>
        <v>0</v>
      </c>
      <c r="H193" s="20"/>
    </row>
    <row r="194" spans="1:8" x14ac:dyDescent="0.2">
      <c r="A194" s="40"/>
      <c r="B194" s="300" t="s">
        <v>280</v>
      </c>
      <c r="C194" s="40" t="str">
        <f>'Material Rates_Master'!B28</f>
        <v>ea</v>
      </c>
      <c r="D194" s="240"/>
      <c r="E194" s="48">
        <f>'Material Rates_Master'!D28*$M$16</f>
        <v>179.08260000000001</v>
      </c>
      <c r="F194" s="48">
        <f t="shared" si="10"/>
        <v>0</v>
      </c>
      <c r="H194" s="20"/>
    </row>
    <row r="195" spans="1:8" x14ac:dyDescent="0.2">
      <c r="A195" s="40"/>
      <c r="B195" s="300" t="s">
        <v>281</v>
      </c>
      <c r="C195" s="40" t="str">
        <f>'Material Rates_Master'!B29</f>
        <v>ea</v>
      </c>
      <c r="D195" s="240"/>
      <c r="E195" s="48">
        <f>'Material Rates_Master'!D29*$M$16</f>
        <v>127.88459999999999</v>
      </c>
      <c r="F195" s="48">
        <f t="shared" si="10"/>
        <v>0</v>
      </c>
      <c r="H195" s="20"/>
    </row>
    <row r="196" spans="1:8" x14ac:dyDescent="0.2">
      <c r="A196" s="40"/>
      <c r="B196" s="300" t="s">
        <v>282</v>
      </c>
      <c r="C196" s="40" t="str">
        <f>'Material Rates_Master'!B30</f>
        <v>ea</v>
      </c>
      <c r="D196" s="240">
        <v>1</v>
      </c>
      <c r="E196" s="48">
        <f>'Material Rates_Master'!D30*$M$16</f>
        <v>432.20219999999995</v>
      </c>
      <c r="F196" s="48">
        <f t="shared" si="10"/>
        <v>432.20219999999995</v>
      </c>
      <c r="H196" s="20"/>
    </row>
    <row r="197" spans="1:8" x14ac:dyDescent="0.2">
      <c r="A197" s="40"/>
      <c r="B197" s="300" t="s">
        <v>283</v>
      </c>
      <c r="C197" s="40" t="str">
        <f>'Material Rates_Master'!B31</f>
        <v>ea</v>
      </c>
      <c r="D197" s="240"/>
      <c r="E197" s="48">
        <f>'Material Rates_Master'!D31*$M$16</f>
        <v>281.67180000000002</v>
      </c>
      <c r="F197" s="48">
        <f t="shared" si="10"/>
        <v>0</v>
      </c>
      <c r="H197" s="20"/>
    </row>
    <row r="198" spans="1:8" ht="6" customHeight="1" x14ac:dyDescent="0.2">
      <c r="A198" s="40"/>
      <c r="B198" s="300"/>
      <c r="C198" s="40">
        <f>'Material Rates_Master'!B32</f>
        <v>0</v>
      </c>
      <c r="E198" s="48">
        <f>'Material Rates_Master'!D32*$M$16</f>
        <v>0</v>
      </c>
      <c r="F198" s="48">
        <f t="shared" si="10"/>
        <v>0</v>
      </c>
      <c r="H198" s="20"/>
    </row>
    <row r="199" spans="1:8" x14ac:dyDescent="0.2">
      <c r="A199" s="40"/>
      <c r="B199" s="1" t="s">
        <v>284</v>
      </c>
      <c r="C199" s="40" t="str">
        <f>'Material Rates_Master'!B33</f>
        <v>ea</v>
      </c>
      <c r="E199" s="48">
        <f>'Material Rates_Master'!D33*$M$16</f>
        <v>435.67979999999994</v>
      </c>
      <c r="F199" s="48">
        <f t="shared" si="10"/>
        <v>0</v>
      </c>
      <c r="H199" s="20"/>
    </row>
    <row r="200" spans="1:8" x14ac:dyDescent="0.2">
      <c r="A200" s="40"/>
      <c r="B200" s="1" t="s">
        <v>285</v>
      </c>
      <c r="C200" s="40" t="str">
        <f>'Material Rates_Master'!B34</f>
        <v>ea</v>
      </c>
      <c r="E200" s="48">
        <f>'Material Rates_Master'!D34*$M$16</f>
        <v>277.97339999999997</v>
      </c>
      <c r="F200" s="48">
        <f t="shared" si="10"/>
        <v>0</v>
      </c>
      <c r="H200" s="20"/>
    </row>
    <row r="201" spans="1:8" x14ac:dyDescent="0.2">
      <c r="A201" s="40"/>
      <c r="B201" s="300" t="s">
        <v>286</v>
      </c>
      <c r="C201" s="40" t="str">
        <f>'Material Rates_Master'!B35</f>
        <v>ea</v>
      </c>
      <c r="D201" s="240"/>
      <c r="E201" s="48">
        <f>'Material Rates_Master'!D35*$M$16</f>
        <v>94.5852</v>
      </c>
      <c r="F201" s="48">
        <f t="shared" si="10"/>
        <v>0</v>
      </c>
      <c r="H201" s="20"/>
    </row>
    <row r="202" spans="1:8" x14ac:dyDescent="0.2">
      <c r="A202" s="40"/>
      <c r="B202" s="300" t="s">
        <v>287</v>
      </c>
      <c r="C202" s="40" t="str">
        <f>'Material Rates_Master'!B36</f>
        <v>ea</v>
      </c>
      <c r="D202" s="240"/>
      <c r="E202" s="48">
        <f>'Material Rates_Master'!D36*$M$16</f>
        <v>88.954799999999977</v>
      </c>
      <c r="F202" s="48">
        <f t="shared" si="10"/>
        <v>0</v>
      </c>
      <c r="H202" s="20"/>
    </row>
    <row r="203" spans="1:8" x14ac:dyDescent="0.2">
      <c r="A203" s="40"/>
      <c r="B203" s="300" t="s">
        <v>288</v>
      </c>
      <c r="C203" s="40" t="str">
        <f>'Material Rates_Master'!B37</f>
        <v>ea</v>
      </c>
      <c r="D203" s="240"/>
      <c r="E203" s="48">
        <f>'Material Rates_Master'!D37*$M$16</f>
        <v>53.488799999999991</v>
      </c>
      <c r="F203" s="48">
        <f t="shared" si="10"/>
        <v>0</v>
      </c>
      <c r="H203" s="20"/>
    </row>
    <row r="204" spans="1:8" x14ac:dyDescent="0.2">
      <c r="A204" s="40"/>
      <c r="B204" s="300" t="s">
        <v>289</v>
      </c>
      <c r="C204" s="40" t="str">
        <f>'Material Rates_Master'!B38</f>
        <v>ea</v>
      </c>
      <c r="D204" s="240"/>
      <c r="E204" s="48">
        <f>'Material Rates_Master'!D38*$M$16</f>
        <v>118.91459999999999</v>
      </c>
      <c r="F204" s="48">
        <f t="shared" si="10"/>
        <v>0</v>
      </c>
      <c r="H204" s="20"/>
    </row>
    <row r="205" spans="1:8" x14ac:dyDescent="0.2">
      <c r="A205" s="40"/>
      <c r="B205" s="300" t="s">
        <v>290</v>
      </c>
      <c r="C205" s="40" t="str">
        <f>'Material Rates_Master'!B39</f>
        <v>ea</v>
      </c>
      <c r="D205" s="240"/>
      <c r="E205" s="48">
        <f>'Material Rates_Master'!D39*$M$16</f>
        <v>93.991799999999998</v>
      </c>
      <c r="F205" s="48">
        <f t="shared" si="10"/>
        <v>0</v>
      </c>
      <c r="H205" s="20"/>
    </row>
    <row r="206" spans="1:8" x14ac:dyDescent="0.2">
      <c r="A206" s="40"/>
      <c r="B206" s="300" t="s">
        <v>291</v>
      </c>
      <c r="C206" s="40" t="str">
        <f>'Material Rates_Master'!B40</f>
        <v>ea</v>
      </c>
      <c r="D206" s="240"/>
      <c r="E206" s="48">
        <f>'Material Rates_Master'!D40*$M$16</f>
        <v>43.676999999999992</v>
      </c>
      <c r="F206" s="48">
        <f t="shared" si="10"/>
        <v>0</v>
      </c>
      <c r="H206" s="20"/>
    </row>
    <row r="207" spans="1:8" x14ac:dyDescent="0.2">
      <c r="A207" s="40"/>
      <c r="B207" s="300" t="s">
        <v>292</v>
      </c>
      <c r="C207" s="40" t="str">
        <f>'Material Rates_Master'!B41</f>
        <v>ea</v>
      </c>
      <c r="D207" s="240"/>
      <c r="E207" s="48">
        <f>'Material Rates_Master'!D41*$M$16</f>
        <v>176.14319999999998</v>
      </c>
      <c r="F207" s="48">
        <f t="shared" si="10"/>
        <v>0</v>
      </c>
      <c r="H207" s="20"/>
    </row>
    <row r="208" spans="1:8" x14ac:dyDescent="0.2">
      <c r="A208" s="40"/>
      <c r="B208" s="300" t="s">
        <v>293</v>
      </c>
      <c r="C208" s="40" t="str">
        <f>'Material Rates_Master'!B42</f>
        <v>ea</v>
      </c>
      <c r="D208" s="240"/>
      <c r="E208" s="48">
        <f>'Material Rates_Master'!D42*$M$16</f>
        <v>157.62359999999998</v>
      </c>
      <c r="F208" s="48">
        <f t="shared" si="10"/>
        <v>0</v>
      </c>
      <c r="H208" s="20"/>
    </row>
    <row r="209" spans="1:8" x14ac:dyDescent="0.2">
      <c r="A209" s="40"/>
      <c r="B209" s="300" t="s">
        <v>294</v>
      </c>
      <c r="C209" s="40" t="str">
        <f>'Material Rates_Master'!B43</f>
        <v>ea</v>
      </c>
      <c r="D209" s="240"/>
      <c r="E209" s="48">
        <f>'Material Rates_Master'!D43*$M$16</f>
        <v>52.798799999999993</v>
      </c>
      <c r="F209" s="48">
        <f t="shared" si="10"/>
        <v>0</v>
      </c>
      <c r="H209" s="20"/>
    </row>
    <row r="210" spans="1:8" x14ac:dyDescent="0.2">
      <c r="A210" s="40"/>
      <c r="B210" s="300" t="s">
        <v>295</v>
      </c>
      <c r="C210" s="40" t="str">
        <f>'Material Rates_Master'!B44</f>
        <v>ea</v>
      </c>
      <c r="D210" s="240"/>
      <c r="E210" s="48">
        <f>'Material Rates_Master'!D44*$M$16</f>
        <v>253.20239999999995</v>
      </c>
      <c r="F210" s="48">
        <f t="shared" si="10"/>
        <v>0</v>
      </c>
      <c r="H210" s="20"/>
    </row>
    <row r="211" spans="1:8" x14ac:dyDescent="0.2">
      <c r="A211" s="40"/>
      <c r="B211" s="300" t="s">
        <v>296</v>
      </c>
      <c r="C211" s="40" t="str">
        <f>'Material Rates_Master'!B45</f>
        <v>ea</v>
      </c>
      <c r="D211" s="240"/>
      <c r="E211" s="48">
        <f>'Material Rates_Master'!D45*$M$16</f>
        <v>265.55340000000001</v>
      </c>
      <c r="F211" s="48">
        <f t="shared" si="10"/>
        <v>0</v>
      </c>
      <c r="H211" s="20"/>
    </row>
    <row r="212" spans="1:8" x14ac:dyDescent="0.2">
      <c r="A212" s="40"/>
      <c r="B212" s="300" t="s">
        <v>297</v>
      </c>
      <c r="C212" s="40" t="str">
        <f>'Material Rates_Master'!B46</f>
        <v>ea</v>
      </c>
      <c r="D212" s="240"/>
      <c r="E212" s="48">
        <f>'Material Rates_Master'!D46*$M$16</f>
        <v>256.27979999999997</v>
      </c>
      <c r="F212" s="48">
        <f t="shared" si="10"/>
        <v>0</v>
      </c>
      <c r="H212" s="20"/>
    </row>
    <row r="213" spans="1:8" x14ac:dyDescent="0.2">
      <c r="A213" s="40"/>
      <c r="B213" s="300" t="s">
        <v>298</v>
      </c>
      <c r="C213" s="40" t="str">
        <f>'Material Rates_Master'!B47</f>
        <v>ea</v>
      </c>
      <c r="D213" s="240"/>
      <c r="E213" s="48">
        <f>'Material Rates_Master'!D47*$M$16</f>
        <v>77.059200000000004</v>
      </c>
      <c r="F213" s="48">
        <f t="shared" si="10"/>
        <v>0</v>
      </c>
      <c r="H213" s="20"/>
    </row>
    <row r="214" spans="1:8" x14ac:dyDescent="0.2">
      <c r="A214" s="40"/>
      <c r="B214" s="300" t="s">
        <v>299</v>
      </c>
      <c r="C214" s="40" t="str">
        <f>'Material Rates_Master'!B48</f>
        <v>ea</v>
      </c>
      <c r="D214" s="240"/>
      <c r="E214" s="48">
        <f>'Material Rates_Master'!D48*$M$16</f>
        <v>54.965399999999995</v>
      </c>
      <c r="F214" s="48">
        <f t="shared" si="10"/>
        <v>0</v>
      </c>
      <c r="H214" s="20"/>
    </row>
    <row r="215" spans="1:8" ht="6.6" customHeight="1" x14ac:dyDescent="0.2">
      <c r="A215" s="40"/>
      <c r="B215" s="300"/>
      <c r="C215" s="40">
        <f>'Material Rates_Master'!B49</f>
        <v>0</v>
      </c>
      <c r="E215" s="48">
        <f>'Material Rates_Master'!D49</f>
        <v>0</v>
      </c>
      <c r="F215" s="48">
        <f t="shared" si="10"/>
        <v>0</v>
      </c>
    </row>
    <row r="216" spans="1:8" x14ac:dyDescent="0.2">
      <c r="A216" s="40"/>
      <c r="B216" s="300" t="s">
        <v>302</v>
      </c>
      <c r="C216" s="40" t="str">
        <f>'Material Rates_Master'!B50</f>
        <v>ea</v>
      </c>
      <c r="D216" s="240"/>
      <c r="E216" s="48">
        <f>'Material Rates_Master'!D50</f>
        <v>679.41</v>
      </c>
      <c r="F216" s="48">
        <f t="shared" si="10"/>
        <v>0</v>
      </c>
    </row>
    <row r="217" spans="1:8" x14ac:dyDescent="0.2">
      <c r="A217" s="40"/>
      <c r="B217" s="300" t="s">
        <v>303</v>
      </c>
      <c r="C217" s="40" t="str">
        <f>'Material Rates_Master'!B51</f>
        <v>ea</v>
      </c>
      <c r="D217" s="240"/>
      <c r="E217" s="48">
        <f>'Material Rates_Master'!D51</f>
        <v>323.52999999999997</v>
      </c>
      <c r="F217" s="48">
        <f t="shared" si="10"/>
        <v>0</v>
      </c>
    </row>
    <row r="218" spans="1:8" x14ac:dyDescent="0.2">
      <c r="A218" s="40"/>
      <c r="B218" s="300" t="s">
        <v>304</v>
      </c>
      <c r="C218" s="40" t="str">
        <f>'Material Rates_Master'!B52</f>
        <v>ea</v>
      </c>
      <c r="D218" s="240"/>
      <c r="E218" s="48">
        <f>'Material Rates_Master'!D52</f>
        <v>202.94</v>
      </c>
      <c r="F218" s="48">
        <f t="shared" si="10"/>
        <v>0</v>
      </c>
    </row>
    <row r="219" spans="1:8" x14ac:dyDescent="0.2">
      <c r="A219" s="40"/>
      <c r="B219" s="300" t="s">
        <v>305</v>
      </c>
      <c r="C219" s="40" t="str">
        <f>'Material Rates_Master'!B53</f>
        <v>ea</v>
      </c>
      <c r="D219" s="240"/>
      <c r="E219" s="48">
        <f>'Material Rates_Master'!D53</f>
        <v>136.94</v>
      </c>
      <c r="F219" s="48">
        <f t="shared" si="10"/>
        <v>0</v>
      </c>
    </row>
    <row r="220" spans="1:8" x14ac:dyDescent="0.2">
      <c r="A220" s="40"/>
      <c r="B220" s="300" t="s">
        <v>306</v>
      </c>
      <c r="C220" s="40" t="str">
        <f>'Material Rates_Master'!B54</f>
        <v>ea</v>
      </c>
      <c r="D220" s="240"/>
      <c r="E220" s="48">
        <f>'Material Rates_Master'!D54</f>
        <v>123.53</v>
      </c>
      <c r="F220" s="48">
        <f t="shared" si="10"/>
        <v>0</v>
      </c>
    </row>
    <row r="221" spans="1:8" x14ac:dyDescent="0.2">
      <c r="A221" s="40"/>
      <c r="B221" s="300" t="s">
        <v>307</v>
      </c>
      <c r="C221" s="40" t="str">
        <f>'Material Rates_Master'!B55</f>
        <v>ea</v>
      </c>
      <c r="D221" s="240"/>
      <c r="E221" s="48">
        <f>'Material Rates_Master'!D55</f>
        <v>98.82</v>
      </c>
      <c r="F221" s="48">
        <f t="shared" si="10"/>
        <v>0</v>
      </c>
    </row>
    <row r="222" spans="1:8" ht="4.95" customHeight="1" x14ac:dyDescent="0.2">
      <c r="A222" s="40"/>
      <c r="B222" s="300"/>
      <c r="C222" s="40">
        <f>'Material Rates_Master'!B56</f>
        <v>0</v>
      </c>
      <c r="E222" s="48">
        <f>'Material Rates_Master'!D56</f>
        <v>0</v>
      </c>
      <c r="F222" s="48">
        <f t="shared" si="10"/>
        <v>0</v>
      </c>
    </row>
    <row r="223" spans="1:8" x14ac:dyDescent="0.2">
      <c r="A223" s="40"/>
      <c r="B223" s="300" t="s">
        <v>308</v>
      </c>
      <c r="C223" s="40" t="str">
        <f>'Material Rates_Master'!B57</f>
        <v>ea</v>
      </c>
      <c r="D223" s="240"/>
      <c r="E223" s="48">
        <f>'Material Rates_Master'!D57</f>
        <v>291.18</v>
      </c>
      <c r="F223" s="48">
        <f t="shared" si="10"/>
        <v>0</v>
      </c>
    </row>
    <row r="224" spans="1:8" x14ac:dyDescent="0.2">
      <c r="A224" s="40"/>
      <c r="B224" s="300" t="s">
        <v>309</v>
      </c>
      <c r="C224" s="40" t="str">
        <f>'Material Rates_Master'!B58</f>
        <v>ea</v>
      </c>
      <c r="D224" s="240"/>
      <c r="E224" s="48">
        <f>'Material Rates_Master'!D58</f>
        <v>330</v>
      </c>
      <c r="F224" s="48">
        <f t="shared" si="10"/>
        <v>0</v>
      </c>
    </row>
    <row r="225" spans="1:6" x14ac:dyDescent="0.2">
      <c r="A225" s="40"/>
      <c r="B225" s="300" t="s">
        <v>310</v>
      </c>
      <c r="C225" s="40" t="str">
        <f>'Material Rates_Master'!B59</f>
        <v>ea</v>
      </c>
      <c r="D225" s="240"/>
      <c r="E225" s="48">
        <f>'Material Rates_Master'!D59</f>
        <v>156</v>
      </c>
      <c r="F225" s="48">
        <f t="shared" si="10"/>
        <v>0</v>
      </c>
    </row>
    <row r="226" spans="1:6" x14ac:dyDescent="0.2">
      <c r="A226" s="40"/>
      <c r="B226" s="300" t="s">
        <v>311</v>
      </c>
      <c r="C226" s="40" t="str">
        <f>'Material Rates_Master'!B60</f>
        <v>ea</v>
      </c>
      <c r="D226" s="240"/>
      <c r="E226" s="48">
        <f>'Material Rates_Master'!D60</f>
        <v>106.24</v>
      </c>
      <c r="F226" s="48">
        <f t="shared" si="10"/>
        <v>0</v>
      </c>
    </row>
    <row r="227" spans="1:6" x14ac:dyDescent="0.2">
      <c r="A227" s="40"/>
      <c r="B227" s="300" t="s">
        <v>312</v>
      </c>
      <c r="C227" s="40" t="str">
        <f>'Material Rates_Master'!B61</f>
        <v>ea</v>
      </c>
      <c r="D227" s="240"/>
      <c r="E227" s="48">
        <f>'Material Rates_Master'!D61</f>
        <v>70.59</v>
      </c>
      <c r="F227" s="48">
        <f t="shared" si="10"/>
        <v>0</v>
      </c>
    </row>
    <row r="228" spans="1:6" x14ac:dyDescent="0.2">
      <c r="A228" s="40"/>
      <c r="B228" s="300" t="s">
        <v>313</v>
      </c>
      <c r="C228" s="40" t="str">
        <f>'Material Rates_Master'!B62</f>
        <v>ea</v>
      </c>
      <c r="D228" s="240"/>
      <c r="E228" s="48">
        <f>'Material Rates_Master'!D62</f>
        <v>516.35</v>
      </c>
      <c r="F228" s="48">
        <f t="shared" si="10"/>
        <v>0</v>
      </c>
    </row>
    <row r="229" spans="1:6" x14ac:dyDescent="0.2">
      <c r="A229" s="40"/>
      <c r="B229" s="300" t="s">
        <v>314</v>
      </c>
      <c r="C229" s="40" t="str">
        <f>'Material Rates_Master'!B63</f>
        <v>ea</v>
      </c>
      <c r="D229" s="240"/>
      <c r="E229" s="48">
        <f>'Material Rates_Master'!D63</f>
        <v>198.88</v>
      </c>
      <c r="F229" s="48">
        <f t="shared" si="10"/>
        <v>0</v>
      </c>
    </row>
    <row r="230" spans="1:6" x14ac:dyDescent="0.2">
      <c r="A230" s="40"/>
      <c r="B230" s="300" t="s">
        <v>315</v>
      </c>
      <c r="C230" s="40" t="str">
        <f>'Material Rates_Master'!B64</f>
        <v>ea</v>
      </c>
      <c r="D230" s="240"/>
      <c r="E230" s="48">
        <f>'Material Rates_Master'!D64</f>
        <v>108.71</v>
      </c>
      <c r="F230" s="48">
        <f t="shared" si="10"/>
        <v>0</v>
      </c>
    </row>
    <row r="231" spans="1:6" x14ac:dyDescent="0.2">
      <c r="A231" s="40"/>
      <c r="B231" s="300" t="s">
        <v>316</v>
      </c>
      <c r="C231" s="40" t="str">
        <f>'Material Rates_Master'!B65</f>
        <v>ea</v>
      </c>
      <c r="D231" s="240"/>
      <c r="E231" s="48">
        <f>'Material Rates_Master'!D65</f>
        <v>672.65</v>
      </c>
      <c r="F231" s="48">
        <f t="shared" si="10"/>
        <v>0</v>
      </c>
    </row>
    <row r="232" spans="1:6" x14ac:dyDescent="0.2">
      <c r="A232" s="40"/>
      <c r="B232" s="300" t="s">
        <v>317</v>
      </c>
      <c r="C232" s="40" t="str">
        <f>'Material Rates_Master'!B66</f>
        <v>ea</v>
      </c>
      <c r="D232" s="240"/>
      <c r="E232" s="48">
        <f>'Material Rates_Master'!D66</f>
        <v>228.24</v>
      </c>
      <c r="F232" s="48">
        <f t="shared" si="10"/>
        <v>0</v>
      </c>
    </row>
    <row r="233" spans="1:6" x14ac:dyDescent="0.2">
      <c r="A233" s="40"/>
      <c r="B233" s="300" t="s">
        <v>318</v>
      </c>
      <c r="C233" s="40" t="str">
        <f>'Material Rates_Master'!B67</f>
        <v>ea</v>
      </c>
      <c r="D233" s="240"/>
      <c r="E233" s="48">
        <f>'Material Rates_Master'!D67</f>
        <v>128.24</v>
      </c>
      <c r="F233" s="48">
        <f t="shared" si="10"/>
        <v>0</v>
      </c>
    </row>
    <row r="234" spans="1:6" x14ac:dyDescent="0.2">
      <c r="A234" s="40"/>
      <c r="B234" s="300" t="s">
        <v>319</v>
      </c>
      <c r="C234" s="40" t="str">
        <f>'Material Rates_Master'!B68</f>
        <v>ea</v>
      </c>
      <c r="D234" s="240"/>
      <c r="E234" s="48">
        <f>'Material Rates_Master'!D68</f>
        <v>536.76</v>
      </c>
      <c r="F234" s="48">
        <f t="shared" si="10"/>
        <v>0</v>
      </c>
    </row>
    <row r="235" spans="1:6" x14ac:dyDescent="0.2">
      <c r="A235" s="40"/>
      <c r="B235" s="300" t="s">
        <v>320</v>
      </c>
      <c r="C235" s="40" t="str">
        <f>'Material Rates_Master'!B69</f>
        <v>ea</v>
      </c>
      <c r="D235" s="240"/>
      <c r="E235" s="48">
        <f>'Material Rates_Master'!D69</f>
        <v>576.47</v>
      </c>
      <c r="F235" s="48">
        <f t="shared" ref="F235:F298" si="11">E235*D235</f>
        <v>0</v>
      </c>
    </row>
    <row r="236" spans="1:6" x14ac:dyDescent="0.2">
      <c r="A236" s="40"/>
      <c r="B236" s="300" t="s">
        <v>321</v>
      </c>
      <c r="C236" s="40" t="str">
        <f>'Material Rates_Master'!B70</f>
        <v>ea</v>
      </c>
      <c r="D236" s="240"/>
      <c r="E236" s="48">
        <f>'Material Rates_Master'!D70</f>
        <v>198.82</v>
      </c>
      <c r="F236" s="48">
        <f t="shared" si="11"/>
        <v>0</v>
      </c>
    </row>
    <row r="237" spans="1:6" x14ac:dyDescent="0.2">
      <c r="A237" s="40"/>
      <c r="B237" s="300" t="s">
        <v>322</v>
      </c>
      <c r="C237" s="40" t="str">
        <f>'Material Rates_Master'!B71</f>
        <v>ea</v>
      </c>
      <c r="D237" s="240"/>
      <c r="E237" s="48">
        <f>'Material Rates_Master'!D71</f>
        <v>898.82</v>
      </c>
      <c r="F237" s="48">
        <f t="shared" si="11"/>
        <v>0</v>
      </c>
    </row>
    <row r="238" spans="1:6" x14ac:dyDescent="0.2">
      <c r="A238" s="40"/>
      <c r="B238" s="300" t="s">
        <v>323</v>
      </c>
      <c r="C238" s="40" t="str">
        <f>'Material Rates_Master'!B72</f>
        <v>ea</v>
      </c>
      <c r="D238" s="240"/>
      <c r="E238" s="48">
        <f>'Material Rates_Master'!D72</f>
        <v>640</v>
      </c>
      <c r="F238" s="48">
        <f t="shared" si="11"/>
        <v>0</v>
      </c>
    </row>
    <row r="239" spans="1:6" x14ac:dyDescent="0.2">
      <c r="A239" s="40"/>
      <c r="B239" s="300" t="s">
        <v>324</v>
      </c>
      <c r="C239" s="40" t="str">
        <f>'Material Rates_Master'!B73</f>
        <v>ea</v>
      </c>
      <c r="D239" s="240"/>
      <c r="E239" s="48">
        <f>'Material Rates_Master'!D73</f>
        <v>355.29</v>
      </c>
      <c r="F239" s="48">
        <f t="shared" si="11"/>
        <v>0</v>
      </c>
    </row>
    <row r="240" spans="1:6" x14ac:dyDescent="0.2">
      <c r="A240" s="40"/>
      <c r="B240" s="300" t="s">
        <v>325</v>
      </c>
      <c r="C240" s="40" t="str">
        <f>'Material Rates_Master'!B74</f>
        <v>ea</v>
      </c>
      <c r="D240" s="240"/>
      <c r="E240" s="48">
        <f>'Material Rates_Master'!D74</f>
        <v>534.41</v>
      </c>
      <c r="F240" s="48">
        <f t="shared" si="11"/>
        <v>0</v>
      </c>
    </row>
    <row r="241" spans="1:6" x14ac:dyDescent="0.2">
      <c r="A241" s="40"/>
      <c r="B241" s="300" t="s">
        <v>326</v>
      </c>
      <c r="C241" s="40" t="str">
        <f>'Material Rates_Master'!B75</f>
        <v>ea</v>
      </c>
      <c r="D241" s="240"/>
      <c r="E241" s="48">
        <f>'Material Rates_Master'!D75</f>
        <v>280</v>
      </c>
      <c r="F241" s="48">
        <f t="shared" si="11"/>
        <v>0</v>
      </c>
    </row>
    <row r="242" spans="1:6" x14ac:dyDescent="0.2">
      <c r="A242" s="40"/>
      <c r="B242" s="300" t="s">
        <v>327</v>
      </c>
      <c r="C242" s="40" t="str">
        <f>'Material Rates_Master'!B76</f>
        <v>ea</v>
      </c>
      <c r="D242" s="240"/>
      <c r="E242" s="48">
        <f>'Material Rates_Master'!D76</f>
        <v>236.47</v>
      </c>
      <c r="F242" s="48">
        <f t="shared" si="11"/>
        <v>0</v>
      </c>
    </row>
    <row r="243" spans="1:6" x14ac:dyDescent="0.2">
      <c r="A243" s="40"/>
      <c r="B243" s="300" t="s">
        <v>328</v>
      </c>
      <c r="C243" s="40" t="str">
        <f>'Material Rates_Master'!B77</f>
        <v>ea</v>
      </c>
      <c r="D243" s="240"/>
      <c r="E243" s="48">
        <f>'Material Rates_Master'!D77</f>
        <v>178.8</v>
      </c>
      <c r="F243" s="48">
        <f t="shared" si="11"/>
        <v>0</v>
      </c>
    </row>
    <row r="244" spans="1:6" x14ac:dyDescent="0.2">
      <c r="A244" s="40"/>
      <c r="B244" s="300" t="s">
        <v>329</v>
      </c>
      <c r="C244" s="40" t="str">
        <f>'Material Rates_Master'!B78</f>
        <v>ea</v>
      </c>
      <c r="D244" s="240"/>
      <c r="E244" s="48">
        <f>'Material Rates_Master'!D78</f>
        <v>362.35</v>
      </c>
      <c r="F244" s="48">
        <f t="shared" si="11"/>
        <v>0</v>
      </c>
    </row>
    <row r="245" spans="1:6" x14ac:dyDescent="0.2">
      <c r="A245" s="40"/>
      <c r="B245" s="300" t="s">
        <v>330</v>
      </c>
      <c r="C245" s="40" t="str">
        <f>'Material Rates_Master'!B79</f>
        <v>ea</v>
      </c>
      <c r="D245" s="240"/>
      <c r="E245" s="48">
        <f>'Material Rates_Master'!D79</f>
        <v>144.71</v>
      </c>
      <c r="F245" s="48">
        <f t="shared" si="11"/>
        <v>0</v>
      </c>
    </row>
    <row r="246" spans="1:6" x14ac:dyDescent="0.2">
      <c r="A246" s="40"/>
      <c r="B246" s="300" t="s">
        <v>331</v>
      </c>
      <c r="C246" s="40" t="str">
        <f>'Material Rates_Master'!B80</f>
        <v>ea</v>
      </c>
      <c r="D246" s="240"/>
      <c r="E246" s="48">
        <f>'Material Rates_Master'!D80</f>
        <v>135.88</v>
      </c>
      <c r="F246" s="48">
        <f t="shared" si="11"/>
        <v>0</v>
      </c>
    </row>
    <row r="247" spans="1:6" x14ac:dyDescent="0.2">
      <c r="A247" s="40"/>
      <c r="B247" s="300" t="s">
        <v>332</v>
      </c>
      <c r="C247" s="40" t="str">
        <f>'Material Rates_Master'!B81</f>
        <v>ea</v>
      </c>
      <c r="D247" s="240"/>
      <c r="E247" s="48">
        <f>'Material Rates_Master'!D81</f>
        <v>76.47</v>
      </c>
      <c r="F247" s="48">
        <f t="shared" si="11"/>
        <v>0</v>
      </c>
    </row>
    <row r="248" spans="1:6" x14ac:dyDescent="0.2">
      <c r="A248" s="40"/>
      <c r="B248" s="300" t="s">
        <v>333</v>
      </c>
      <c r="C248" s="40" t="str">
        <f>'Material Rates_Master'!B82</f>
        <v>ea</v>
      </c>
      <c r="D248" s="240"/>
      <c r="E248" s="48">
        <f>'Material Rates_Master'!D82</f>
        <v>67.650000000000006</v>
      </c>
      <c r="F248" s="48">
        <f t="shared" si="11"/>
        <v>0</v>
      </c>
    </row>
    <row r="249" spans="1:6" x14ac:dyDescent="0.2">
      <c r="A249" s="40"/>
      <c r="B249" s="300" t="s">
        <v>334</v>
      </c>
      <c r="C249" s="40" t="str">
        <f>'Material Rates_Master'!B83</f>
        <v>ea</v>
      </c>
      <c r="D249" s="240"/>
      <c r="E249" s="48">
        <f>'Material Rates_Master'!D83</f>
        <v>43.53</v>
      </c>
      <c r="F249" s="48">
        <f t="shared" si="11"/>
        <v>0</v>
      </c>
    </row>
    <row r="250" spans="1:6" ht="6.6" customHeight="1" x14ac:dyDescent="0.2">
      <c r="A250" s="40"/>
      <c r="B250" s="300"/>
      <c r="C250" s="40">
        <f>'Material Rates_Master'!B84</f>
        <v>0</v>
      </c>
      <c r="E250" s="48">
        <f>'Material Rates_Master'!D84</f>
        <v>0</v>
      </c>
      <c r="F250" s="48">
        <f t="shared" si="11"/>
        <v>0</v>
      </c>
    </row>
    <row r="251" spans="1:6" x14ac:dyDescent="0.2">
      <c r="A251" s="40"/>
      <c r="B251" s="300" t="s">
        <v>335</v>
      </c>
      <c r="C251" s="40" t="str">
        <f>'Material Rates_Master'!B85</f>
        <v>ea</v>
      </c>
      <c r="D251" s="240"/>
      <c r="E251" s="48">
        <f>'Material Rates_Master'!D85</f>
        <v>67.06</v>
      </c>
      <c r="F251" s="48">
        <f t="shared" si="11"/>
        <v>0</v>
      </c>
    </row>
    <row r="252" spans="1:6" x14ac:dyDescent="0.2">
      <c r="A252" s="40"/>
      <c r="B252" s="300" t="s">
        <v>336</v>
      </c>
      <c r="C252" s="40" t="str">
        <f>'Material Rates_Master'!B86</f>
        <v>ea</v>
      </c>
      <c r="D252" s="240"/>
      <c r="E252" s="48">
        <f>'Material Rates_Master'!D86</f>
        <v>46.71</v>
      </c>
      <c r="F252" s="48">
        <f t="shared" si="11"/>
        <v>0</v>
      </c>
    </row>
    <row r="253" spans="1:6" x14ac:dyDescent="0.2">
      <c r="A253" s="40"/>
      <c r="B253" s="300" t="s">
        <v>337</v>
      </c>
      <c r="C253" s="40" t="str">
        <f>'Material Rates_Master'!B87</f>
        <v>ea</v>
      </c>
      <c r="D253" s="240"/>
      <c r="E253" s="48">
        <f>'Material Rates_Master'!D87</f>
        <v>60</v>
      </c>
      <c r="F253" s="48">
        <f t="shared" si="11"/>
        <v>0</v>
      </c>
    </row>
    <row r="254" spans="1:6" x14ac:dyDescent="0.2">
      <c r="A254" s="40"/>
      <c r="B254" s="300" t="s">
        <v>338</v>
      </c>
      <c r="C254" s="40" t="str">
        <f>'Material Rates_Master'!B88</f>
        <v>ea</v>
      </c>
      <c r="D254" s="240"/>
      <c r="E254" s="48">
        <f>'Material Rates_Master'!D88</f>
        <v>42.35</v>
      </c>
      <c r="F254" s="48">
        <f t="shared" si="11"/>
        <v>0</v>
      </c>
    </row>
    <row r="255" spans="1:6" x14ac:dyDescent="0.2">
      <c r="A255" s="40"/>
      <c r="B255" s="300" t="s">
        <v>339</v>
      </c>
      <c r="C255" s="40" t="str">
        <f>'Material Rates_Master'!B89</f>
        <v>ea</v>
      </c>
      <c r="D255" s="240"/>
      <c r="E255" s="48">
        <f>'Material Rates_Master'!D89</f>
        <v>24.71</v>
      </c>
      <c r="F255" s="48">
        <f t="shared" si="11"/>
        <v>0</v>
      </c>
    </row>
    <row r="256" spans="1:6" x14ac:dyDescent="0.2">
      <c r="A256" s="40"/>
      <c r="B256" s="300" t="s">
        <v>340</v>
      </c>
      <c r="C256" s="40" t="str">
        <f>'Material Rates_Master'!B90</f>
        <v>ea</v>
      </c>
      <c r="D256" s="240"/>
      <c r="E256" s="48">
        <f>'Material Rates_Master'!D90</f>
        <v>20</v>
      </c>
      <c r="F256" s="48">
        <f t="shared" si="11"/>
        <v>0</v>
      </c>
    </row>
    <row r="257" spans="1:6" ht="6.6" customHeight="1" x14ac:dyDescent="0.2">
      <c r="A257" s="40"/>
      <c r="B257" s="300"/>
      <c r="C257" s="40">
        <f>'Material Rates_Master'!B91</f>
        <v>0</v>
      </c>
      <c r="E257" s="48">
        <f>'Material Rates_Master'!D91</f>
        <v>0</v>
      </c>
      <c r="F257" s="48">
        <f t="shared" si="11"/>
        <v>0</v>
      </c>
    </row>
    <row r="258" spans="1:6" x14ac:dyDescent="0.2">
      <c r="A258" s="40"/>
      <c r="B258" s="300" t="s">
        <v>341</v>
      </c>
      <c r="C258" s="40" t="str">
        <f>'Material Rates_Master'!B92</f>
        <v>ea</v>
      </c>
      <c r="D258" s="240"/>
      <c r="E258" s="48">
        <f>'Material Rates_Master'!D92</f>
        <v>108.71</v>
      </c>
      <c r="F258" s="48">
        <f t="shared" si="11"/>
        <v>0</v>
      </c>
    </row>
    <row r="259" spans="1:6" x14ac:dyDescent="0.2">
      <c r="A259" s="40"/>
      <c r="B259" s="300" t="s">
        <v>342</v>
      </c>
      <c r="C259" s="40" t="str">
        <f>'Material Rates_Master'!B93</f>
        <v>ea</v>
      </c>
      <c r="D259" s="240"/>
      <c r="E259" s="48">
        <f>'Material Rates_Master'!D93</f>
        <v>87.06</v>
      </c>
      <c r="F259" s="48">
        <f t="shared" si="11"/>
        <v>0</v>
      </c>
    </row>
    <row r="260" spans="1:6" x14ac:dyDescent="0.2">
      <c r="A260" s="40"/>
      <c r="B260" s="300" t="s">
        <v>343</v>
      </c>
      <c r="C260" s="40" t="str">
        <f>'Material Rates_Master'!B94</f>
        <v>ea</v>
      </c>
      <c r="D260" s="240"/>
      <c r="E260" s="48">
        <f>'Material Rates_Master'!D94</f>
        <v>305.88</v>
      </c>
      <c r="F260" s="48">
        <f t="shared" si="11"/>
        <v>0</v>
      </c>
    </row>
    <row r="261" spans="1:6" x14ac:dyDescent="0.2">
      <c r="A261" s="40"/>
      <c r="B261" s="300" t="s">
        <v>344</v>
      </c>
      <c r="C261" s="40" t="str">
        <f>'Material Rates_Master'!B95</f>
        <v>ea</v>
      </c>
      <c r="D261" s="240"/>
      <c r="E261" s="48">
        <f>'Material Rates_Master'!D95</f>
        <v>182.35</v>
      </c>
      <c r="F261" s="48">
        <f t="shared" si="11"/>
        <v>0</v>
      </c>
    </row>
    <row r="262" spans="1:6" x14ac:dyDescent="0.2">
      <c r="A262" s="40"/>
      <c r="B262" s="300" t="s">
        <v>345</v>
      </c>
      <c r="C262" s="40" t="str">
        <f>'Material Rates_Master'!B96</f>
        <v>ea</v>
      </c>
      <c r="D262" s="240"/>
      <c r="E262" s="48">
        <f>'Material Rates_Master'!D96</f>
        <v>229.41</v>
      </c>
      <c r="F262" s="48">
        <f t="shared" si="11"/>
        <v>0</v>
      </c>
    </row>
    <row r="263" spans="1:6" x14ac:dyDescent="0.2">
      <c r="A263" s="40"/>
      <c r="B263" s="300" t="s">
        <v>346</v>
      </c>
      <c r="C263" s="40" t="str">
        <f>'Material Rates_Master'!B97</f>
        <v>ea</v>
      </c>
      <c r="D263" s="240"/>
      <c r="E263" s="48">
        <f>'Material Rates_Master'!D97</f>
        <v>152.94</v>
      </c>
      <c r="F263" s="48">
        <f t="shared" si="11"/>
        <v>0</v>
      </c>
    </row>
    <row r="264" spans="1:6" x14ac:dyDescent="0.2">
      <c r="A264" s="40"/>
      <c r="B264" s="300" t="s">
        <v>347</v>
      </c>
      <c r="C264" s="40" t="str">
        <f>'Material Rates_Master'!B98</f>
        <v>ea</v>
      </c>
      <c r="D264" s="240"/>
      <c r="E264" s="48">
        <f>'Material Rates_Master'!D98</f>
        <v>690</v>
      </c>
      <c r="F264" s="48">
        <f t="shared" si="11"/>
        <v>0</v>
      </c>
    </row>
    <row r="265" spans="1:6" x14ac:dyDescent="0.2">
      <c r="A265" s="40"/>
      <c r="B265" s="300" t="s">
        <v>348</v>
      </c>
      <c r="C265" s="40" t="str">
        <f>'Material Rates_Master'!B99</f>
        <v>ea</v>
      </c>
      <c r="D265" s="240"/>
      <c r="E265" s="48">
        <f>'Material Rates_Master'!D99</f>
        <v>408.47</v>
      </c>
      <c r="F265" s="48">
        <f t="shared" si="11"/>
        <v>0</v>
      </c>
    </row>
    <row r="266" spans="1:6" ht="6.6" customHeight="1" x14ac:dyDescent="0.2">
      <c r="A266" s="40"/>
      <c r="B266" s="300"/>
      <c r="C266" s="40">
        <f>'Material Rates_Master'!B100</f>
        <v>0</v>
      </c>
      <c r="E266" s="48">
        <f>'Material Rates_Master'!D100</f>
        <v>0</v>
      </c>
      <c r="F266" s="48">
        <f t="shared" si="11"/>
        <v>0</v>
      </c>
    </row>
    <row r="267" spans="1:6" x14ac:dyDescent="0.2">
      <c r="A267" s="40"/>
      <c r="B267" s="300" t="s">
        <v>349</v>
      </c>
      <c r="C267" s="40" t="str">
        <f>'Material Rates_Master'!B101</f>
        <v>ea</v>
      </c>
      <c r="D267" s="240"/>
      <c r="E267" s="48">
        <f>'Material Rates_Master'!D101</f>
        <v>90</v>
      </c>
      <c r="F267" s="48">
        <f t="shared" si="11"/>
        <v>0</v>
      </c>
    </row>
    <row r="268" spans="1:6" x14ac:dyDescent="0.2">
      <c r="A268" s="40"/>
      <c r="B268" s="300" t="s">
        <v>350</v>
      </c>
      <c r="C268" s="40" t="str">
        <f>'Material Rates_Master'!B102</f>
        <v>ea</v>
      </c>
      <c r="D268" s="240"/>
      <c r="E268" s="48">
        <f>'Material Rates_Master'!D102</f>
        <v>13.5</v>
      </c>
      <c r="F268" s="48">
        <f t="shared" si="11"/>
        <v>0</v>
      </c>
    </row>
    <row r="269" spans="1:6" x14ac:dyDescent="0.2">
      <c r="A269" s="40"/>
      <c r="B269" s="300" t="s">
        <v>351</v>
      </c>
      <c r="C269" s="40" t="str">
        <f>'Material Rates_Master'!B103</f>
        <v>ea</v>
      </c>
      <c r="D269" s="240"/>
      <c r="E269" s="48">
        <f>'Material Rates_Master'!D103</f>
        <v>27.14</v>
      </c>
      <c r="F269" s="48">
        <f t="shared" si="11"/>
        <v>0</v>
      </c>
    </row>
    <row r="270" spans="1:6" x14ac:dyDescent="0.2">
      <c r="A270" s="40"/>
      <c r="B270" s="300" t="s">
        <v>352</v>
      </c>
      <c r="C270" s="40" t="str">
        <f>'Material Rates_Master'!B104</f>
        <v>ea</v>
      </c>
      <c r="D270" s="240"/>
      <c r="E270" s="48">
        <f>'Material Rates_Master'!D104</f>
        <v>27.14</v>
      </c>
      <c r="F270" s="48">
        <f t="shared" si="11"/>
        <v>0</v>
      </c>
    </row>
    <row r="271" spans="1:6" x14ac:dyDescent="0.2">
      <c r="A271" s="40"/>
      <c r="B271" s="300"/>
      <c r="E271" s="48"/>
      <c r="F271" s="48">
        <f t="shared" si="11"/>
        <v>0</v>
      </c>
    </row>
    <row r="272" spans="1:6" x14ac:dyDescent="0.2">
      <c r="A272" s="40"/>
      <c r="B272" s="332" t="s">
        <v>353</v>
      </c>
      <c r="E272" s="48"/>
      <c r="F272" s="48">
        <f t="shared" si="11"/>
        <v>0</v>
      </c>
    </row>
    <row r="273" spans="1:6" x14ac:dyDescent="0.2">
      <c r="A273" s="40"/>
      <c r="B273" s="301" t="s">
        <v>354</v>
      </c>
      <c r="C273" s="40" t="str">
        <f>'Material Rates_Master'!B107</f>
        <v>Unit</v>
      </c>
      <c r="E273" s="48"/>
      <c r="F273" s="48"/>
    </row>
    <row r="274" spans="1:6" x14ac:dyDescent="0.2">
      <c r="A274" s="40"/>
      <c r="B274" s="300" t="s">
        <v>355</v>
      </c>
      <c r="C274" s="40" t="str">
        <f>'Material Rates_Master'!B108</f>
        <v>m</v>
      </c>
      <c r="D274" s="37"/>
      <c r="E274" s="48">
        <f>'Material Rates_Master'!D108</f>
        <v>43.846153846153847</v>
      </c>
      <c r="F274" s="48">
        <f t="shared" si="11"/>
        <v>0</v>
      </c>
    </row>
    <row r="275" spans="1:6" x14ac:dyDescent="0.2">
      <c r="A275" s="40"/>
      <c r="B275" s="300" t="s">
        <v>356</v>
      </c>
      <c r="C275" s="40" t="str">
        <f>'Material Rates_Master'!B109</f>
        <v>m</v>
      </c>
      <c r="D275" s="37"/>
      <c r="E275" s="48">
        <f>'Material Rates_Master'!D109</f>
        <v>28.46153846153846</v>
      </c>
      <c r="F275" s="48">
        <f t="shared" si="11"/>
        <v>0</v>
      </c>
    </row>
    <row r="276" spans="1:6" x14ac:dyDescent="0.2">
      <c r="A276" s="40"/>
      <c r="B276" s="300" t="s">
        <v>357</v>
      </c>
      <c r="C276" s="40" t="str">
        <f>'Material Rates_Master'!B110</f>
        <v>m</v>
      </c>
      <c r="D276" s="37"/>
      <c r="E276" s="48">
        <f>'Material Rates_Master'!D110</f>
        <v>106.24166666666667</v>
      </c>
      <c r="F276" s="48">
        <f t="shared" si="11"/>
        <v>0</v>
      </c>
    </row>
    <row r="277" spans="1:6" x14ac:dyDescent="0.2">
      <c r="A277" s="40"/>
      <c r="B277" s="300" t="s">
        <v>358</v>
      </c>
      <c r="C277" s="40" t="str">
        <f>'Material Rates_Master'!B111</f>
        <v>m</v>
      </c>
      <c r="D277" s="37"/>
      <c r="E277" s="48">
        <f>'Material Rates_Master'!D111</f>
        <v>59.82</v>
      </c>
      <c r="F277" s="48">
        <f t="shared" si="11"/>
        <v>0</v>
      </c>
    </row>
    <row r="278" spans="1:6" ht="8.25" customHeight="1" x14ac:dyDescent="0.2">
      <c r="A278" s="40"/>
      <c r="B278" s="300"/>
      <c r="C278" s="40">
        <f>'Material Rates_Master'!B112</f>
        <v>0</v>
      </c>
      <c r="D278" s="37"/>
      <c r="E278" s="48">
        <f>'Material Rates_Master'!D112</f>
        <v>0</v>
      </c>
      <c r="F278" s="48">
        <f t="shared" si="11"/>
        <v>0</v>
      </c>
    </row>
    <row r="279" spans="1:6" x14ac:dyDescent="0.2">
      <c r="A279" s="40"/>
      <c r="B279" s="300" t="s">
        <v>359</v>
      </c>
      <c r="C279" s="40" t="str">
        <f>'Material Rates_Master'!B113</f>
        <v>ea</v>
      </c>
      <c r="D279" s="37"/>
      <c r="E279" s="48">
        <f>'Material Rates_Master'!D113</f>
        <v>12.83</v>
      </c>
      <c r="F279" s="48">
        <f t="shared" si="11"/>
        <v>0</v>
      </c>
    </row>
    <row r="280" spans="1:6" x14ac:dyDescent="0.2">
      <c r="A280" s="40"/>
      <c r="B280" s="300" t="s">
        <v>360</v>
      </c>
      <c r="C280" s="40" t="str">
        <f>'Material Rates_Master'!B114</f>
        <v>ea</v>
      </c>
      <c r="D280" s="37"/>
      <c r="E280" s="48">
        <f>'Material Rates_Master'!D114</f>
        <v>7.55</v>
      </c>
      <c r="F280" s="48">
        <f t="shared" si="11"/>
        <v>0</v>
      </c>
    </row>
    <row r="281" spans="1:6" x14ac:dyDescent="0.2">
      <c r="A281" s="40"/>
      <c r="B281" s="300" t="s">
        <v>361</v>
      </c>
      <c r="C281" s="40" t="str">
        <f>'Material Rates_Master'!B115</f>
        <v>ea</v>
      </c>
      <c r="D281" s="37"/>
      <c r="E281" s="48">
        <f>'Material Rates_Master'!D115</f>
        <v>35.5</v>
      </c>
      <c r="F281" s="48">
        <f t="shared" si="11"/>
        <v>0</v>
      </c>
    </row>
    <row r="282" spans="1:6" x14ac:dyDescent="0.2">
      <c r="A282" s="40"/>
      <c r="B282" s="300" t="s">
        <v>362</v>
      </c>
      <c r="C282" s="40" t="str">
        <f>'Material Rates_Master'!B116</f>
        <v>ea</v>
      </c>
      <c r="D282" s="37"/>
      <c r="E282" s="48">
        <f>'Material Rates_Master'!D116</f>
        <v>16.93</v>
      </c>
      <c r="F282" s="48">
        <f t="shared" si="11"/>
        <v>0</v>
      </c>
    </row>
    <row r="283" spans="1:6" x14ac:dyDescent="0.2">
      <c r="A283" s="40"/>
      <c r="B283" s="300" t="s">
        <v>363</v>
      </c>
      <c r="C283" s="40" t="str">
        <f>'Material Rates_Master'!B117</f>
        <v>ea</v>
      </c>
      <c r="D283" s="37"/>
      <c r="E283" s="48">
        <f>'Material Rates_Master'!D117</f>
        <v>22.85</v>
      </c>
      <c r="F283" s="48">
        <f t="shared" si="11"/>
        <v>0</v>
      </c>
    </row>
    <row r="284" spans="1:6" x14ac:dyDescent="0.2">
      <c r="A284" s="40"/>
      <c r="B284" s="300" t="s">
        <v>364</v>
      </c>
      <c r="C284" s="40" t="str">
        <f>'Material Rates_Master'!B118</f>
        <v>ea</v>
      </c>
      <c r="D284" s="37"/>
      <c r="E284" s="48">
        <f>'Material Rates_Master'!D118</f>
        <v>10.62</v>
      </c>
      <c r="F284" s="48">
        <f t="shared" si="11"/>
        <v>0</v>
      </c>
    </row>
    <row r="285" spans="1:6" x14ac:dyDescent="0.2">
      <c r="A285" s="40"/>
      <c r="B285" s="300" t="s">
        <v>365</v>
      </c>
      <c r="C285" s="40" t="str">
        <f>'Material Rates_Master'!B119</f>
        <v>ea</v>
      </c>
      <c r="D285" s="37"/>
      <c r="E285" s="48">
        <f>'Material Rates_Master'!D119</f>
        <v>23.5</v>
      </c>
      <c r="F285" s="48">
        <f t="shared" si="11"/>
        <v>0</v>
      </c>
    </row>
    <row r="286" spans="1:6" x14ac:dyDescent="0.2">
      <c r="A286" s="40"/>
      <c r="B286" s="300" t="s">
        <v>366</v>
      </c>
      <c r="C286" s="40" t="str">
        <f>'Material Rates_Master'!B120</f>
        <v>ea</v>
      </c>
      <c r="D286" s="37"/>
      <c r="E286" s="48">
        <f>'Material Rates_Master'!D120</f>
        <v>11.4</v>
      </c>
      <c r="F286" s="48">
        <f t="shared" si="11"/>
        <v>0</v>
      </c>
    </row>
    <row r="287" spans="1:6" x14ac:dyDescent="0.2">
      <c r="A287" s="40"/>
      <c r="B287" s="300" t="s">
        <v>367</v>
      </c>
      <c r="C287" s="40" t="str">
        <f>'Material Rates_Master'!B121</f>
        <v>ea</v>
      </c>
      <c r="D287" s="37"/>
      <c r="E287" s="48">
        <f>'Material Rates_Master'!D121</f>
        <v>30.75</v>
      </c>
      <c r="F287" s="48">
        <f t="shared" si="11"/>
        <v>0</v>
      </c>
    </row>
    <row r="288" spans="1:6" x14ac:dyDescent="0.2">
      <c r="A288" s="40"/>
      <c r="B288" s="300" t="s">
        <v>368</v>
      </c>
      <c r="C288" s="40" t="str">
        <f>'Material Rates_Master'!B122</f>
        <v>ea</v>
      </c>
      <c r="D288" s="37"/>
      <c r="E288" s="48">
        <f>'Material Rates_Master'!D122</f>
        <v>23.21</v>
      </c>
      <c r="F288" s="48">
        <f t="shared" si="11"/>
        <v>0</v>
      </c>
    </row>
    <row r="289" spans="1:6" x14ac:dyDescent="0.2">
      <c r="A289" s="40"/>
      <c r="B289" s="300" t="s">
        <v>369</v>
      </c>
      <c r="C289" s="40" t="str">
        <f>'Material Rates_Master'!B123</f>
        <v>ea</v>
      </c>
      <c r="D289" s="37"/>
      <c r="E289" s="48">
        <f>'Material Rates_Master'!D123</f>
        <v>217.8</v>
      </c>
      <c r="F289" s="48">
        <f t="shared" si="11"/>
        <v>0</v>
      </c>
    </row>
    <row r="290" spans="1:6" x14ac:dyDescent="0.2">
      <c r="A290" s="40"/>
      <c r="B290" s="300" t="s">
        <v>370</v>
      </c>
      <c r="C290" s="40" t="str">
        <f>'Material Rates_Master'!B124</f>
        <v>ea</v>
      </c>
      <c r="D290" s="37"/>
      <c r="E290" s="48">
        <f>'Material Rates_Master'!D124</f>
        <v>169.4</v>
      </c>
      <c r="F290" s="48">
        <f t="shared" si="11"/>
        <v>0</v>
      </c>
    </row>
    <row r="291" spans="1:6" ht="5.4" customHeight="1" x14ac:dyDescent="0.2">
      <c r="A291" s="40"/>
      <c r="B291" s="300"/>
      <c r="C291" s="40">
        <f>'Material Rates_Master'!B125</f>
        <v>0</v>
      </c>
      <c r="D291" s="37"/>
      <c r="E291" s="48">
        <f>'Material Rates_Master'!D125</f>
        <v>0</v>
      </c>
      <c r="F291" s="48">
        <f t="shared" si="11"/>
        <v>0</v>
      </c>
    </row>
    <row r="292" spans="1:6" x14ac:dyDescent="0.2">
      <c r="A292" s="40"/>
      <c r="B292" s="300" t="s">
        <v>371</v>
      </c>
      <c r="C292" s="40" t="str">
        <f>'Material Rates_Master'!B126</f>
        <v>ea</v>
      </c>
      <c r="D292" s="37"/>
      <c r="E292" s="48">
        <f>'Material Rates_Master'!D126</f>
        <v>2350</v>
      </c>
      <c r="F292" s="48">
        <f t="shared" si="11"/>
        <v>0</v>
      </c>
    </row>
    <row r="293" spans="1:6" x14ac:dyDescent="0.2">
      <c r="A293" s="40"/>
      <c r="B293" s="300" t="s">
        <v>372</v>
      </c>
      <c r="C293" s="40" t="str">
        <f>'Material Rates_Master'!B127</f>
        <v>ea</v>
      </c>
      <c r="D293" s="37"/>
      <c r="E293" s="48">
        <f>'Material Rates_Master'!D127</f>
        <v>1155</v>
      </c>
      <c r="F293" s="48">
        <f t="shared" si="11"/>
        <v>0</v>
      </c>
    </row>
    <row r="294" spans="1:6" ht="6.6" customHeight="1" x14ac:dyDescent="0.2">
      <c r="A294" s="40"/>
      <c r="B294" s="300"/>
      <c r="C294" s="40">
        <f>'Material Rates_Master'!B128</f>
        <v>0</v>
      </c>
      <c r="D294" s="37"/>
      <c r="E294" s="48">
        <f>'Material Rates_Master'!D128</f>
        <v>0</v>
      </c>
      <c r="F294" s="48">
        <f t="shared" si="11"/>
        <v>0</v>
      </c>
    </row>
    <row r="295" spans="1:6" x14ac:dyDescent="0.2">
      <c r="A295" s="40"/>
      <c r="B295" s="300" t="s">
        <v>373</v>
      </c>
      <c r="C295" s="40" t="str">
        <f>'Material Rates_Master'!B129</f>
        <v>ea</v>
      </c>
      <c r="D295" s="240">
        <v>1</v>
      </c>
      <c r="E295" s="48">
        <f>'Material Rates_Master'!D129</f>
        <v>365</v>
      </c>
      <c r="F295" s="48">
        <f t="shared" si="11"/>
        <v>365</v>
      </c>
    </row>
    <row r="296" spans="1:6" x14ac:dyDescent="0.2">
      <c r="A296" s="40"/>
      <c r="B296" s="300" t="s">
        <v>374</v>
      </c>
      <c r="C296" s="40" t="str">
        <f>'Material Rates_Master'!B130</f>
        <v>ea</v>
      </c>
      <c r="D296" s="240"/>
      <c r="E296" s="48">
        <f>'Material Rates_Master'!D130</f>
        <v>365</v>
      </c>
      <c r="F296" s="48">
        <f t="shared" si="11"/>
        <v>0</v>
      </c>
    </row>
    <row r="297" spans="1:6" x14ac:dyDescent="0.2">
      <c r="A297" s="40"/>
      <c r="B297" s="300" t="s">
        <v>375</v>
      </c>
      <c r="C297" s="40" t="str">
        <f>'Material Rates_Master'!B131</f>
        <v>ea</v>
      </c>
      <c r="D297" s="240"/>
      <c r="E297" s="48">
        <f>'Material Rates_Master'!D131</f>
        <v>90</v>
      </c>
      <c r="F297" s="48">
        <f t="shared" si="11"/>
        <v>0</v>
      </c>
    </row>
    <row r="298" spans="1:6" x14ac:dyDescent="0.2">
      <c r="A298" s="40"/>
      <c r="B298" s="300" t="s">
        <v>376</v>
      </c>
      <c r="C298" s="40" t="str">
        <f>'Material Rates_Master'!B132</f>
        <v>ea</v>
      </c>
      <c r="D298" s="240"/>
      <c r="E298" s="48">
        <f>'Material Rates_Master'!D132</f>
        <v>5</v>
      </c>
      <c r="F298" s="48">
        <f t="shared" si="11"/>
        <v>0</v>
      </c>
    </row>
    <row r="299" spans="1:6" x14ac:dyDescent="0.2">
      <c r="A299" s="40"/>
      <c r="B299" s="300" t="s">
        <v>377</v>
      </c>
      <c r="C299" s="40" t="str">
        <f>'Material Rates_Master'!B133</f>
        <v>ea</v>
      </c>
      <c r="D299" s="240">
        <v>1</v>
      </c>
      <c r="E299" s="48">
        <f>'Material Rates_Master'!D133</f>
        <v>125</v>
      </c>
      <c r="F299" s="48">
        <f t="shared" ref="F299:F344" si="12">E299*D299</f>
        <v>125</v>
      </c>
    </row>
    <row r="300" spans="1:6" x14ac:dyDescent="0.2">
      <c r="A300" s="40"/>
      <c r="B300" s="300" t="s">
        <v>378</v>
      </c>
      <c r="C300" s="40" t="str">
        <f>'Material Rates_Master'!B134</f>
        <v>ea</v>
      </c>
      <c r="D300" s="240"/>
      <c r="E300" s="48">
        <f>'Material Rates_Master'!D134</f>
        <v>39</v>
      </c>
      <c r="F300" s="48">
        <f t="shared" si="12"/>
        <v>0</v>
      </c>
    </row>
    <row r="301" spans="1:6" ht="6.6" customHeight="1" x14ac:dyDescent="0.2">
      <c r="A301" s="40"/>
      <c r="B301" s="300"/>
      <c r="C301" s="40">
        <f>'Material Rates_Master'!B135</f>
        <v>0</v>
      </c>
      <c r="D301" s="37"/>
      <c r="E301" s="48">
        <f>'Material Rates_Master'!D135</f>
        <v>0</v>
      </c>
      <c r="F301" s="48">
        <f t="shared" si="12"/>
        <v>0</v>
      </c>
    </row>
    <row r="302" spans="1:6" x14ac:dyDescent="0.2">
      <c r="A302" s="40"/>
      <c r="B302" s="300" t="s">
        <v>379</v>
      </c>
      <c r="C302" s="40" t="str">
        <f>'Material Rates_Master'!B136</f>
        <v>ea</v>
      </c>
      <c r="D302" s="37"/>
      <c r="E302" s="48">
        <f>'Material Rates_Master'!D136</f>
        <v>3100.7</v>
      </c>
      <c r="F302" s="48">
        <f t="shared" si="12"/>
        <v>0</v>
      </c>
    </row>
    <row r="303" spans="1:6" x14ac:dyDescent="0.2">
      <c r="A303" s="40"/>
      <c r="B303" s="300" t="s">
        <v>380</v>
      </c>
      <c r="C303" s="40" t="str">
        <f>'Material Rates_Master'!B137</f>
        <v>ea</v>
      </c>
      <c r="D303" s="37"/>
      <c r="E303" s="48">
        <f>'Material Rates_Master'!D137</f>
        <v>4237.09</v>
      </c>
      <c r="F303" s="48">
        <f t="shared" si="12"/>
        <v>0</v>
      </c>
    </row>
    <row r="304" spans="1:6" ht="7.2" customHeight="1" x14ac:dyDescent="0.2">
      <c r="A304" s="40"/>
      <c r="B304" s="300"/>
      <c r="C304" s="40">
        <f>'Material Rates_Master'!B138</f>
        <v>0</v>
      </c>
      <c r="D304" s="37"/>
      <c r="E304" s="48">
        <f>'Material Rates_Master'!D138</f>
        <v>0</v>
      </c>
      <c r="F304" s="48">
        <f t="shared" si="12"/>
        <v>0</v>
      </c>
    </row>
    <row r="305" spans="1:6" x14ac:dyDescent="0.2">
      <c r="A305" s="40"/>
      <c r="B305" s="300" t="s">
        <v>381</v>
      </c>
      <c r="C305" s="40" t="str">
        <f>'Material Rates_Master'!B139</f>
        <v>ea</v>
      </c>
      <c r="D305" s="37"/>
      <c r="E305" s="48">
        <f>'Material Rates_Master'!D139</f>
        <v>114.44</v>
      </c>
      <c r="F305" s="48">
        <f t="shared" si="12"/>
        <v>0</v>
      </c>
    </row>
    <row r="306" spans="1:6" x14ac:dyDescent="0.2">
      <c r="A306" s="40"/>
      <c r="B306" s="300" t="s">
        <v>382</v>
      </c>
      <c r="C306" s="40" t="str">
        <f>'Material Rates_Master'!B140</f>
        <v>ea</v>
      </c>
      <c r="D306" s="37"/>
      <c r="E306" s="48">
        <f>'Material Rates_Master'!D140</f>
        <v>219.36</v>
      </c>
      <c r="F306" s="48">
        <f t="shared" si="12"/>
        <v>0</v>
      </c>
    </row>
    <row r="307" spans="1:6" x14ac:dyDescent="0.2">
      <c r="A307" s="40"/>
      <c r="B307" s="300" t="s">
        <v>383</v>
      </c>
      <c r="C307" s="40" t="str">
        <f>'Material Rates_Master'!B141</f>
        <v>ea</v>
      </c>
      <c r="D307" s="37"/>
      <c r="E307" s="48">
        <f>'Material Rates_Master'!D141</f>
        <v>135.09</v>
      </c>
      <c r="F307" s="48">
        <f t="shared" si="12"/>
        <v>0</v>
      </c>
    </row>
    <row r="308" spans="1:6" x14ac:dyDescent="0.2">
      <c r="A308" s="40"/>
      <c r="B308" s="300" t="s">
        <v>384</v>
      </c>
      <c r="C308" s="40" t="str">
        <f>'Material Rates_Master'!B142</f>
        <v>ea</v>
      </c>
      <c r="D308" s="37"/>
      <c r="E308" s="48">
        <f>'Material Rates_Master'!D142</f>
        <v>125.77</v>
      </c>
      <c r="F308" s="48">
        <f t="shared" si="12"/>
        <v>0</v>
      </c>
    </row>
    <row r="309" spans="1:6" x14ac:dyDescent="0.2">
      <c r="A309" s="40"/>
      <c r="B309" s="300" t="s">
        <v>385</v>
      </c>
      <c r="C309" s="40" t="str">
        <f>'Material Rates_Master'!B143</f>
        <v>ea</v>
      </c>
      <c r="D309" s="37"/>
      <c r="E309" s="48">
        <f>'Material Rates_Master'!D143</f>
        <v>83.25</v>
      </c>
      <c r="F309" s="48">
        <f t="shared" si="12"/>
        <v>0</v>
      </c>
    </row>
    <row r="310" spans="1:6" x14ac:dyDescent="0.2">
      <c r="A310" s="40"/>
      <c r="B310" s="300" t="s">
        <v>386</v>
      </c>
      <c r="C310" s="40" t="str">
        <f>'Material Rates_Master'!B144</f>
        <v>ea</v>
      </c>
      <c r="D310" s="37"/>
      <c r="E310" s="48">
        <f>'Material Rates_Master'!D144</f>
        <v>52.25</v>
      </c>
      <c r="F310" s="48">
        <f t="shared" si="12"/>
        <v>0</v>
      </c>
    </row>
    <row r="311" spans="1:6" x14ac:dyDescent="0.2">
      <c r="A311" s="40"/>
      <c r="B311" s="300" t="s">
        <v>387</v>
      </c>
      <c r="C311" s="40" t="str">
        <f>'Material Rates_Master'!B145</f>
        <v>ea</v>
      </c>
      <c r="D311" s="37"/>
      <c r="E311" s="48">
        <f>'Material Rates_Master'!D145</f>
        <v>175.66</v>
      </c>
      <c r="F311" s="48">
        <f t="shared" si="12"/>
        <v>0</v>
      </c>
    </row>
    <row r="312" spans="1:6" x14ac:dyDescent="0.2">
      <c r="A312" s="40"/>
      <c r="B312" s="300" t="s">
        <v>388</v>
      </c>
      <c r="C312" s="40" t="str">
        <f>'Material Rates_Master'!B146</f>
        <v>ea</v>
      </c>
      <c r="D312" s="37"/>
      <c r="E312" s="48">
        <f>'Material Rates_Master'!D146</f>
        <v>164.08</v>
      </c>
      <c r="F312" s="48">
        <f t="shared" si="12"/>
        <v>0</v>
      </c>
    </row>
    <row r="313" spans="1:6" ht="7.2" customHeight="1" x14ac:dyDescent="0.2">
      <c r="A313" s="40"/>
      <c r="B313" s="300"/>
      <c r="C313" s="40">
        <f>'Material Rates_Master'!B147</f>
        <v>0</v>
      </c>
      <c r="D313" s="240"/>
      <c r="E313" s="48">
        <f>'Material Rates_Master'!D147</f>
        <v>0</v>
      </c>
      <c r="F313" s="48">
        <f t="shared" si="12"/>
        <v>0</v>
      </c>
    </row>
    <row r="314" spans="1:6" ht="10.5" customHeight="1" x14ac:dyDescent="0.2">
      <c r="A314" s="40"/>
      <c r="B314" s="300" t="s">
        <v>1054</v>
      </c>
      <c r="C314" s="40" t="s">
        <v>149</v>
      </c>
      <c r="D314" s="240">
        <v>81</v>
      </c>
      <c r="E314" s="48">
        <f>190/6</f>
        <v>31.666666666666668</v>
      </c>
      <c r="F314" s="48">
        <f t="shared" si="12"/>
        <v>2565</v>
      </c>
    </row>
    <row r="315" spans="1:6" x14ac:dyDescent="0.2">
      <c r="A315" s="40"/>
      <c r="B315" s="300" t="s">
        <v>393</v>
      </c>
      <c r="C315" s="40" t="str">
        <f>'Material Rates_Master'!B148</f>
        <v>ea</v>
      </c>
      <c r="D315" s="240"/>
      <c r="E315" s="48">
        <f>'Material Rates_Master'!D148</f>
        <v>77.95</v>
      </c>
      <c r="F315" s="48">
        <f t="shared" si="12"/>
        <v>0</v>
      </c>
    </row>
    <row r="316" spans="1:6" x14ac:dyDescent="0.2">
      <c r="A316" s="40"/>
      <c r="B316" s="300" t="s">
        <v>394</v>
      </c>
      <c r="C316" s="40" t="str">
        <f>'Material Rates_Master'!B149</f>
        <v>ea</v>
      </c>
      <c r="D316" s="240"/>
      <c r="E316" s="48">
        <f>'Material Rates_Master'!D149</f>
        <v>17.16</v>
      </c>
      <c r="F316" s="48">
        <f t="shared" si="12"/>
        <v>0</v>
      </c>
    </row>
    <row r="317" spans="1:6" x14ac:dyDescent="0.2">
      <c r="A317" s="40"/>
      <c r="B317" s="300" t="s">
        <v>395</v>
      </c>
      <c r="C317" s="40" t="str">
        <f>'Material Rates_Master'!B150</f>
        <v>ea</v>
      </c>
      <c r="D317" s="240"/>
      <c r="E317" s="48">
        <f>'Material Rates_Master'!D150</f>
        <v>7.23</v>
      </c>
      <c r="F317" s="48">
        <f t="shared" si="12"/>
        <v>0</v>
      </c>
    </row>
    <row r="318" spans="1:6" x14ac:dyDescent="0.2">
      <c r="A318" s="40"/>
      <c r="B318" s="300" t="s">
        <v>396</v>
      </c>
      <c r="C318" s="40" t="str">
        <f>'Material Rates_Master'!B151</f>
        <v>ea</v>
      </c>
      <c r="D318" s="240">
        <v>6</v>
      </c>
      <c r="E318" s="48">
        <v>17.37</v>
      </c>
      <c r="F318" s="48">
        <f t="shared" si="12"/>
        <v>104.22</v>
      </c>
    </row>
    <row r="319" spans="1:6" x14ac:dyDescent="0.2">
      <c r="A319" s="40"/>
      <c r="B319" s="300" t="s">
        <v>397</v>
      </c>
      <c r="C319" s="40" t="str">
        <f>'Material Rates_Master'!B152</f>
        <v>ea</v>
      </c>
      <c r="D319" s="240"/>
      <c r="E319" s="48">
        <f>'Material Rates_Master'!D152</f>
        <v>16.239999999999998</v>
      </c>
      <c r="F319" s="48">
        <f t="shared" si="12"/>
        <v>0</v>
      </c>
    </row>
    <row r="320" spans="1:6" x14ac:dyDescent="0.2">
      <c r="A320" s="40"/>
      <c r="B320" s="300" t="s">
        <v>399</v>
      </c>
      <c r="C320" s="40" t="str">
        <f>'Material Rates_Master'!B153</f>
        <v>ea</v>
      </c>
      <c r="D320" s="240"/>
      <c r="E320" s="48">
        <f>'Material Rates_Master'!D153</f>
        <v>14.36</v>
      </c>
      <c r="F320" s="48">
        <f t="shared" si="12"/>
        <v>0</v>
      </c>
    </row>
    <row r="321" spans="1:6" x14ac:dyDescent="0.2">
      <c r="A321" s="40"/>
      <c r="B321" s="300" t="s">
        <v>400</v>
      </c>
      <c r="C321" s="40" t="str">
        <f>'Material Rates_Master'!B154</f>
        <v>ea</v>
      </c>
      <c r="D321" s="240"/>
      <c r="E321" s="48">
        <f>'Material Rates_Master'!D154</f>
        <v>46.94</v>
      </c>
      <c r="F321" s="48">
        <f t="shared" si="12"/>
        <v>0</v>
      </c>
    </row>
    <row r="322" spans="1:6" x14ac:dyDescent="0.2">
      <c r="A322" s="40"/>
      <c r="B322" s="300" t="s">
        <v>401</v>
      </c>
      <c r="C322" s="40" t="str">
        <f>'Material Rates_Master'!B155</f>
        <v>ea</v>
      </c>
      <c r="D322" s="240"/>
      <c r="E322" s="48">
        <f>'Material Rates_Master'!D155</f>
        <v>8.4600000000000009</v>
      </c>
      <c r="F322" s="48">
        <f t="shared" si="12"/>
        <v>0</v>
      </c>
    </row>
    <row r="323" spans="1:6" x14ac:dyDescent="0.2">
      <c r="A323" s="40"/>
      <c r="B323" s="300" t="s">
        <v>402</v>
      </c>
      <c r="C323" s="40" t="str">
        <f>'Material Rates_Master'!B156</f>
        <v>ea</v>
      </c>
      <c r="D323" s="240"/>
      <c r="E323" s="48">
        <f>'Material Rates_Master'!D156</f>
        <v>5.74</v>
      </c>
      <c r="F323" s="48">
        <f t="shared" si="12"/>
        <v>0</v>
      </c>
    </row>
    <row r="324" spans="1:6" x14ac:dyDescent="0.2">
      <c r="A324" s="40"/>
      <c r="B324" s="300" t="s">
        <v>403</v>
      </c>
      <c r="C324" s="40" t="str">
        <f>'Material Rates_Master'!B157</f>
        <v>ea</v>
      </c>
      <c r="D324" s="240"/>
      <c r="E324" s="48">
        <f>'Material Rates_Master'!D157</f>
        <v>7.7</v>
      </c>
      <c r="F324" s="48">
        <f t="shared" si="12"/>
        <v>0</v>
      </c>
    </row>
    <row r="325" spans="1:6" x14ac:dyDescent="0.2">
      <c r="A325" s="40"/>
      <c r="B325" s="300" t="s">
        <v>404</v>
      </c>
      <c r="C325" s="40" t="str">
        <f>'Material Rates_Master'!B158</f>
        <v>ea</v>
      </c>
      <c r="D325" s="240"/>
      <c r="E325" s="48">
        <f>'Material Rates_Master'!D158</f>
        <v>10.19</v>
      </c>
      <c r="F325" s="48">
        <f t="shared" si="12"/>
        <v>0</v>
      </c>
    </row>
    <row r="326" spans="1:6" ht="9" customHeight="1" x14ac:dyDescent="0.2">
      <c r="A326" s="40"/>
      <c r="B326" s="300"/>
      <c r="C326" s="40">
        <f>'Material Rates_Master'!B159</f>
        <v>0</v>
      </c>
      <c r="D326" s="240"/>
      <c r="E326" s="48">
        <f>'Material Rates_Master'!D159</f>
        <v>0</v>
      </c>
      <c r="F326" s="48">
        <f t="shared" si="12"/>
        <v>0</v>
      </c>
    </row>
    <row r="327" spans="1:6" x14ac:dyDescent="0.2">
      <c r="A327" s="40"/>
      <c r="B327" s="300" t="s">
        <v>405</v>
      </c>
      <c r="C327" s="40" t="str">
        <f>'Material Rates_Master'!B160</f>
        <v>ea</v>
      </c>
      <c r="D327" s="37"/>
      <c r="E327" s="48">
        <f>'Material Rates_Master'!D160</f>
        <v>5.86</v>
      </c>
      <c r="F327" s="48">
        <f t="shared" si="12"/>
        <v>0</v>
      </c>
    </row>
    <row r="328" spans="1:6" x14ac:dyDescent="0.2">
      <c r="A328" s="40"/>
      <c r="B328" s="300" t="s">
        <v>406</v>
      </c>
      <c r="C328" s="40" t="str">
        <f>'Material Rates_Master'!B161</f>
        <v>ea</v>
      </c>
      <c r="D328" s="37"/>
      <c r="E328" s="48">
        <f>'Material Rates_Master'!D161</f>
        <v>4.41</v>
      </c>
      <c r="F328" s="48">
        <f t="shared" si="12"/>
        <v>0</v>
      </c>
    </row>
    <row r="329" spans="1:6" x14ac:dyDescent="0.2">
      <c r="A329" s="40"/>
      <c r="B329" s="300" t="s">
        <v>407</v>
      </c>
      <c r="C329" s="40" t="str">
        <f>'Material Rates_Master'!B162</f>
        <v>ea</v>
      </c>
      <c r="D329" s="37"/>
      <c r="E329" s="48">
        <f>'Material Rates_Master'!D162</f>
        <v>5.36</v>
      </c>
      <c r="F329" s="48">
        <f t="shared" si="12"/>
        <v>0</v>
      </c>
    </row>
    <row r="330" spans="1:6" x14ac:dyDescent="0.2">
      <c r="A330" s="40"/>
      <c r="B330" s="300" t="s">
        <v>408</v>
      </c>
      <c r="C330" s="40" t="str">
        <f>'Material Rates_Master'!B163</f>
        <v>ea</v>
      </c>
      <c r="D330" s="37"/>
      <c r="E330" s="48">
        <f>'Material Rates_Master'!D163</f>
        <v>4.4000000000000004</v>
      </c>
      <c r="F330" s="48">
        <f t="shared" si="12"/>
        <v>0</v>
      </c>
    </row>
    <row r="331" spans="1:6" x14ac:dyDescent="0.2">
      <c r="A331" s="40"/>
      <c r="B331" s="300" t="s">
        <v>409</v>
      </c>
      <c r="C331" s="40" t="str">
        <f>'Material Rates_Master'!B164</f>
        <v>ea</v>
      </c>
      <c r="D331" s="37"/>
      <c r="E331" s="48">
        <f>'Material Rates_Master'!D164</f>
        <v>10.64</v>
      </c>
      <c r="F331" s="48">
        <f t="shared" si="12"/>
        <v>0</v>
      </c>
    </row>
    <row r="332" spans="1:6" x14ac:dyDescent="0.2">
      <c r="A332" s="40"/>
      <c r="B332" s="300" t="s">
        <v>410</v>
      </c>
      <c r="C332" s="40" t="str">
        <f>'Material Rates_Master'!B165</f>
        <v>ea</v>
      </c>
      <c r="D332" s="37"/>
      <c r="E332" s="48">
        <f>'Material Rates_Master'!D165</f>
        <v>20</v>
      </c>
      <c r="F332" s="48">
        <f t="shared" si="12"/>
        <v>0</v>
      </c>
    </row>
    <row r="333" spans="1:6" x14ac:dyDescent="0.2">
      <c r="A333" s="40"/>
      <c r="B333" s="300" t="s">
        <v>411</v>
      </c>
      <c r="C333" s="40" t="str">
        <f>'Material Rates_Master'!B166</f>
        <v>ea</v>
      </c>
      <c r="D333" s="37"/>
      <c r="E333" s="48">
        <f>'Material Rates_Master'!D166</f>
        <v>19.5</v>
      </c>
      <c r="F333" s="48">
        <f t="shared" si="12"/>
        <v>0</v>
      </c>
    </row>
    <row r="334" spans="1:6" x14ac:dyDescent="0.2">
      <c r="A334" s="40"/>
      <c r="B334" s="300" t="s">
        <v>340</v>
      </c>
      <c r="C334" s="40" t="str">
        <f>'Material Rates_Master'!B167</f>
        <v>ea</v>
      </c>
      <c r="D334" s="37"/>
      <c r="E334" s="48">
        <f>'Material Rates_Master'!D167</f>
        <v>20</v>
      </c>
      <c r="F334" s="48">
        <f t="shared" si="12"/>
        <v>0</v>
      </c>
    </row>
    <row r="335" spans="1:6" x14ac:dyDescent="0.2">
      <c r="A335" s="40"/>
      <c r="B335" s="300"/>
      <c r="D335" s="37"/>
      <c r="E335" s="48"/>
      <c r="F335" s="48"/>
    </row>
    <row r="336" spans="1:6" x14ac:dyDescent="0.2">
      <c r="A336" s="40"/>
      <c r="B336" s="300"/>
      <c r="D336" s="37"/>
      <c r="E336" s="48"/>
      <c r="F336" s="48"/>
    </row>
    <row r="337" spans="1:7" ht="10.95" customHeight="1" x14ac:dyDescent="0.2">
      <c r="A337" s="40"/>
      <c r="B337" s="300"/>
      <c r="D337" s="37"/>
      <c r="E337" s="48"/>
      <c r="F337" s="48"/>
    </row>
    <row r="338" spans="1:7" x14ac:dyDescent="0.2">
      <c r="A338" s="40"/>
      <c r="B338" s="332" t="s">
        <v>412</v>
      </c>
      <c r="D338" s="37"/>
      <c r="E338" s="48"/>
      <c r="F338" s="48"/>
    </row>
    <row r="339" spans="1:7" ht="14.4" customHeight="1" x14ac:dyDescent="0.2">
      <c r="A339" s="40"/>
      <c r="B339" s="301" t="s">
        <v>354</v>
      </c>
      <c r="D339" s="37"/>
      <c r="E339" s="48"/>
      <c r="F339" s="48"/>
    </row>
    <row r="340" spans="1:7" x14ac:dyDescent="0.2">
      <c r="A340" s="40"/>
      <c r="B340" s="300" t="s">
        <v>413</v>
      </c>
      <c r="C340" s="40" t="str">
        <f>'Material Rates_Master'!B171</f>
        <v>ea</v>
      </c>
      <c r="D340" s="37"/>
      <c r="E340" s="48">
        <v>1388</v>
      </c>
      <c r="F340" s="48">
        <f t="shared" si="12"/>
        <v>0</v>
      </c>
    </row>
    <row r="341" spans="1:7" x14ac:dyDescent="0.2">
      <c r="A341" s="40"/>
      <c r="B341" s="300" t="s">
        <v>414</v>
      </c>
      <c r="C341" s="40" t="str">
        <f>'Material Rates_Master'!B172</f>
        <v>ea</v>
      </c>
      <c r="D341" s="37"/>
      <c r="E341" s="48">
        <f>'Material Rates_Master'!D172</f>
        <v>0</v>
      </c>
      <c r="F341" s="48">
        <f t="shared" si="12"/>
        <v>0</v>
      </c>
    </row>
    <row r="342" spans="1:7" x14ac:dyDescent="0.2">
      <c r="A342" s="40"/>
      <c r="B342" s="300" t="s">
        <v>415</v>
      </c>
      <c r="C342" s="40" t="s">
        <v>416</v>
      </c>
      <c r="D342" s="37"/>
      <c r="E342" s="48">
        <v>450</v>
      </c>
      <c r="F342" s="48">
        <f t="shared" si="12"/>
        <v>0</v>
      </c>
    </row>
    <row r="343" spans="1:7" x14ac:dyDescent="0.2">
      <c r="A343" s="40"/>
      <c r="B343" s="300" t="s">
        <v>417</v>
      </c>
      <c r="C343" s="40" t="str">
        <f>'Material Rates_Master'!B174</f>
        <v>ea</v>
      </c>
      <c r="D343" s="37"/>
      <c r="E343" s="48">
        <f>'Material Rates_Master'!D174</f>
        <v>0</v>
      </c>
      <c r="F343" s="48">
        <f t="shared" si="12"/>
        <v>0</v>
      </c>
    </row>
    <row r="344" spans="1:7" x14ac:dyDescent="0.2">
      <c r="A344" s="40"/>
      <c r="B344" s="300" t="s">
        <v>418</v>
      </c>
      <c r="C344" s="40" t="str">
        <f>'Material Rates_Master'!B175</f>
        <v>ea</v>
      </c>
      <c r="D344" s="37"/>
      <c r="E344" s="48">
        <f>'Material Rates_Master'!D175</f>
        <v>2178.48</v>
      </c>
      <c r="F344" s="48">
        <f t="shared" si="12"/>
        <v>0</v>
      </c>
    </row>
    <row r="345" spans="1:7" x14ac:dyDescent="0.2">
      <c r="A345" s="40"/>
      <c r="B345" s="300" t="s">
        <v>419</v>
      </c>
      <c r="C345" s="40" t="str">
        <f>'Material Rates_Master'!B176</f>
        <v>ea</v>
      </c>
      <c r="D345" s="37"/>
      <c r="E345" s="48">
        <f>'Material Rates_Master'!D176</f>
        <v>2178.48</v>
      </c>
      <c r="F345" s="48">
        <f>E345*D345</f>
        <v>0</v>
      </c>
    </row>
    <row r="346" spans="1:7" x14ac:dyDescent="0.2">
      <c r="E346" s="48"/>
      <c r="F346" s="48"/>
    </row>
    <row r="347" spans="1:7" s="40" customFormat="1" ht="14.4" x14ac:dyDescent="0.3">
      <c r="A347" s="324"/>
      <c r="B347" s="325" t="s">
        <v>420</v>
      </c>
      <c r="C347" s="42"/>
      <c r="D347" s="42"/>
      <c r="E347" s="45"/>
      <c r="F347" s="48"/>
    </row>
    <row r="348" spans="1:7" s="40" customFormat="1" ht="14.4" x14ac:dyDescent="0.3">
      <c r="A348" s="324"/>
      <c r="B348" s="327" t="s">
        <v>354</v>
      </c>
      <c r="C348" s="42"/>
      <c r="D348" s="42"/>
      <c r="E348" s="45"/>
      <c r="F348" s="48"/>
    </row>
    <row r="349" spans="1:7" s="40" customFormat="1" ht="14.4" x14ac:dyDescent="0.3">
      <c r="A349" s="324"/>
      <c r="B349" s="324"/>
      <c r="C349" s="42"/>
      <c r="D349" s="42"/>
      <c r="E349" s="326"/>
      <c r="F349" s="48"/>
      <c r="G349" s="326"/>
    </row>
    <row r="350" spans="1:7" s="40" customFormat="1" ht="14.4" x14ac:dyDescent="0.3">
      <c r="A350" s="324"/>
      <c r="B350" s="324" t="s">
        <v>421</v>
      </c>
      <c r="C350" s="328" t="s">
        <v>149</v>
      </c>
      <c r="E350" s="326">
        <v>12.31</v>
      </c>
      <c r="F350" s="48">
        <f>E350*D350</f>
        <v>0</v>
      </c>
      <c r="G350" s="326"/>
    </row>
    <row r="351" spans="1:7" s="40" customFormat="1" ht="14.4" x14ac:dyDescent="0.3">
      <c r="A351" s="324"/>
      <c r="B351" s="420" t="s">
        <v>1055</v>
      </c>
      <c r="C351" s="328" t="s">
        <v>149</v>
      </c>
      <c r="E351" s="326">
        <v>10</v>
      </c>
      <c r="F351" s="48">
        <f>E351*D351</f>
        <v>0</v>
      </c>
      <c r="G351" s="326"/>
    </row>
    <row r="352" spans="1:7" s="40" customFormat="1" ht="14.4" x14ac:dyDescent="0.3">
      <c r="A352" s="324"/>
      <c r="B352" s="324" t="s">
        <v>423</v>
      </c>
      <c r="C352" s="328" t="s">
        <v>149</v>
      </c>
      <c r="E352" s="326">
        <v>9.66</v>
      </c>
      <c r="F352" s="48">
        <f t="shared" ref="F352:F419" si="13">E352*D352</f>
        <v>0</v>
      </c>
      <c r="G352" s="326"/>
    </row>
    <row r="353" spans="1:7" s="40" customFormat="1" ht="14.4" x14ac:dyDescent="0.3">
      <c r="A353" s="324"/>
      <c r="B353" s="324" t="s">
        <v>424</v>
      </c>
      <c r="C353" s="328" t="s">
        <v>149</v>
      </c>
      <c r="D353" s="40">
        <v>102</v>
      </c>
      <c r="E353" s="326">
        <v>4.63</v>
      </c>
      <c r="F353" s="48">
        <f t="shared" si="13"/>
        <v>472.26</v>
      </c>
      <c r="G353" s="326"/>
    </row>
    <row r="354" spans="1:7" s="40" customFormat="1" ht="14.4" x14ac:dyDescent="0.3">
      <c r="A354" s="324"/>
      <c r="B354" s="324" t="s">
        <v>425</v>
      </c>
      <c r="C354" s="328" t="s">
        <v>149</v>
      </c>
      <c r="E354" s="326">
        <v>5.4</v>
      </c>
      <c r="F354" s="48">
        <f t="shared" si="13"/>
        <v>0</v>
      </c>
      <c r="G354" s="326"/>
    </row>
    <row r="355" spans="1:7" s="40" customFormat="1" ht="14.4" x14ac:dyDescent="0.3">
      <c r="A355" s="324"/>
      <c r="B355" s="420" t="s">
        <v>426</v>
      </c>
      <c r="C355" s="328" t="s">
        <v>149</v>
      </c>
      <c r="E355" s="326">
        <v>4.4000000000000004</v>
      </c>
      <c r="F355" s="48">
        <f t="shared" si="13"/>
        <v>0</v>
      </c>
      <c r="G355" s="326"/>
    </row>
    <row r="356" spans="1:7" s="40" customFormat="1" ht="14.4" x14ac:dyDescent="0.3">
      <c r="A356" s="324"/>
      <c r="B356" s="420" t="s">
        <v>427</v>
      </c>
      <c r="C356" s="328" t="s">
        <v>149</v>
      </c>
      <c r="E356" s="326">
        <f>354.31/150</f>
        <v>2.3620666666666668</v>
      </c>
      <c r="F356" s="48">
        <f t="shared" si="13"/>
        <v>0</v>
      </c>
      <c r="G356" s="326"/>
    </row>
    <row r="357" spans="1:7" s="40" customFormat="1" ht="14.4" x14ac:dyDescent="0.3">
      <c r="A357" s="324"/>
      <c r="B357" s="324" t="s">
        <v>428</v>
      </c>
      <c r="C357" s="328" t="s">
        <v>149</v>
      </c>
      <c r="E357" s="326">
        <v>2.1</v>
      </c>
      <c r="F357" s="48">
        <f t="shared" si="13"/>
        <v>0</v>
      </c>
      <c r="G357" s="326"/>
    </row>
    <row r="358" spans="1:7" ht="14.4" x14ac:dyDescent="0.3">
      <c r="A358" s="324"/>
      <c r="B358" s="420" t="s">
        <v>429</v>
      </c>
      <c r="C358" s="328" t="s">
        <v>149</v>
      </c>
      <c r="D358" s="40">
        <v>6</v>
      </c>
      <c r="E358" s="326">
        <v>1.22</v>
      </c>
      <c r="F358" s="48">
        <f t="shared" si="13"/>
        <v>7.32</v>
      </c>
      <c r="G358" s="326"/>
    </row>
    <row r="359" spans="1:7" ht="14.4" x14ac:dyDescent="0.3">
      <c r="A359" s="324"/>
      <c r="B359" s="324" t="s">
        <v>430</v>
      </c>
      <c r="C359" s="328" t="s">
        <v>149</v>
      </c>
      <c r="E359" s="326">
        <v>2.4300000000000002</v>
      </c>
      <c r="F359" s="48">
        <f t="shared" si="13"/>
        <v>0</v>
      </c>
      <c r="G359" s="326"/>
    </row>
    <row r="360" spans="1:7" ht="14.4" x14ac:dyDescent="0.3">
      <c r="A360" s="324"/>
      <c r="B360" s="324" t="s">
        <v>431</v>
      </c>
      <c r="C360" s="328" t="s">
        <v>149</v>
      </c>
      <c r="E360" s="326">
        <v>1.38</v>
      </c>
      <c r="F360" s="48">
        <f t="shared" si="13"/>
        <v>0</v>
      </c>
      <c r="G360" s="326"/>
    </row>
    <row r="361" spans="1:7" ht="14.4" x14ac:dyDescent="0.3">
      <c r="A361" s="324"/>
      <c r="B361" s="324" t="s">
        <v>432</v>
      </c>
      <c r="C361" s="328" t="s">
        <v>149</v>
      </c>
      <c r="E361" s="326">
        <v>22</v>
      </c>
      <c r="F361" s="48">
        <f t="shared" si="13"/>
        <v>0</v>
      </c>
      <c r="G361" s="326"/>
    </row>
    <row r="362" spans="1:7" ht="14.4" x14ac:dyDescent="0.3">
      <c r="A362" s="324"/>
      <c r="B362" s="324" t="s">
        <v>433</v>
      </c>
      <c r="C362" s="328" t="s">
        <v>115</v>
      </c>
      <c r="E362" s="326">
        <v>57.75</v>
      </c>
      <c r="F362" s="48">
        <f t="shared" si="13"/>
        <v>0</v>
      </c>
      <c r="G362" s="326"/>
    </row>
    <row r="363" spans="1:7" ht="14.4" x14ac:dyDescent="0.3">
      <c r="A363" s="324"/>
      <c r="B363" s="324" t="s">
        <v>434</v>
      </c>
      <c r="C363" s="328" t="s">
        <v>115</v>
      </c>
      <c r="E363" s="326">
        <v>139</v>
      </c>
      <c r="F363" s="48">
        <f t="shared" si="13"/>
        <v>0</v>
      </c>
      <c r="G363" s="326"/>
    </row>
    <row r="364" spans="1:7" ht="14.4" x14ac:dyDescent="0.3">
      <c r="A364" s="324"/>
      <c r="B364" s="324" t="s">
        <v>435</v>
      </c>
      <c r="C364" s="328" t="s">
        <v>115</v>
      </c>
      <c r="E364" s="326">
        <v>104.15</v>
      </c>
      <c r="F364" s="48">
        <f t="shared" si="13"/>
        <v>0</v>
      </c>
      <c r="G364" s="326"/>
    </row>
    <row r="365" spans="1:7" ht="14.4" x14ac:dyDescent="0.3">
      <c r="A365" s="324"/>
      <c r="B365" s="324" t="s">
        <v>436</v>
      </c>
      <c r="C365" s="328" t="s">
        <v>115</v>
      </c>
      <c r="E365" s="326">
        <v>26.1</v>
      </c>
      <c r="F365" s="48">
        <f t="shared" si="13"/>
        <v>0</v>
      </c>
      <c r="G365" s="326"/>
    </row>
    <row r="366" spans="1:7" ht="14.4" x14ac:dyDescent="0.3">
      <c r="A366" s="324"/>
      <c r="B366" s="324" t="s">
        <v>437</v>
      </c>
      <c r="C366" s="328" t="s">
        <v>115</v>
      </c>
      <c r="E366" s="326">
        <v>37.5</v>
      </c>
      <c r="F366" s="48">
        <f t="shared" si="13"/>
        <v>0</v>
      </c>
      <c r="G366" s="326"/>
    </row>
    <row r="367" spans="1:7" ht="14.4" x14ac:dyDescent="0.3">
      <c r="A367" s="324"/>
      <c r="B367" s="324" t="s">
        <v>438</v>
      </c>
      <c r="C367" s="328" t="s">
        <v>115</v>
      </c>
      <c r="E367" s="326">
        <v>35.93</v>
      </c>
      <c r="F367" s="48">
        <f t="shared" si="13"/>
        <v>0</v>
      </c>
      <c r="G367" s="326"/>
    </row>
    <row r="368" spans="1:7" ht="14.4" x14ac:dyDescent="0.3">
      <c r="A368" s="324"/>
      <c r="B368" s="324" t="s">
        <v>439</v>
      </c>
      <c r="C368" s="328" t="s">
        <v>115</v>
      </c>
      <c r="E368" s="326">
        <v>35</v>
      </c>
      <c r="F368" s="48">
        <f t="shared" si="13"/>
        <v>0</v>
      </c>
      <c r="G368" s="326"/>
    </row>
    <row r="369" spans="1:7" ht="14.4" x14ac:dyDescent="0.3">
      <c r="A369" s="324"/>
      <c r="B369" s="420" t="s">
        <v>440</v>
      </c>
      <c r="C369" s="328" t="s">
        <v>115</v>
      </c>
      <c r="E369" s="326">
        <v>35</v>
      </c>
      <c r="F369" s="48">
        <f t="shared" si="13"/>
        <v>0</v>
      </c>
      <c r="G369" s="326"/>
    </row>
    <row r="370" spans="1:7" ht="14.4" x14ac:dyDescent="0.3">
      <c r="A370" s="324"/>
      <c r="B370" s="420" t="s">
        <v>441</v>
      </c>
      <c r="C370" s="328" t="s">
        <v>115</v>
      </c>
      <c r="E370" s="326">
        <v>35</v>
      </c>
      <c r="F370" s="48">
        <f t="shared" si="13"/>
        <v>0</v>
      </c>
      <c r="G370" s="326"/>
    </row>
    <row r="371" spans="1:7" ht="14.4" x14ac:dyDescent="0.3">
      <c r="A371" s="324"/>
      <c r="B371" s="420" t="s">
        <v>442</v>
      </c>
      <c r="C371" s="328" t="s">
        <v>115</v>
      </c>
      <c r="E371" s="326">
        <v>20</v>
      </c>
      <c r="F371" s="48">
        <f t="shared" si="13"/>
        <v>0</v>
      </c>
      <c r="G371" s="326"/>
    </row>
    <row r="372" spans="1:7" ht="14.4" x14ac:dyDescent="0.3">
      <c r="A372" s="324"/>
      <c r="B372" s="324" t="s">
        <v>443</v>
      </c>
      <c r="C372" s="328" t="s">
        <v>115</v>
      </c>
      <c r="E372" s="326">
        <v>50</v>
      </c>
      <c r="F372" s="48">
        <f t="shared" si="13"/>
        <v>0</v>
      </c>
      <c r="G372" s="326"/>
    </row>
    <row r="373" spans="1:7" ht="14.4" x14ac:dyDescent="0.3">
      <c r="A373" s="324"/>
      <c r="B373" s="324" t="s">
        <v>444</v>
      </c>
      <c r="C373" s="328" t="s">
        <v>115</v>
      </c>
      <c r="E373" s="326">
        <v>54</v>
      </c>
      <c r="F373" s="48">
        <f t="shared" si="13"/>
        <v>0</v>
      </c>
      <c r="G373" s="326"/>
    </row>
    <row r="374" spans="1:7" ht="14.4" x14ac:dyDescent="0.3">
      <c r="A374" s="324"/>
      <c r="B374" s="420" t="s">
        <v>1056</v>
      </c>
      <c r="C374" s="419" t="s">
        <v>115</v>
      </c>
      <c r="D374" s="40">
        <v>1</v>
      </c>
      <c r="E374" s="326">
        <v>100</v>
      </c>
      <c r="F374" s="48">
        <f t="shared" si="13"/>
        <v>100</v>
      </c>
      <c r="G374" s="326"/>
    </row>
    <row r="375" spans="1:7" ht="14.4" x14ac:dyDescent="0.3">
      <c r="A375" s="324"/>
      <c r="B375" s="420" t="s">
        <v>1057</v>
      </c>
      <c r="C375" s="419" t="s">
        <v>115</v>
      </c>
      <c r="D375" s="40">
        <v>1</v>
      </c>
      <c r="E375" s="326">
        <v>150</v>
      </c>
      <c r="F375" s="48">
        <f t="shared" si="13"/>
        <v>150</v>
      </c>
      <c r="G375" s="326"/>
    </row>
    <row r="376" spans="1:7" ht="14.4" x14ac:dyDescent="0.3">
      <c r="A376" s="324"/>
      <c r="B376" s="324" t="s">
        <v>445</v>
      </c>
      <c r="C376" s="328" t="s">
        <v>115</v>
      </c>
      <c r="E376" s="326"/>
      <c r="F376" s="48">
        <f t="shared" si="13"/>
        <v>0</v>
      </c>
      <c r="G376" s="326"/>
    </row>
    <row r="377" spans="1:7" ht="14.4" x14ac:dyDescent="0.3">
      <c r="A377" s="324"/>
      <c r="B377" s="420" t="s">
        <v>446</v>
      </c>
      <c r="C377" s="328" t="s">
        <v>115</v>
      </c>
      <c r="D377" s="40">
        <v>10</v>
      </c>
      <c r="E377" s="326">
        <v>15.55</v>
      </c>
      <c r="F377" s="48">
        <f t="shared" si="13"/>
        <v>155.5</v>
      </c>
      <c r="G377" s="326"/>
    </row>
    <row r="378" spans="1:7" ht="14.4" x14ac:dyDescent="0.3">
      <c r="A378" s="324"/>
      <c r="B378" s="420" t="s">
        <v>447</v>
      </c>
      <c r="C378" s="328" t="s">
        <v>115</v>
      </c>
      <c r="E378" s="326">
        <v>15</v>
      </c>
      <c r="F378" s="48">
        <f t="shared" si="13"/>
        <v>0</v>
      </c>
      <c r="G378" s="326"/>
    </row>
    <row r="379" spans="1:7" ht="14.4" x14ac:dyDescent="0.3">
      <c r="A379" s="324"/>
      <c r="B379" s="420" t="s">
        <v>448</v>
      </c>
      <c r="C379" s="419" t="s">
        <v>115</v>
      </c>
      <c r="E379" s="326">
        <v>10.87</v>
      </c>
      <c r="F379" s="48">
        <f t="shared" si="13"/>
        <v>0</v>
      </c>
      <c r="G379" s="326"/>
    </row>
    <row r="380" spans="1:7" ht="14.4" x14ac:dyDescent="0.3">
      <c r="A380" s="324"/>
      <c r="B380" s="420" t="s">
        <v>449</v>
      </c>
      <c r="C380" s="328" t="s">
        <v>115</v>
      </c>
      <c r="E380" s="326">
        <v>55</v>
      </c>
      <c r="F380" s="48">
        <f t="shared" si="13"/>
        <v>0</v>
      </c>
      <c r="G380" s="326"/>
    </row>
    <row r="381" spans="1:7" ht="14.4" x14ac:dyDescent="0.3">
      <c r="A381" s="324"/>
      <c r="B381" s="420" t="s">
        <v>450</v>
      </c>
      <c r="C381" s="328" t="s">
        <v>115</v>
      </c>
      <c r="E381" s="326">
        <v>55</v>
      </c>
      <c r="F381" s="48">
        <f t="shared" si="13"/>
        <v>0</v>
      </c>
      <c r="G381" s="326"/>
    </row>
    <row r="382" spans="1:7" ht="14.4" x14ac:dyDescent="0.3">
      <c r="A382" s="324"/>
      <c r="B382" s="420" t="s">
        <v>451</v>
      </c>
      <c r="C382" s="328" t="s">
        <v>115</v>
      </c>
      <c r="E382" s="326">
        <v>35</v>
      </c>
      <c r="F382" s="48">
        <f t="shared" si="13"/>
        <v>0</v>
      </c>
      <c r="G382" s="326"/>
    </row>
    <row r="383" spans="1:7" ht="14.4" x14ac:dyDescent="0.3">
      <c r="A383" s="324"/>
      <c r="B383" s="324" t="s">
        <v>452</v>
      </c>
      <c r="C383" s="328" t="s">
        <v>115</v>
      </c>
      <c r="E383" s="326">
        <v>35</v>
      </c>
      <c r="F383" s="48">
        <f t="shared" si="13"/>
        <v>0</v>
      </c>
      <c r="G383" s="326"/>
    </row>
    <row r="384" spans="1:7" ht="14.4" x14ac:dyDescent="0.3">
      <c r="A384" s="324"/>
      <c r="B384" s="324" t="s">
        <v>453</v>
      </c>
      <c r="C384" s="328" t="s">
        <v>115</v>
      </c>
      <c r="E384" s="326">
        <v>35</v>
      </c>
      <c r="F384" s="48">
        <f t="shared" si="13"/>
        <v>0</v>
      </c>
      <c r="G384" s="326"/>
    </row>
    <row r="385" spans="1:7" ht="14.4" x14ac:dyDescent="0.3">
      <c r="A385" s="324"/>
      <c r="B385" s="324" t="s">
        <v>454</v>
      </c>
      <c r="C385" s="328" t="s">
        <v>115</v>
      </c>
      <c r="E385" s="326">
        <v>35</v>
      </c>
      <c r="F385" s="48">
        <f t="shared" si="13"/>
        <v>0</v>
      </c>
      <c r="G385" s="326"/>
    </row>
    <row r="386" spans="1:7" ht="14.4" x14ac:dyDescent="0.3">
      <c r="A386" s="324"/>
      <c r="B386" s="420" t="s">
        <v>455</v>
      </c>
      <c r="C386" s="328" t="s">
        <v>115</v>
      </c>
      <c r="E386" s="326">
        <v>35</v>
      </c>
      <c r="F386" s="48">
        <f t="shared" si="13"/>
        <v>0</v>
      </c>
      <c r="G386" s="326"/>
    </row>
    <row r="387" spans="1:7" ht="14.4" x14ac:dyDescent="0.3">
      <c r="A387" s="324"/>
      <c r="B387" s="420" t="s">
        <v>456</v>
      </c>
      <c r="C387" s="328" t="s">
        <v>115</v>
      </c>
      <c r="E387" s="326">
        <v>35</v>
      </c>
      <c r="F387" s="48">
        <f t="shared" si="13"/>
        <v>0</v>
      </c>
      <c r="G387" s="326"/>
    </row>
    <row r="388" spans="1:7" ht="14.4" x14ac:dyDescent="0.3">
      <c r="A388" s="324"/>
      <c r="B388" s="324" t="s">
        <v>457</v>
      </c>
      <c r="C388" s="328" t="s">
        <v>115</v>
      </c>
      <c r="E388" s="326">
        <v>35</v>
      </c>
      <c r="F388" s="48">
        <f t="shared" si="13"/>
        <v>0</v>
      </c>
      <c r="G388" s="326"/>
    </row>
    <row r="389" spans="1:7" ht="14.4" x14ac:dyDescent="0.3">
      <c r="A389" s="324"/>
      <c r="B389" s="420" t="s">
        <v>1058</v>
      </c>
      <c r="C389" s="419" t="s">
        <v>115</v>
      </c>
      <c r="D389" s="40">
        <v>1</v>
      </c>
      <c r="E389" s="326">
        <v>45</v>
      </c>
      <c r="F389" s="48">
        <f t="shared" si="13"/>
        <v>45</v>
      </c>
      <c r="G389" s="326"/>
    </row>
    <row r="390" spans="1:7" ht="14.4" x14ac:dyDescent="0.3">
      <c r="A390" s="324"/>
      <c r="B390" s="324" t="s">
        <v>458</v>
      </c>
      <c r="C390" s="328" t="s">
        <v>115</v>
      </c>
      <c r="E390" s="326">
        <v>26</v>
      </c>
      <c r="F390" s="48">
        <f t="shared" si="13"/>
        <v>0</v>
      </c>
      <c r="G390" s="326"/>
    </row>
    <row r="391" spans="1:7" ht="14.4" x14ac:dyDescent="0.3">
      <c r="A391" s="324"/>
      <c r="B391" s="420" t="s">
        <v>1059</v>
      </c>
      <c r="C391" s="419" t="s">
        <v>115</v>
      </c>
      <c r="D391" s="40">
        <v>7</v>
      </c>
      <c r="E391" s="326">
        <v>40</v>
      </c>
      <c r="F391" s="48">
        <f t="shared" si="13"/>
        <v>280</v>
      </c>
      <c r="G391" s="326"/>
    </row>
    <row r="392" spans="1:7" ht="14.4" x14ac:dyDescent="0.3">
      <c r="A392" s="324"/>
      <c r="B392" s="420" t="s">
        <v>459</v>
      </c>
      <c r="C392" s="328" t="s">
        <v>115</v>
      </c>
      <c r="E392" s="326">
        <v>35</v>
      </c>
      <c r="F392" s="48">
        <f t="shared" si="13"/>
        <v>0</v>
      </c>
      <c r="G392" s="326"/>
    </row>
    <row r="393" spans="1:7" ht="14.4" x14ac:dyDescent="0.3">
      <c r="A393" s="324"/>
      <c r="B393" s="420" t="s">
        <v>460</v>
      </c>
      <c r="C393" s="328" t="s">
        <v>115</v>
      </c>
      <c r="E393" s="326">
        <v>10.87</v>
      </c>
      <c r="F393" s="48">
        <f t="shared" si="13"/>
        <v>0</v>
      </c>
      <c r="G393" s="326"/>
    </row>
    <row r="394" spans="1:7" ht="14.4" x14ac:dyDescent="0.3">
      <c r="A394" s="324"/>
      <c r="B394" s="324" t="s">
        <v>461</v>
      </c>
      <c r="C394" s="328" t="s">
        <v>115</v>
      </c>
      <c r="E394" s="326">
        <v>35</v>
      </c>
      <c r="F394" s="48">
        <f t="shared" si="13"/>
        <v>0</v>
      </c>
      <c r="G394" s="326"/>
    </row>
    <row r="395" spans="1:7" ht="14.4" x14ac:dyDescent="0.3">
      <c r="A395" s="324"/>
      <c r="B395" s="324" t="s">
        <v>462</v>
      </c>
      <c r="C395" s="328" t="s">
        <v>115</v>
      </c>
      <c r="E395" s="326">
        <v>20</v>
      </c>
      <c r="F395" s="48">
        <f t="shared" si="13"/>
        <v>0</v>
      </c>
      <c r="G395" s="326"/>
    </row>
    <row r="396" spans="1:7" ht="14.4" x14ac:dyDescent="0.3">
      <c r="A396" s="324"/>
      <c r="B396" s="420" t="s">
        <v>463</v>
      </c>
      <c r="C396" s="328" t="s">
        <v>115</v>
      </c>
      <c r="E396" s="326">
        <v>20</v>
      </c>
      <c r="F396" s="48">
        <f t="shared" si="13"/>
        <v>0</v>
      </c>
      <c r="G396" s="326"/>
    </row>
    <row r="397" spans="1:7" ht="14.4" x14ac:dyDescent="0.3">
      <c r="A397" s="324"/>
      <c r="B397" s="420" t="s">
        <v>464</v>
      </c>
      <c r="C397" s="328" t="s">
        <v>115</v>
      </c>
      <c r="E397" s="326"/>
      <c r="F397" s="48">
        <f t="shared" si="13"/>
        <v>0</v>
      </c>
      <c r="G397" s="326"/>
    </row>
    <row r="398" spans="1:7" ht="14.4" x14ac:dyDescent="0.3">
      <c r="A398" s="324"/>
      <c r="B398" s="420" t="s">
        <v>465</v>
      </c>
      <c r="C398" s="328" t="s">
        <v>115</v>
      </c>
      <c r="E398" s="326">
        <v>35</v>
      </c>
      <c r="F398" s="48">
        <f t="shared" si="13"/>
        <v>0</v>
      </c>
      <c r="G398" s="326"/>
    </row>
    <row r="399" spans="1:7" ht="14.4" x14ac:dyDescent="0.3">
      <c r="A399" s="324"/>
      <c r="B399" s="324" t="s">
        <v>466</v>
      </c>
      <c r="C399" s="328" t="s">
        <v>115</v>
      </c>
      <c r="E399" s="326">
        <v>102.5</v>
      </c>
      <c r="F399" s="48">
        <f t="shared" si="13"/>
        <v>0</v>
      </c>
      <c r="G399" s="326"/>
    </row>
    <row r="400" spans="1:7" ht="14.4" x14ac:dyDescent="0.3">
      <c r="A400" s="324"/>
      <c r="B400" s="324" t="s">
        <v>467</v>
      </c>
      <c r="C400" s="328" t="s">
        <v>115</v>
      </c>
      <c r="E400" s="326">
        <v>235</v>
      </c>
      <c r="F400" s="48">
        <f t="shared" si="13"/>
        <v>0</v>
      </c>
      <c r="G400" s="326"/>
    </row>
    <row r="401" spans="1:7" ht="14.4" x14ac:dyDescent="0.3">
      <c r="A401" s="324"/>
      <c r="B401" s="324" t="s">
        <v>468</v>
      </c>
      <c r="C401" s="328" t="s">
        <v>115</v>
      </c>
      <c r="E401" s="326">
        <v>100</v>
      </c>
      <c r="F401" s="48">
        <f t="shared" si="13"/>
        <v>0</v>
      </c>
      <c r="G401" s="326"/>
    </row>
    <row r="402" spans="1:7" ht="14.4" x14ac:dyDescent="0.3">
      <c r="A402" s="324"/>
      <c r="B402" s="324" t="s">
        <v>469</v>
      </c>
      <c r="C402" s="328" t="s">
        <v>115</v>
      </c>
      <c r="E402" s="326">
        <v>47.41</v>
      </c>
      <c r="F402" s="48">
        <f t="shared" si="13"/>
        <v>0</v>
      </c>
      <c r="G402" s="326"/>
    </row>
    <row r="403" spans="1:7" ht="14.4" x14ac:dyDescent="0.3">
      <c r="A403" s="324"/>
      <c r="B403" s="324" t="s">
        <v>470</v>
      </c>
      <c r="C403" s="328" t="s">
        <v>115</v>
      </c>
      <c r="E403" s="326">
        <v>41.69</v>
      </c>
      <c r="F403" s="48">
        <f t="shared" si="13"/>
        <v>0</v>
      </c>
      <c r="G403" s="326"/>
    </row>
    <row r="404" spans="1:7" ht="14.4" x14ac:dyDescent="0.3">
      <c r="A404" s="324"/>
      <c r="B404" s="324" t="s">
        <v>471</v>
      </c>
      <c r="C404" s="328" t="s">
        <v>115</v>
      </c>
      <c r="E404" s="326">
        <v>85.55</v>
      </c>
      <c r="F404" s="48">
        <f t="shared" si="13"/>
        <v>0</v>
      </c>
      <c r="G404" s="326"/>
    </row>
    <row r="405" spans="1:7" ht="14.4" x14ac:dyDescent="0.3">
      <c r="A405" s="324"/>
      <c r="B405" s="324"/>
      <c r="C405" s="328" t="s">
        <v>115</v>
      </c>
      <c r="E405" s="326"/>
      <c r="F405" s="48">
        <f t="shared" si="13"/>
        <v>0</v>
      </c>
      <c r="G405" s="326"/>
    </row>
    <row r="406" spans="1:7" ht="14.4" x14ac:dyDescent="0.3">
      <c r="A406" s="324"/>
      <c r="B406" s="324" t="s">
        <v>473</v>
      </c>
      <c r="C406" s="324"/>
      <c r="E406" s="326">
        <v>70</v>
      </c>
      <c r="F406" s="48">
        <f t="shared" si="13"/>
        <v>0</v>
      </c>
      <c r="G406" s="326"/>
    </row>
    <row r="407" spans="1:7" ht="14.4" x14ac:dyDescent="0.3">
      <c r="A407" s="324"/>
      <c r="B407" s="324" t="s">
        <v>474</v>
      </c>
      <c r="C407" s="328" t="s">
        <v>115</v>
      </c>
      <c r="E407" s="326">
        <v>19</v>
      </c>
      <c r="F407" s="48">
        <f t="shared" si="13"/>
        <v>0</v>
      </c>
      <c r="G407" s="326"/>
    </row>
    <row r="408" spans="1:7" ht="14.4" x14ac:dyDescent="0.3">
      <c r="A408" s="324"/>
      <c r="B408" s="324" t="s">
        <v>475</v>
      </c>
      <c r="C408" s="328" t="s">
        <v>115</v>
      </c>
      <c r="E408" s="326">
        <v>16</v>
      </c>
      <c r="F408" s="48">
        <f t="shared" si="13"/>
        <v>0</v>
      </c>
      <c r="G408" s="326"/>
    </row>
    <row r="409" spans="1:7" ht="14.4" x14ac:dyDescent="0.3">
      <c r="A409" s="324"/>
      <c r="B409" s="324"/>
      <c r="C409" s="328" t="s">
        <v>115</v>
      </c>
      <c r="E409" s="326"/>
      <c r="F409" s="48">
        <f t="shared" si="13"/>
        <v>0</v>
      </c>
      <c r="G409" s="326"/>
    </row>
    <row r="410" spans="1:7" ht="14.4" x14ac:dyDescent="0.3">
      <c r="A410" s="324"/>
      <c r="B410" s="420" t="s">
        <v>476</v>
      </c>
      <c r="C410" s="419" t="s">
        <v>149</v>
      </c>
      <c r="E410" s="326">
        <v>40.21</v>
      </c>
      <c r="F410" s="48">
        <f t="shared" si="13"/>
        <v>0</v>
      </c>
      <c r="G410" s="326"/>
    </row>
    <row r="411" spans="1:7" ht="14.4" x14ac:dyDescent="0.3">
      <c r="A411" s="324"/>
      <c r="B411" s="324" t="s">
        <v>479</v>
      </c>
      <c r="C411" s="328" t="s">
        <v>149</v>
      </c>
      <c r="D411" s="40">
        <v>8</v>
      </c>
      <c r="E411" s="329">
        <v>46.5</v>
      </c>
      <c r="F411" s="48">
        <f t="shared" si="13"/>
        <v>372</v>
      </c>
      <c r="G411" s="329"/>
    </row>
    <row r="412" spans="1:7" ht="14.4" x14ac:dyDescent="0.3">
      <c r="A412" s="324"/>
      <c r="B412" s="420" t="s">
        <v>480</v>
      </c>
      <c r="C412" s="328" t="s">
        <v>149</v>
      </c>
      <c r="E412" s="329">
        <v>31.67</v>
      </c>
      <c r="F412" s="48">
        <f t="shared" si="13"/>
        <v>0</v>
      </c>
      <c r="G412" s="329"/>
    </row>
    <row r="413" spans="1:7" ht="14.4" x14ac:dyDescent="0.3">
      <c r="A413" s="324"/>
      <c r="B413" s="324" t="s">
        <v>481</v>
      </c>
      <c r="C413" s="328" t="s">
        <v>149</v>
      </c>
      <c r="E413" s="329">
        <v>16.329999999999998</v>
      </c>
      <c r="F413" s="48">
        <f t="shared" si="13"/>
        <v>0</v>
      </c>
      <c r="G413" s="329"/>
    </row>
    <row r="414" spans="1:7" ht="14.4" x14ac:dyDescent="0.3">
      <c r="A414" s="324"/>
      <c r="B414" s="324" t="s">
        <v>482</v>
      </c>
      <c r="C414" s="328" t="s">
        <v>115</v>
      </c>
      <c r="D414" s="40">
        <v>27</v>
      </c>
      <c r="E414" s="329">
        <v>21.5</v>
      </c>
      <c r="F414" s="48">
        <f t="shared" si="13"/>
        <v>580.5</v>
      </c>
      <c r="G414" s="329"/>
    </row>
    <row r="415" spans="1:7" ht="14.4" x14ac:dyDescent="0.3">
      <c r="A415" s="324"/>
      <c r="B415" s="420" t="s">
        <v>990</v>
      </c>
      <c r="C415" s="419" t="s">
        <v>115</v>
      </c>
      <c r="D415" s="40">
        <v>1</v>
      </c>
      <c r="E415" s="329">
        <v>56.35</v>
      </c>
      <c r="F415" s="48">
        <f t="shared" si="13"/>
        <v>56.35</v>
      </c>
      <c r="G415" s="329"/>
    </row>
    <row r="416" spans="1:7" ht="14.4" x14ac:dyDescent="0.3">
      <c r="A416" s="324"/>
      <c r="B416" s="420" t="s">
        <v>483</v>
      </c>
      <c r="C416" s="328" t="s">
        <v>149</v>
      </c>
      <c r="E416" s="329">
        <v>15</v>
      </c>
      <c r="F416" s="48">
        <f t="shared" si="13"/>
        <v>0</v>
      </c>
      <c r="G416" s="329"/>
    </row>
    <row r="417" spans="1:7" ht="14.4" x14ac:dyDescent="0.3">
      <c r="A417" s="324"/>
      <c r="B417" s="324" t="s">
        <v>484</v>
      </c>
      <c r="C417" s="328" t="s">
        <v>115</v>
      </c>
      <c r="D417" s="40">
        <v>3</v>
      </c>
      <c r="E417" s="329">
        <v>13.2</v>
      </c>
      <c r="F417" s="48">
        <f t="shared" si="13"/>
        <v>39.599999999999994</v>
      </c>
      <c r="G417" s="329"/>
    </row>
    <row r="418" spans="1:7" ht="14.4" x14ac:dyDescent="0.3">
      <c r="A418" s="324"/>
      <c r="B418" s="324" t="s">
        <v>485</v>
      </c>
      <c r="C418" s="328" t="s">
        <v>115</v>
      </c>
      <c r="D418" s="40">
        <v>9</v>
      </c>
      <c r="E418" s="329">
        <v>13.67</v>
      </c>
      <c r="F418" s="48">
        <f t="shared" si="13"/>
        <v>123.03</v>
      </c>
      <c r="G418" s="329"/>
    </row>
    <row r="419" spans="1:7" ht="14.4" x14ac:dyDescent="0.3">
      <c r="A419" s="324"/>
      <c r="B419" s="420" t="s">
        <v>486</v>
      </c>
      <c r="C419" s="328" t="s">
        <v>149</v>
      </c>
      <c r="D419" s="40">
        <v>2</v>
      </c>
      <c r="E419" s="329">
        <v>6.88</v>
      </c>
      <c r="F419" s="48">
        <f t="shared" si="13"/>
        <v>13.76</v>
      </c>
      <c r="G419" s="329"/>
    </row>
    <row r="420" spans="1:7" ht="14.4" x14ac:dyDescent="0.3">
      <c r="A420" s="324"/>
      <c r="B420" s="324" t="s">
        <v>487</v>
      </c>
      <c r="C420" s="419" t="s">
        <v>115</v>
      </c>
      <c r="E420" s="326">
        <v>1.4</v>
      </c>
      <c r="F420" s="48">
        <f t="shared" ref="F420:F485" si="14">E420*D420</f>
        <v>0</v>
      </c>
      <c r="G420" s="326"/>
    </row>
    <row r="421" spans="1:7" ht="14.4" x14ac:dyDescent="0.3">
      <c r="A421" s="324"/>
      <c r="B421" s="324" t="s">
        <v>488</v>
      </c>
      <c r="C421" s="328" t="s">
        <v>115</v>
      </c>
      <c r="E421" s="326">
        <v>1.38</v>
      </c>
      <c r="F421" s="48">
        <f t="shared" si="14"/>
        <v>0</v>
      </c>
      <c r="G421" s="326"/>
    </row>
    <row r="422" spans="1:7" ht="14.4" x14ac:dyDescent="0.3">
      <c r="A422" s="324"/>
      <c r="B422" s="324" t="s">
        <v>489</v>
      </c>
      <c r="C422" s="328" t="s">
        <v>115</v>
      </c>
      <c r="E422" s="326">
        <v>1.32</v>
      </c>
      <c r="F422" s="48">
        <f t="shared" si="14"/>
        <v>0</v>
      </c>
      <c r="G422" s="326"/>
    </row>
    <row r="423" spans="1:7" ht="14.4" x14ac:dyDescent="0.3">
      <c r="A423" s="324"/>
      <c r="B423" s="324" t="s">
        <v>490</v>
      </c>
      <c r="C423" s="328" t="s">
        <v>115</v>
      </c>
      <c r="E423" s="326">
        <v>1.24</v>
      </c>
      <c r="F423" s="48">
        <f t="shared" si="14"/>
        <v>0</v>
      </c>
      <c r="G423" s="326"/>
    </row>
    <row r="424" spans="1:7" ht="14.4" x14ac:dyDescent="0.3">
      <c r="A424" s="324"/>
      <c r="B424" s="324" t="s">
        <v>491</v>
      </c>
      <c r="C424" s="419" t="s">
        <v>149</v>
      </c>
      <c r="E424" s="326">
        <v>5.0999999999999996</v>
      </c>
      <c r="F424" s="48">
        <f t="shared" si="14"/>
        <v>0</v>
      </c>
      <c r="G424" s="326"/>
    </row>
    <row r="425" spans="1:7" ht="14.4" x14ac:dyDescent="0.3">
      <c r="A425" s="324"/>
      <c r="B425" s="324"/>
      <c r="C425" s="328"/>
      <c r="E425" s="326"/>
      <c r="F425" s="48">
        <f t="shared" si="14"/>
        <v>0</v>
      </c>
      <c r="G425" s="326"/>
    </row>
    <row r="426" spans="1:7" ht="14.4" x14ac:dyDescent="0.3">
      <c r="A426" s="324"/>
      <c r="B426" s="420" t="s">
        <v>494</v>
      </c>
      <c r="C426" s="419" t="s">
        <v>115</v>
      </c>
      <c r="D426" s="40">
        <v>3</v>
      </c>
      <c r="E426" s="326">
        <v>45.02</v>
      </c>
      <c r="F426" s="48">
        <f t="shared" si="14"/>
        <v>135.06</v>
      </c>
      <c r="G426" s="326"/>
    </row>
    <row r="427" spans="1:7" ht="14.4" x14ac:dyDescent="0.3">
      <c r="A427" s="324"/>
      <c r="B427" s="420" t="s">
        <v>495</v>
      </c>
      <c r="C427" s="419" t="s">
        <v>115</v>
      </c>
      <c r="E427" s="326">
        <v>14.31</v>
      </c>
      <c r="F427" s="48">
        <f t="shared" si="14"/>
        <v>0</v>
      </c>
      <c r="G427" s="326"/>
    </row>
    <row r="428" spans="1:7" ht="14.4" x14ac:dyDescent="0.3">
      <c r="A428" s="324"/>
      <c r="B428" s="420" t="s">
        <v>496</v>
      </c>
      <c r="C428" s="328" t="s">
        <v>115</v>
      </c>
      <c r="D428" s="40">
        <v>11</v>
      </c>
      <c r="E428" s="326">
        <v>7.17</v>
      </c>
      <c r="F428" s="48">
        <f t="shared" si="14"/>
        <v>78.87</v>
      </c>
      <c r="G428" s="326"/>
    </row>
    <row r="429" spans="1:7" ht="14.4" x14ac:dyDescent="0.3">
      <c r="A429" s="324"/>
      <c r="B429" s="420" t="s">
        <v>497</v>
      </c>
      <c r="C429" s="328" t="s">
        <v>115</v>
      </c>
      <c r="D429" s="40">
        <v>6</v>
      </c>
      <c r="E429" s="326">
        <v>3.76</v>
      </c>
      <c r="F429" s="48">
        <f t="shared" si="14"/>
        <v>22.56</v>
      </c>
      <c r="G429" s="326"/>
    </row>
    <row r="430" spans="1:7" ht="14.4" x14ac:dyDescent="0.3">
      <c r="A430" s="324"/>
      <c r="B430" s="420" t="s">
        <v>996</v>
      </c>
      <c r="C430" s="419" t="s">
        <v>115</v>
      </c>
      <c r="D430" s="40">
        <v>1</v>
      </c>
      <c r="E430" s="326">
        <v>37</v>
      </c>
      <c r="F430" s="48">
        <f t="shared" si="14"/>
        <v>37</v>
      </c>
    </row>
    <row r="431" spans="1:7" ht="16.8" x14ac:dyDescent="0.4">
      <c r="A431" s="324"/>
      <c r="B431" s="422" t="s">
        <v>1060</v>
      </c>
      <c r="C431" s="419" t="s">
        <v>115</v>
      </c>
      <c r="E431" s="326"/>
      <c r="F431" s="48">
        <f t="shared" si="14"/>
        <v>0</v>
      </c>
    </row>
    <row r="432" spans="1:7" ht="16.8" x14ac:dyDescent="0.4">
      <c r="A432" s="324"/>
      <c r="B432" s="422" t="s">
        <v>1061</v>
      </c>
      <c r="C432" s="419" t="s">
        <v>115</v>
      </c>
      <c r="E432" s="326"/>
      <c r="F432" s="48">
        <f t="shared" si="14"/>
        <v>0</v>
      </c>
    </row>
    <row r="433" spans="1:7" ht="16.8" x14ac:dyDescent="0.4">
      <c r="A433" s="324"/>
      <c r="B433" s="422"/>
      <c r="C433" s="419"/>
      <c r="E433" s="326"/>
      <c r="F433" s="48"/>
    </row>
    <row r="434" spans="1:7" ht="14.4" x14ac:dyDescent="0.3">
      <c r="A434" s="324"/>
      <c r="B434" s="324"/>
      <c r="C434" s="328"/>
      <c r="E434" s="326"/>
      <c r="F434" s="48">
        <f t="shared" si="14"/>
        <v>0</v>
      </c>
    </row>
    <row r="435" spans="1:7" ht="14.4" x14ac:dyDescent="0.3">
      <c r="A435" s="420" t="s">
        <v>498</v>
      </c>
      <c r="B435" s="324"/>
      <c r="C435" s="328"/>
      <c r="E435" s="326"/>
      <c r="F435" s="48">
        <f t="shared" si="14"/>
        <v>0</v>
      </c>
    </row>
    <row r="436" spans="1:7" ht="14.4" x14ac:dyDescent="0.3">
      <c r="A436" s="324"/>
      <c r="B436" s="324" t="s">
        <v>499</v>
      </c>
      <c r="C436" s="419" t="s">
        <v>115</v>
      </c>
      <c r="E436" s="326">
        <v>13.5</v>
      </c>
      <c r="F436" s="48">
        <f t="shared" si="14"/>
        <v>0</v>
      </c>
      <c r="G436" s="326"/>
    </row>
    <row r="437" spans="1:7" ht="14.4" x14ac:dyDescent="0.3">
      <c r="A437" s="324"/>
      <c r="B437" s="324" t="s">
        <v>500</v>
      </c>
      <c r="C437" s="328" t="s">
        <v>115</v>
      </c>
      <c r="E437" s="326">
        <v>13.5</v>
      </c>
      <c r="F437" s="48">
        <f t="shared" si="14"/>
        <v>0</v>
      </c>
      <c r="G437" s="326"/>
    </row>
    <row r="438" spans="1:7" ht="14.4" x14ac:dyDescent="0.3">
      <c r="A438" s="324"/>
      <c r="B438" s="324" t="s">
        <v>501</v>
      </c>
      <c r="C438" s="328" t="s">
        <v>115</v>
      </c>
      <c r="E438" s="326">
        <v>9.5</v>
      </c>
      <c r="F438" s="48">
        <f t="shared" si="14"/>
        <v>0</v>
      </c>
      <c r="G438" s="326"/>
    </row>
    <row r="439" spans="1:7" ht="14.4" x14ac:dyDescent="0.3">
      <c r="A439" s="324"/>
      <c r="B439" s="324" t="s">
        <v>502</v>
      </c>
      <c r="C439" s="328" t="s">
        <v>115</v>
      </c>
      <c r="E439" s="326">
        <v>18.5</v>
      </c>
      <c r="F439" s="48">
        <f t="shared" si="14"/>
        <v>0</v>
      </c>
      <c r="G439" s="326"/>
    </row>
    <row r="440" spans="1:7" ht="14.4" x14ac:dyDescent="0.3">
      <c r="A440" s="324"/>
      <c r="B440" s="324" t="s">
        <v>503</v>
      </c>
      <c r="C440" s="328" t="s">
        <v>115</v>
      </c>
      <c r="E440" s="326">
        <v>18.5</v>
      </c>
      <c r="F440" s="48">
        <f t="shared" si="14"/>
        <v>0</v>
      </c>
      <c r="G440" s="326"/>
    </row>
    <row r="441" spans="1:7" ht="14.4" x14ac:dyDescent="0.3">
      <c r="A441" s="324"/>
      <c r="B441" s="324" t="s">
        <v>504</v>
      </c>
      <c r="C441" s="328" t="s">
        <v>115</v>
      </c>
      <c r="E441" s="326">
        <v>6</v>
      </c>
      <c r="F441" s="48">
        <f t="shared" si="14"/>
        <v>0</v>
      </c>
      <c r="G441" s="326"/>
    </row>
    <row r="442" spans="1:7" ht="14.4" x14ac:dyDescent="0.3">
      <c r="A442" s="324"/>
      <c r="B442" s="324" t="s">
        <v>505</v>
      </c>
      <c r="C442" s="328" t="s">
        <v>115</v>
      </c>
      <c r="E442" s="326">
        <v>5.5</v>
      </c>
      <c r="F442" s="48">
        <f t="shared" si="14"/>
        <v>0</v>
      </c>
      <c r="G442" s="326"/>
    </row>
    <row r="443" spans="1:7" ht="14.4" x14ac:dyDescent="0.3">
      <c r="A443" s="324"/>
      <c r="B443" s="324" t="s">
        <v>506</v>
      </c>
      <c r="C443" s="328" t="s">
        <v>115</v>
      </c>
      <c r="E443" s="326">
        <v>17.5</v>
      </c>
      <c r="F443" s="48">
        <f t="shared" si="14"/>
        <v>0</v>
      </c>
      <c r="G443" s="326"/>
    </row>
    <row r="444" spans="1:7" ht="14.4" x14ac:dyDescent="0.3">
      <c r="A444" s="324"/>
      <c r="B444" s="324" t="s">
        <v>507</v>
      </c>
      <c r="C444" s="328" t="s">
        <v>115</v>
      </c>
      <c r="E444" s="326">
        <v>16.5</v>
      </c>
      <c r="F444" s="48">
        <f t="shared" si="14"/>
        <v>0</v>
      </c>
      <c r="G444" s="326"/>
    </row>
    <row r="445" spans="1:7" ht="14.4" x14ac:dyDescent="0.3">
      <c r="A445" s="324"/>
      <c r="B445" s="324" t="s">
        <v>508</v>
      </c>
      <c r="C445" s="328" t="s">
        <v>115</v>
      </c>
      <c r="E445" s="326">
        <v>2.5</v>
      </c>
      <c r="F445" s="48">
        <f t="shared" si="14"/>
        <v>0</v>
      </c>
      <c r="G445" s="326"/>
    </row>
    <row r="446" spans="1:7" ht="14.4" x14ac:dyDescent="0.3">
      <c r="A446" s="324"/>
      <c r="B446" s="324" t="s">
        <v>509</v>
      </c>
      <c r="C446" s="328" t="s">
        <v>115</v>
      </c>
      <c r="E446" s="326">
        <v>43.5</v>
      </c>
      <c r="F446" s="48">
        <f t="shared" si="14"/>
        <v>0</v>
      </c>
      <c r="G446" s="326"/>
    </row>
    <row r="447" spans="1:7" ht="14.4" x14ac:dyDescent="0.3">
      <c r="A447" s="324"/>
      <c r="B447" s="324" t="s">
        <v>510</v>
      </c>
      <c r="C447" s="328" t="s">
        <v>115</v>
      </c>
      <c r="E447" s="326">
        <v>43.5</v>
      </c>
      <c r="F447" s="48">
        <f t="shared" si="14"/>
        <v>0</v>
      </c>
      <c r="G447" s="326"/>
    </row>
    <row r="448" spans="1:7" ht="14.4" x14ac:dyDescent="0.3">
      <c r="A448" s="324"/>
      <c r="B448" s="324" t="s">
        <v>511</v>
      </c>
      <c r="C448" s="328" t="s">
        <v>115</v>
      </c>
      <c r="E448" s="326">
        <v>45.5</v>
      </c>
      <c r="F448" s="48">
        <f t="shared" si="14"/>
        <v>0</v>
      </c>
      <c r="G448" s="326"/>
    </row>
    <row r="449" spans="1:7" ht="14.4" x14ac:dyDescent="0.3">
      <c r="A449" s="324"/>
      <c r="B449" s="324" t="s">
        <v>512</v>
      </c>
      <c r="C449" s="328" t="s">
        <v>115</v>
      </c>
      <c r="E449" s="326">
        <v>76</v>
      </c>
      <c r="F449" s="48">
        <f t="shared" si="14"/>
        <v>0</v>
      </c>
      <c r="G449" s="326"/>
    </row>
    <row r="450" spans="1:7" ht="14.4" x14ac:dyDescent="0.3">
      <c r="A450" s="324"/>
      <c r="B450" s="324" t="s">
        <v>513</v>
      </c>
      <c r="C450" s="328" t="s">
        <v>115</v>
      </c>
      <c r="E450" s="326">
        <v>11.5</v>
      </c>
      <c r="F450" s="48">
        <f t="shared" si="14"/>
        <v>0</v>
      </c>
      <c r="G450" s="326"/>
    </row>
    <row r="451" spans="1:7" ht="14.4" x14ac:dyDescent="0.3">
      <c r="A451" s="324"/>
      <c r="B451" s="324" t="s">
        <v>514</v>
      </c>
      <c r="C451" s="328" t="s">
        <v>115</v>
      </c>
      <c r="E451" s="326">
        <v>11.5</v>
      </c>
      <c r="F451" s="48">
        <f t="shared" si="14"/>
        <v>0</v>
      </c>
      <c r="G451" s="326"/>
    </row>
    <row r="452" spans="1:7" ht="14.4" x14ac:dyDescent="0.3">
      <c r="A452" s="324"/>
      <c r="B452" s="324" t="s">
        <v>515</v>
      </c>
      <c r="C452" s="328" t="s">
        <v>115</v>
      </c>
      <c r="E452" s="326">
        <v>12</v>
      </c>
      <c r="F452" s="48">
        <f t="shared" si="14"/>
        <v>0</v>
      </c>
      <c r="G452" s="326"/>
    </row>
    <row r="453" spans="1:7" ht="14.4" x14ac:dyDescent="0.3">
      <c r="A453" s="324"/>
      <c r="B453" s="324" t="s">
        <v>516</v>
      </c>
      <c r="C453" s="328" t="s">
        <v>115</v>
      </c>
      <c r="E453" s="326">
        <v>18.5</v>
      </c>
      <c r="F453" s="48">
        <f t="shared" si="14"/>
        <v>0</v>
      </c>
      <c r="G453" s="326"/>
    </row>
    <row r="454" spans="1:7" ht="14.4" x14ac:dyDescent="0.3">
      <c r="A454" s="324"/>
      <c r="B454" s="324" t="s">
        <v>517</v>
      </c>
      <c r="C454" s="328" t="s">
        <v>115</v>
      </c>
      <c r="E454" s="326">
        <v>19.5</v>
      </c>
      <c r="F454" s="48">
        <f t="shared" si="14"/>
        <v>0</v>
      </c>
      <c r="G454" s="326"/>
    </row>
    <row r="455" spans="1:7" ht="14.4" x14ac:dyDescent="0.3">
      <c r="A455" s="324"/>
      <c r="B455" s="324" t="s">
        <v>518</v>
      </c>
      <c r="C455" s="328" t="s">
        <v>115</v>
      </c>
      <c r="E455" s="326">
        <v>4.5</v>
      </c>
      <c r="F455" s="48">
        <f t="shared" si="14"/>
        <v>0</v>
      </c>
      <c r="G455" s="326"/>
    </row>
    <row r="456" spans="1:7" ht="14.4" x14ac:dyDescent="0.3">
      <c r="A456" s="324"/>
      <c r="B456" s="324" t="s">
        <v>519</v>
      </c>
      <c r="C456" s="328" t="s">
        <v>115</v>
      </c>
      <c r="E456" s="326">
        <v>10.5</v>
      </c>
      <c r="F456" s="48">
        <f t="shared" si="14"/>
        <v>0</v>
      </c>
      <c r="G456" s="326"/>
    </row>
    <row r="457" spans="1:7" ht="14.4" x14ac:dyDescent="0.3">
      <c r="A457" s="324"/>
      <c r="B457" s="324" t="s">
        <v>520</v>
      </c>
      <c r="C457" s="328" t="s">
        <v>115</v>
      </c>
      <c r="E457" s="326">
        <v>14.5</v>
      </c>
      <c r="F457" s="48">
        <f t="shared" si="14"/>
        <v>0</v>
      </c>
      <c r="G457" s="326"/>
    </row>
    <row r="458" spans="1:7" ht="14.4" x14ac:dyDescent="0.3">
      <c r="A458" s="324"/>
      <c r="B458" s="324" t="s">
        <v>521</v>
      </c>
      <c r="C458" s="328" t="s">
        <v>115</v>
      </c>
      <c r="E458" s="326">
        <v>28.5</v>
      </c>
      <c r="F458" s="48">
        <f t="shared" si="14"/>
        <v>0</v>
      </c>
      <c r="G458" s="326"/>
    </row>
    <row r="459" spans="1:7" ht="14.4" x14ac:dyDescent="0.3">
      <c r="A459" s="324"/>
      <c r="B459" s="324" t="s">
        <v>522</v>
      </c>
      <c r="C459" s="328" t="s">
        <v>115</v>
      </c>
      <c r="E459" s="326">
        <v>29.5</v>
      </c>
      <c r="F459" s="48">
        <f t="shared" si="14"/>
        <v>0</v>
      </c>
      <c r="G459" s="326"/>
    </row>
    <row r="460" spans="1:7" ht="14.4" x14ac:dyDescent="0.3">
      <c r="A460" s="324"/>
      <c r="B460" s="324" t="s">
        <v>523</v>
      </c>
      <c r="C460" s="328" t="s">
        <v>115</v>
      </c>
      <c r="E460" s="326">
        <v>36</v>
      </c>
      <c r="F460" s="48">
        <f t="shared" si="14"/>
        <v>0</v>
      </c>
      <c r="G460" s="326"/>
    </row>
    <row r="461" spans="1:7" ht="14.4" x14ac:dyDescent="0.3">
      <c r="A461" s="324"/>
      <c r="B461" s="324" t="s">
        <v>524</v>
      </c>
      <c r="C461" s="328" t="s">
        <v>115</v>
      </c>
      <c r="E461" s="326">
        <v>54</v>
      </c>
      <c r="F461" s="48">
        <f t="shared" si="14"/>
        <v>0</v>
      </c>
      <c r="G461" s="326"/>
    </row>
    <row r="462" spans="1:7" ht="14.4" x14ac:dyDescent="0.3">
      <c r="A462" s="324"/>
      <c r="B462" s="324" t="s">
        <v>525</v>
      </c>
      <c r="C462" s="328" t="s">
        <v>115</v>
      </c>
      <c r="E462" s="326">
        <v>10.5</v>
      </c>
      <c r="F462" s="48">
        <f t="shared" si="14"/>
        <v>0</v>
      </c>
      <c r="G462" s="326"/>
    </row>
    <row r="463" spans="1:7" ht="14.4" x14ac:dyDescent="0.3">
      <c r="A463" s="324"/>
      <c r="B463" s="324" t="s">
        <v>526</v>
      </c>
      <c r="C463" s="328" t="s">
        <v>115</v>
      </c>
      <c r="E463" s="326">
        <v>10</v>
      </c>
      <c r="F463" s="48">
        <f t="shared" si="14"/>
        <v>0</v>
      </c>
      <c r="G463" s="326"/>
    </row>
    <row r="464" spans="1:7" ht="14.4" x14ac:dyDescent="0.3">
      <c r="A464" s="324"/>
      <c r="B464" s="324" t="s">
        <v>527</v>
      </c>
      <c r="C464" s="328" t="s">
        <v>115</v>
      </c>
      <c r="E464" s="326">
        <v>5.5</v>
      </c>
      <c r="F464" s="48">
        <f t="shared" si="14"/>
        <v>0</v>
      </c>
      <c r="G464" s="326"/>
    </row>
    <row r="465" spans="1:7" ht="14.4" x14ac:dyDescent="0.3">
      <c r="A465" s="324"/>
      <c r="B465" s="324" t="s">
        <v>528</v>
      </c>
      <c r="C465" s="328" t="s">
        <v>115</v>
      </c>
      <c r="E465" s="326">
        <v>18</v>
      </c>
      <c r="F465" s="48">
        <f t="shared" si="14"/>
        <v>0</v>
      </c>
      <c r="G465" s="326"/>
    </row>
    <row r="466" spans="1:7" ht="14.4" x14ac:dyDescent="0.3">
      <c r="A466" s="324"/>
      <c r="B466" s="324" t="s">
        <v>529</v>
      </c>
      <c r="C466" s="328" t="s">
        <v>115</v>
      </c>
      <c r="E466" s="326">
        <v>4.5</v>
      </c>
      <c r="F466" s="48">
        <f t="shared" si="14"/>
        <v>0</v>
      </c>
      <c r="G466" s="326"/>
    </row>
    <row r="467" spans="1:7" ht="14.4" x14ac:dyDescent="0.3">
      <c r="A467" s="324"/>
      <c r="B467" s="324" t="s">
        <v>530</v>
      </c>
      <c r="C467" s="328" t="s">
        <v>115</v>
      </c>
      <c r="E467" s="326">
        <v>6.5</v>
      </c>
      <c r="F467" s="48">
        <f t="shared" si="14"/>
        <v>0</v>
      </c>
      <c r="G467" s="326"/>
    </row>
    <row r="468" spans="1:7" ht="14.4" x14ac:dyDescent="0.3">
      <c r="A468" s="324"/>
      <c r="B468" s="324" t="s">
        <v>531</v>
      </c>
      <c r="C468" s="328" t="s">
        <v>115</v>
      </c>
      <c r="E468" s="326">
        <v>25.5</v>
      </c>
      <c r="F468" s="48">
        <f t="shared" si="14"/>
        <v>0</v>
      </c>
      <c r="G468" s="326"/>
    </row>
    <row r="469" spans="1:7" ht="14.4" x14ac:dyDescent="0.3">
      <c r="A469" s="324"/>
      <c r="B469" s="324" t="s">
        <v>532</v>
      </c>
      <c r="C469" s="328" t="s">
        <v>115</v>
      </c>
      <c r="E469" s="326">
        <v>22.5</v>
      </c>
      <c r="F469" s="48">
        <f t="shared" si="14"/>
        <v>0</v>
      </c>
      <c r="G469" s="326"/>
    </row>
    <row r="470" spans="1:7" ht="14.4" x14ac:dyDescent="0.3">
      <c r="A470" s="324"/>
      <c r="B470" s="324" t="s">
        <v>533</v>
      </c>
      <c r="C470" s="328" t="s">
        <v>115</v>
      </c>
      <c r="E470" s="326">
        <v>8.5</v>
      </c>
      <c r="F470" s="48">
        <f t="shared" si="14"/>
        <v>0</v>
      </c>
      <c r="G470" s="326"/>
    </row>
    <row r="471" spans="1:7" ht="14.4" x14ac:dyDescent="0.3">
      <c r="A471" s="324"/>
      <c r="B471" s="324" t="s">
        <v>534</v>
      </c>
      <c r="C471" s="328" t="s">
        <v>115</v>
      </c>
      <c r="E471" s="326">
        <v>6.5</v>
      </c>
      <c r="F471" s="48">
        <f t="shared" si="14"/>
        <v>0</v>
      </c>
      <c r="G471" s="326"/>
    </row>
    <row r="472" spans="1:7" ht="14.4" x14ac:dyDescent="0.3">
      <c r="A472" s="324"/>
      <c r="B472" s="324" t="s">
        <v>535</v>
      </c>
      <c r="C472" s="328" t="s">
        <v>115</v>
      </c>
      <c r="E472" s="326">
        <v>10.5</v>
      </c>
      <c r="F472" s="48">
        <f t="shared" si="14"/>
        <v>0</v>
      </c>
      <c r="G472" s="326"/>
    </row>
    <row r="473" spans="1:7" ht="14.4" x14ac:dyDescent="0.3">
      <c r="A473" s="324"/>
      <c r="B473" s="324" t="s">
        <v>536</v>
      </c>
      <c r="C473" s="328" t="s">
        <v>115</v>
      </c>
      <c r="E473" s="326">
        <v>0</v>
      </c>
      <c r="F473" s="48">
        <f t="shared" si="14"/>
        <v>0</v>
      </c>
      <c r="G473" s="326"/>
    </row>
    <row r="474" spans="1:7" ht="14.4" x14ac:dyDescent="0.3">
      <c r="A474" s="324"/>
      <c r="B474" s="324" t="s">
        <v>537</v>
      </c>
      <c r="C474" s="328" t="s">
        <v>115</v>
      </c>
      <c r="E474" s="326">
        <v>4.5</v>
      </c>
      <c r="F474" s="48">
        <f t="shared" si="14"/>
        <v>0</v>
      </c>
      <c r="G474" s="326"/>
    </row>
    <row r="475" spans="1:7" ht="14.4" x14ac:dyDescent="0.3">
      <c r="A475" s="324"/>
      <c r="B475" s="324" t="s">
        <v>538</v>
      </c>
      <c r="C475" s="328" t="s">
        <v>115</v>
      </c>
      <c r="E475" s="326">
        <v>4</v>
      </c>
      <c r="F475" s="48">
        <f t="shared" si="14"/>
        <v>0</v>
      </c>
      <c r="G475" s="326"/>
    </row>
    <row r="476" spans="1:7" ht="14.4" x14ac:dyDescent="0.3">
      <c r="A476" s="324"/>
      <c r="B476" s="324" t="s">
        <v>539</v>
      </c>
      <c r="C476" s="328" t="s">
        <v>115</v>
      </c>
      <c r="E476" s="326">
        <v>17</v>
      </c>
      <c r="F476" s="48">
        <f t="shared" si="14"/>
        <v>0</v>
      </c>
      <c r="G476" s="326"/>
    </row>
    <row r="477" spans="1:7" ht="14.4" x14ac:dyDescent="0.3">
      <c r="A477" s="324"/>
      <c r="B477" s="324" t="s">
        <v>540</v>
      </c>
      <c r="C477" s="328" t="s">
        <v>115</v>
      </c>
      <c r="E477" s="326">
        <v>17.5</v>
      </c>
      <c r="F477" s="48">
        <f t="shared" si="14"/>
        <v>0</v>
      </c>
      <c r="G477" s="326"/>
    </row>
    <row r="478" spans="1:7" ht="14.4" x14ac:dyDescent="0.3">
      <c r="A478" s="324"/>
      <c r="B478" s="324" t="s">
        <v>541</v>
      </c>
      <c r="C478" s="328" t="s">
        <v>115</v>
      </c>
      <c r="E478" s="326">
        <v>4.5</v>
      </c>
      <c r="F478" s="48">
        <f t="shared" si="14"/>
        <v>0</v>
      </c>
      <c r="G478" s="326"/>
    </row>
    <row r="479" spans="1:7" ht="14.4" x14ac:dyDescent="0.3">
      <c r="A479" s="324"/>
      <c r="B479" s="324" t="s">
        <v>542</v>
      </c>
      <c r="C479" s="328" t="s">
        <v>115</v>
      </c>
      <c r="E479" s="326">
        <v>2</v>
      </c>
      <c r="F479" s="48">
        <f t="shared" si="14"/>
        <v>0</v>
      </c>
      <c r="G479" s="326"/>
    </row>
    <row r="480" spans="1:7" ht="14.4" x14ac:dyDescent="0.3">
      <c r="A480" s="324"/>
      <c r="B480" s="324" t="s">
        <v>543</v>
      </c>
      <c r="C480" s="328" t="s">
        <v>115</v>
      </c>
      <c r="E480" s="326">
        <v>8.5</v>
      </c>
      <c r="F480" s="48">
        <f t="shared" si="14"/>
        <v>0</v>
      </c>
      <c r="G480" s="326"/>
    </row>
    <row r="481" spans="1:7" ht="14.4" x14ac:dyDescent="0.3">
      <c r="A481" s="324"/>
      <c r="B481" s="324" t="s">
        <v>544</v>
      </c>
      <c r="C481" s="328" t="s">
        <v>115</v>
      </c>
      <c r="E481" s="326">
        <v>4</v>
      </c>
      <c r="F481" s="48">
        <f t="shared" si="14"/>
        <v>0</v>
      </c>
      <c r="G481" s="326"/>
    </row>
    <row r="482" spans="1:7" ht="14.4" x14ac:dyDescent="0.3">
      <c r="A482" s="420" t="s">
        <v>498</v>
      </c>
      <c r="B482" s="324"/>
      <c r="C482" s="328" t="s">
        <v>115</v>
      </c>
      <c r="E482" s="326"/>
      <c r="F482" s="48">
        <f t="shared" si="14"/>
        <v>0</v>
      </c>
      <c r="G482" s="326"/>
    </row>
    <row r="483" spans="1:7" ht="14.4" x14ac:dyDescent="0.3">
      <c r="A483" s="324"/>
      <c r="B483" s="324" t="s">
        <v>545</v>
      </c>
      <c r="C483" s="328"/>
      <c r="E483" s="326">
        <v>137</v>
      </c>
      <c r="F483" s="48">
        <f t="shared" si="14"/>
        <v>0</v>
      </c>
      <c r="G483" s="326"/>
    </row>
    <row r="484" spans="1:7" ht="14.4" x14ac:dyDescent="0.3">
      <c r="A484" s="324"/>
      <c r="B484" s="324" t="s">
        <v>546</v>
      </c>
      <c r="C484" s="328" t="s">
        <v>115</v>
      </c>
      <c r="E484" s="326">
        <v>139.5</v>
      </c>
      <c r="F484" s="48">
        <f t="shared" si="14"/>
        <v>0</v>
      </c>
      <c r="G484" s="326"/>
    </row>
    <row r="485" spans="1:7" ht="14.4" x14ac:dyDescent="0.3">
      <c r="A485" s="324"/>
      <c r="B485" s="324" t="s">
        <v>547</v>
      </c>
      <c r="C485" s="328" t="s">
        <v>115</v>
      </c>
      <c r="E485" s="326">
        <v>183</v>
      </c>
      <c r="F485" s="48">
        <f t="shared" si="14"/>
        <v>0</v>
      </c>
      <c r="G485" s="326"/>
    </row>
    <row r="486" spans="1:7" ht="14.4" x14ac:dyDescent="0.3">
      <c r="A486" s="324"/>
      <c r="B486" s="324" t="s">
        <v>548</v>
      </c>
      <c r="C486" s="328" t="s">
        <v>115</v>
      </c>
      <c r="E486" s="326">
        <v>184.5</v>
      </c>
      <c r="F486" s="48">
        <f t="shared" ref="F486:F549" si="15">E486*D486</f>
        <v>0</v>
      </c>
      <c r="G486" s="326"/>
    </row>
    <row r="487" spans="1:7" ht="14.4" x14ac:dyDescent="0.3">
      <c r="A487" s="324"/>
      <c r="B487" s="324" t="s">
        <v>549</v>
      </c>
      <c r="C487" s="328" t="s">
        <v>115</v>
      </c>
      <c r="E487" s="326">
        <v>56</v>
      </c>
      <c r="F487" s="48">
        <f t="shared" si="15"/>
        <v>0</v>
      </c>
      <c r="G487" s="326"/>
    </row>
    <row r="488" spans="1:7" ht="14.4" x14ac:dyDescent="0.3">
      <c r="A488" s="324"/>
      <c r="B488" s="324" t="s">
        <v>550</v>
      </c>
      <c r="C488" s="328" t="s">
        <v>115</v>
      </c>
      <c r="E488" s="326">
        <v>103</v>
      </c>
      <c r="F488" s="48">
        <f t="shared" si="15"/>
        <v>0</v>
      </c>
      <c r="G488" s="326"/>
    </row>
    <row r="489" spans="1:7" ht="14.4" x14ac:dyDescent="0.3">
      <c r="A489" s="324"/>
      <c r="B489" s="324" t="s">
        <v>551</v>
      </c>
      <c r="C489" s="328" t="s">
        <v>115</v>
      </c>
      <c r="E489" s="326">
        <v>95</v>
      </c>
      <c r="F489" s="48">
        <f t="shared" si="15"/>
        <v>0</v>
      </c>
      <c r="G489" s="326"/>
    </row>
    <row r="490" spans="1:7" ht="14.4" x14ac:dyDescent="0.3">
      <c r="A490" s="324"/>
      <c r="B490" s="324" t="s">
        <v>552</v>
      </c>
      <c r="C490" s="328" t="s">
        <v>115</v>
      </c>
      <c r="E490" s="326">
        <v>99.5</v>
      </c>
      <c r="F490" s="48">
        <f t="shared" si="15"/>
        <v>0</v>
      </c>
      <c r="G490" s="326"/>
    </row>
    <row r="491" spans="1:7" ht="14.4" x14ac:dyDescent="0.3">
      <c r="A491" s="324"/>
      <c r="B491" s="420" t="s">
        <v>558</v>
      </c>
      <c r="C491" s="328" t="s">
        <v>115</v>
      </c>
      <c r="E491" s="326">
        <v>33.5</v>
      </c>
      <c r="F491" s="48">
        <f t="shared" si="15"/>
        <v>0</v>
      </c>
      <c r="G491" s="326"/>
    </row>
    <row r="492" spans="1:7" ht="14.4" x14ac:dyDescent="0.3">
      <c r="A492" s="324"/>
      <c r="B492" s="324" t="s">
        <v>559</v>
      </c>
      <c r="C492" s="328" t="s">
        <v>115</v>
      </c>
      <c r="E492" s="326">
        <v>33</v>
      </c>
      <c r="F492" s="48">
        <f t="shared" si="15"/>
        <v>0</v>
      </c>
      <c r="G492" s="326"/>
    </row>
    <row r="493" spans="1:7" ht="14.4" x14ac:dyDescent="0.3">
      <c r="A493" s="324"/>
      <c r="B493" s="420" t="s">
        <v>560</v>
      </c>
      <c r="C493" s="328" t="s">
        <v>115</v>
      </c>
      <c r="E493" s="326">
        <v>60.5</v>
      </c>
      <c r="F493" s="48">
        <f t="shared" si="15"/>
        <v>0</v>
      </c>
      <c r="G493" s="326"/>
    </row>
    <row r="494" spans="1:7" ht="14.4" x14ac:dyDescent="0.3">
      <c r="A494" s="324"/>
      <c r="B494" s="324" t="s">
        <v>561</v>
      </c>
      <c r="C494" s="328" t="s">
        <v>115</v>
      </c>
      <c r="E494" s="326">
        <v>61</v>
      </c>
      <c r="F494" s="48">
        <f t="shared" si="15"/>
        <v>0</v>
      </c>
      <c r="G494" s="326"/>
    </row>
    <row r="495" spans="1:7" ht="14.4" x14ac:dyDescent="0.3">
      <c r="A495" s="324"/>
      <c r="B495" s="324" t="s">
        <v>562</v>
      </c>
      <c r="C495" s="328" t="s">
        <v>115</v>
      </c>
      <c r="E495" s="326">
        <v>65</v>
      </c>
      <c r="F495" s="48">
        <f t="shared" si="15"/>
        <v>0</v>
      </c>
      <c r="G495" s="326"/>
    </row>
    <row r="496" spans="1:7" ht="14.4" x14ac:dyDescent="0.3">
      <c r="A496" s="324"/>
      <c r="B496" s="324" t="s">
        <v>563</v>
      </c>
      <c r="C496" s="328" t="s">
        <v>115</v>
      </c>
      <c r="E496" s="326">
        <v>65</v>
      </c>
      <c r="F496" s="48">
        <f t="shared" si="15"/>
        <v>0</v>
      </c>
      <c r="G496" s="326"/>
    </row>
    <row r="497" spans="1:7" ht="14.4" x14ac:dyDescent="0.3">
      <c r="A497" s="324"/>
      <c r="B497" s="324" t="s">
        <v>564</v>
      </c>
      <c r="C497" s="328" t="s">
        <v>115</v>
      </c>
      <c r="E497" s="326">
        <v>65</v>
      </c>
      <c r="F497" s="48">
        <f t="shared" si="15"/>
        <v>0</v>
      </c>
      <c r="G497" s="326"/>
    </row>
    <row r="498" spans="1:7" ht="14.4" x14ac:dyDescent="0.3">
      <c r="A498" s="324"/>
      <c r="B498" s="324" t="s">
        <v>565</v>
      </c>
      <c r="C498" s="328" t="s">
        <v>115</v>
      </c>
      <c r="E498" s="326">
        <v>65</v>
      </c>
      <c r="F498" s="48">
        <f t="shared" si="15"/>
        <v>0</v>
      </c>
      <c r="G498" s="326"/>
    </row>
    <row r="499" spans="1:7" ht="14.4" x14ac:dyDescent="0.3">
      <c r="A499" s="324"/>
      <c r="B499" s="324" t="s">
        <v>566</v>
      </c>
      <c r="C499" s="328" t="s">
        <v>115</v>
      </c>
      <c r="E499" s="326">
        <v>45</v>
      </c>
      <c r="F499" s="48">
        <f t="shared" si="15"/>
        <v>0</v>
      </c>
      <c r="G499" s="326"/>
    </row>
    <row r="500" spans="1:7" ht="14.4" x14ac:dyDescent="0.3">
      <c r="A500" s="324"/>
      <c r="B500" s="324" t="s">
        <v>567</v>
      </c>
      <c r="C500" s="328" t="s">
        <v>115</v>
      </c>
      <c r="E500" s="326">
        <v>55</v>
      </c>
      <c r="F500" s="48">
        <f t="shared" si="15"/>
        <v>0</v>
      </c>
      <c r="G500" s="326"/>
    </row>
    <row r="501" spans="1:7" ht="14.4" x14ac:dyDescent="0.3">
      <c r="A501" s="324"/>
      <c r="B501" s="324" t="s">
        <v>568</v>
      </c>
      <c r="C501" s="328" t="s">
        <v>115</v>
      </c>
      <c r="E501" s="326">
        <v>55</v>
      </c>
      <c r="F501" s="48">
        <f t="shared" si="15"/>
        <v>0</v>
      </c>
      <c r="G501" s="326"/>
    </row>
    <row r="502" spans="1:7" ht="14.4" x14ac:dyDescent="0.3">
      <c r="A502" s="324"/>
      <c r="B502" s="420" t="s">
        <v>569</v>
      </c>
      <c r="C502" s="328" t="s">
        <v>115</v>
      </c>
      <c r="E502" s="326">
        <v>21.5</v>
      </c>
      <c r="F502" s="48">
        <f t="shared" si="15"/>
        <v>0</v>
      </c>
      <c r="G502" s="326"/>
    </row>
    <row r="503" spans="1:7" ht="14.4" x14ac:dyDescent="0.3">
      <c r="A503" s="324"/>
      <c r="B503" s="324" t="s">
        <v>570</v>
      </c>
      <c r="C503" s="328" t="s">
        <v>115</v>
      </c>
      <c r="E503" s="326">
        <v>25</v>
      </c>
      <c r="F503" s="48">
        <f t="shared" si="15"/>
        <v>0</v>
      </c>
      <c r="G503" s="326"/>
    </row>
    <row r="504" spans="1:7" ht="14.4" x14ac:dyDescent="0.3">
      <c r="A504" s="324"/>
      <c r="B504" s="324" t="s">
        <v>571</v>
      </c>
      <c r="C504" s="328" t="s">
        <v>115</v>
      </c>
      <c r="E504" s="326">
        <v>22</v>
      </c>
      <c r="F504" s="48">
        <f t="shared" si="15"/>
        <v>0</v>
      </c>
      <c r="G504" s="326"/>
    </row>
    <row r="505" spans="1:7" ht="14.4" x14ac:dyDescent="0.3">
      <c r="A505" s="324"/>
      <c r="B505" s="324" t="s">
        <v>572</v>
      </c>
      <c r="C505" s="328" t="s">
        <v>115</v>
      </c>
      <c r="E505" s="326">
        <v>22</v>
      </c>
      <c r="F505" s="48">
        <f t="shared" si="15"/>
        <v>0</v>
      </c>
      <c r="G505" s="326"/>
    </row>
    <row r="506" spans="1:7" ht="14.4" x14ac:dyDescent="0.3">
      <c r="A506" s="324"/>
      <c r="B506" s="324" t="s">
        <v>573</v>
      </c>
      <c r="C506" s="328" t="s">
        <v>115</v>
      </c>
      <c r="E506" s="326">
        <v>22</v>
      </c>
      <c r="F506" s="48">
        <f t="shared" si="15"/>
        <v>0</v>
      </c>
      <c r="G506" s="326"/>
    </row>
    <row r="507" spans="1:7" ht="14.4" x14ac:dyDescent="0.3">
      <c r="A507" s="324"/>
      <c r="B507" s="324" t="s">
        <v>574</v>
      </c>
      <c r="C507" s="328" t="s">
        <v>115</v>
      </c>
      <c r="E507" s="326">
        <v>78</v>
      </c>
      <c r="F507" s="48">
        <f t="shared" si="15"/>
        <v>0</v>
      </c>
      <c r="G507" s="326"/>
    </row>
    <row r="508" spans="1:7" ht="14.4" x14ac:dyDescent="0.3">
      <c r="A508" s="324"/>
      <c r="B508" s="324" t="s">
        <v>575</v>
      </c>
      <c r="C508" s="328" t="s">
        <v>115</v>
      </c>
      <c r="E508" s="326">
        <v>89</v>
      </c>
      <c r="F508" s="48">
        <f t="shared" si="15"/>
        <v>0</v>
      </c>
      <c r="G508" s="326"/>
    </row>
    <row r="509" spans="1:7" ht="14.4" x14ac:dyDescent="0.3">
      <c r="A509" s="324"/>
      <c r="B509" s="324" t="s">
        <v>576</v>
      </c>
      <c r="C509" s="328" t="s">
        <v>115</v>
      </c>
      <c r="E509" s="326">
        <v>21</v>
      </c>
      <c r="F509" s="48">
        <f t="shared" si="15"/>
        <v>0</v>
      </c>
      <c r="G509" s="326"/>
    </row>
    <row r="510" spans="1:7" ht="14.4" x14ac:dyDescent="0.3">
      <c r="A510" s="324"/>
      <c r="B510" s="324" t="s">
        <v>577</v>
      </c>
      <c r="C510" s="328" t="s">
        <v>115</v>
      </c>
      <c r="E510" s="326">
        <v>21</v>
      </c>
      <c r="F510" s="48">
        <f t="shared" si="15"/>
        <v>0</v>
      </c>
      <c r="G510" s="326"/>
    </row>
    <row r="511" spans="1:7" ht="14.4" x14ac:dyDescent="0.3">
      <c r="A511" s="324"/>
      <c r="B511" s="324" t="s">
        <v>578</v>
      </c>
      <c r="C511" s="328" t="s">
        <v>115</v>
      </c>
      <c r="E511" s="326">
        <v>0</v>
      </c>
      <c r="F511" s="48">
        <f t="shared" si="15"/>
        <v>0</v>
      </c>
      <c r="G511" s="326"/>
    </row>
    <row r="512" spans="1:7" ht="14.4" x14ac:dyDescent="0.3">
      <c r="A512" s="324"/>
      <c r="B512" s="324" t="s">
        <v>579</v>
      </c>
      <c r="C512" s="328" t="s">
        <v>115</v>
      </c>
      <c r="E512" s="326">
        <v>0</v>
      </c>
      <c r="F512" s="48">
        <f t="shared" si="15"/>
        <v>0</v>
      </c>
      <c r="G512" s="326"/>
    </row>
    <row r="513" spans="1:7" ht="14.4" x14ac:dyDescent="0.3">
      <c r="A513" s="324"/>
      <c r="B513" s="324" t="s">
        <v>580</v>
      </c>
      <c r="C513" s="328" t="s">
        <v>115</v>
      </c>
      <c r="E513" s="326">
        <v>0</v>
      </c>
      <c r="F513" s="48">
        <f t="shared" si="15"/>
        <v>0</v>
      </c>
      <c r="G513" s="326"/>
    </row>
    <row r="514" spans="1:7" ht="14.4" x14ac:dyDescent="0.3">
      <c r="A514" s="324"/>
      <c r="B514" s="420" t="s">
        <v>581</v>
      </c>
      <c r="C514" s="328" t="s">
        <v>115</v>
      </c>
      <c r="E514" s="326">
        <v>0</v>
      </c>
      <c r="F514" s="48">
        <f t="shared" si="15"/>
        <v>0</v>
      </c>
      <c r="G514" s="326"/>
    </row>
    <row r="515" spans="1:7" ht="14.4" x14ac:dyDescent="0.3">
      <c r="A515" s="324"/>
      <c r="B515" s="324" t="s">
        <v>582</v>
      </c>
      <c r="C515" s="328" t="s">
        <v>115</v>
      </c>
      <c r="E515" s="326">
        <v>0</v>
      </c>
      <c r="F515" s="48">
        <f t="shared" si="15"/>
        <v>0</v>
      </c>
      <c r="G515" s="326"/>
    </row>
    <row r="516" spans="1:7" ht="14.4" x14ac:dyDescent="0.3">
      <c r="A516" s="324"/>
      <c r="B516" s="324" t="s">
        <v>583</v>
      </c>
      <c r="C516" s="328" t="s">
        <v>115</v>
      </c>
      <c r="E516" s="326">
        <v>0</v>
      </c>
      <c r="F516" s="48">
        <f t="shared" si="15"/>
        <v>0</v>
      </c>
      <c r="G516" s="326"/>
    </row>
    <row r="517" spans="1:7" ht="14.4" x14ac:dyDescent="0.3">
      <c r="A517" s="324"/>
      <c r="B517" s="324" t="s">
        <v>584</v>
      </c>
      <c r="C517" s="328" t="s">
        <v>115</v>
      </c>
      <c r="E517" s="326">
        <v>0</v>
      </c>
      <c r="F517" s="48">
        <f t="shared" si="15"/>
        <v>0</v>
      </c>
      <c r="G517" s="326"/>
    </row>
    <row r="518" spans="1:7" ht="14.4" x14ac:dyDescent="0.3">
      <c r="A518" s="324"/>
      <c r="B518" s="324" t="s">
        <v>585</v>
      </c>
      <c r="C518" s="328" t="s">
        <v>115</v>
      </c>
      <c r="E518" s="326">
        <v>0</v>
      </c>
      <c r="F518" s="48">
        <f t="shared" si="15"/>
        <v>0</v>
      </c>
      <c r="G518" s="326"/>
    </row>
    <row r="519" spans="1:7" ht="14.4" x14ac:dyDescent="0.3">
      <c r="A519" s="324"/>
      <c r="B519" s="324" t="s">
        <v>586</v>
      </c>
      <c r="C519" s="328" t="s">
        <v>115</v>
      </c>
      <c r="E519" s="326">
        <v>0</v>
      </c>
      <c r="F519" s="48">
        <f t="shared" si="15"/>
        <v>0</v>
      </c>
      <c r="G519" s="326"/>
    </row>
    <row r="520" spans="1:7" ht="14.4" x14ac:dyDescent="0.3">
      <c r="A520" s="324"/>
      <c r="B520" s="324" t="s">
        <v>587</v>
      </c>
      <c r="C520" s="328" t="s">
        <v>115</v>
      </c>
      <c r="E520" s="326">
        <v>0</v>
      </c>
      <c r="F520" s="48">
        <f t="shared" si="15"/>
        <v>0</v>
      </c>
      <c r="G520" s="326"/>
    </row>
    <row r="521" spans="1:7" ht="14.4" x14ac:dyDescent="0.3">
      <c r="A521" s="324"/>
      <c r="B521" s="324" t="s">
        <v>588</v>
      </c>
      <c r="C521" s="328" t="s">
        <v>115</v>
      </c>
      <c r="E521" s="326">
        <v>0</v>
      </c>
      <c r="F521" s="48">
        <f t="shared" si="15"/>
        <v>0</v>
      </c>
      <c r="G521" s="326"/>
    </row>
    <row r="522" spans="1:7" ht="14.4" x14ac:dyDescent="0.3">
      <c r="A522" s="324"/>
      <c r="B522" s="324" t="s">
        <v>589</v>
      </c>
      <c r="C522" s="328" t="s">
        <v>115</v>
      </c>
      <c r="E522" s="326">
        <v>0</v>
      </c>
      <c r="F522" s="48">
        <f t="shared" si="15"/>
        <v>0</v>
      </c>
      <c r="G522" s="326"/>
    </row>
    <row r="523" spans="1:7" ht="14.4" x14ac:dyDescent="0.3">
      <c r="A523" s="324"/>
      <c r="B523" s="324" t="s">
        <v>590</v>
      </c>
      <c r="C523" s="328" t="s">
        <v>115</v>
      </c>
      <c r="E523" s="326">
        <v>0</v>
      </c>
      <c r="F523" s="48">
        <f t="shared" si="15"/>
        <v>0</v>
      </c>
      <c r="G523" s="326"/>
    </row>
    <row r="524" spans="1:7" ht="14.4" x14ac:dyDescent="0.3">
      <c r="A524" s="324"/>
      <c r="B524" s="324" t="s">
        <v>591</v>
      </c>
      <c r="C524" s="328" t="s">
        <v>115</v>
      </c>
      <c r="E524" s="326">
        <v>0</v>
      </c>
      <c r="F524" s="48">
        <f t="shared" si="15"/>
        <v>0</v>
      </c>
      <c r="G524" s="326"/>
    </row>
    <row r="525" spans="1:7" ht="14.4" x14ac:dyDescent="0.3">
      <c r="A525" s="324"/>
      <c r="B525" s="324" t="s">
        <v>592</v>
      </c>
      <c r="C525" s="328" t="s">
        <v>115</v>
      </c>
      <c r="E525" s="326">
        <v>0</v>
      </c>
      <c r="F525" s="48">
        <f t="shared" si="15"/>
        <v>0</v>
      </c>
      <c r="G525" s="326"/>
    </row>
    <row r="526" spans="1:7" ht="14.4" x14ac:dyDescent="0.3">
      <c r="A526" s="324"/>
      <c r="B526" s="324" t="s">
        <v>593</v>
      </c>
      <c r="C526" s="328" t="s">
        <v>115</v>
      </c>
      <c r="E526" s="326">
        <v>0</v>
      </c>
      <c r="F526" s="48">
        <f t="shared" si="15"/>
        <v>0</v>
      </c>
      <c r="G526" s="326"/>
    </row>
    <row r="527" spans="1:7" ht="14.4" x14ac:dyDescent="0.3">
      <c r="A527" s="324"/>
      <c r="B527" s="324" t="s">
        <v>594</v>
      </c>
      <c r="C527" s="328" t="s">
        <v>115</v>
      </c>
      <c r="E527" s="326">
        <v>0</v>
      </c>
      <c r="F527" s="48">
        <f t="shared" si="15"/>
        <v>0</v>
      </c>
      <c r="G527" s="326"/>
    </row>
    <row r="528" spans="1:7" ht="14.4" x14ac:dyDescent="0.3">
      <c r="A528" s="324"/>
      <c r="B528" s="324" t="s">
        <v>595</v>
      </c>
      <c r="C528" s="328" t="s">
        <v>115</v>
      </c>
      <c r="E528" s="326">
        <v>0</v>
      </c>
      <c r="F528" s="48">
        <f t="shared" si="15"/>
        <v>0</v>
      </c>
      <c r="G528" s="326"/>
    </row>
    <row r="529" spans="1:7" ht="14.4" x14ac:dyDescent="0.3">
      <c r="A529" s="324"/>
      <c r="B529" s="324" t="s">
        <v>596</v>
      </c>
      <c r="C529" s="328" t="s">
        <v>115</v>
      </c>
      <c r="E529" s="326">
        <v>0</v>
      </c>
      <c r="F529" s="48">
        <f t="shared" si="15"/>
        <v>0</v>
      </c>
      <c r="G529" s="326"/>
    </row>
    <row r="530" spans="1:7" ht="14.4" x14ac:dyDescent="0.3">
      <c r="A530" s="324"/>
      <c r="B530" s="324" t="s">
        <v>597</v>
      </c>
      <c r="C530" s="328" t="s">
        <v>115</v>
      </c>
      <c r="E530" s="326">
        <v>0</v>
      </c>
      <c r="F530" s="48">
        <f t="shared" si="15"/>
        <v>0</v>
      </c>
      <c r="G530" s="326"/>
    </row>
    <row r="531" spans="1:7" ht="14.4" x14ac:dyDescent="0.3">
      <c r="A531" s="324"/>
      <c r="B531" s="324" t="s">
        <v>598</v>
      </c>
      <c r="C531" s="328" t="s">
        <v>115</v>
      </c>
      <c r="E531" s="326">
        <v>0</v>
      </c>
      <c r="F531" s="48">
        <f t="shared" si="15"/>
        <v>0</v>
      </c>
      <c r="G531" s="326"/>
    </row>
    <row r="532" spans="1:7" ht="14.4" x14ac:dyDescent="0.3">
      <c r="A532" s="324"/>
      <c r="B532" s="324" t="s">
        <v>599</v>
      </c>
      <c r="C532" s="328" t="s">
        <v>115</v>
      </c>
      <c r="E532" s="326">
        <v>0</v>
      </c>
      <c r="F532" s="48">
        <f t="shared" si="15"/>
        <v>0</v>
      </c>
      <c r="G532" s="326"/>
    </row>
    <row r="533" spans="1:7" ht="14.4" x14ac:dyDescent="0.3">
      <c r="A533" s="324"/>
      <c r="B533" s="324" t="s">
        <v>600</v>
      </c>
      <c r="C533" s="328" t="s">
        <v>115</v>
      </c>
      <c r="E533" s="326">
        <v>0</v>
      </c>
      <c r="F533" s="48">
        <f t="shared" si="15"/>
        <v>0</v>
      </c>
      <c r="G533" s="326"/>
    </row>
    <row r="534" spans="1:7" ht="14.4" x14ac:dyDescent="0.3">
      <c r="A534" s="324"/>
      <c r="B534" s="324" t="s">
        <v>601</v>
      </c>
      <c r="C534" s="328" t="s">
        <v>115</v>
      </c>
      <c r="E534" s="326">
        <v>0</v>
      </c>
      <c r="F534" s="48">
        <f t="shared" si="15"/>
        <v>0</v>
      </c>
      <c r="G534" s="326"/>
    </row>
    <row r="535" spans="1:7" ht="14.4" x14ac:dyDescent="0.3">
      <c r="A535" s="324"/>
      <c r="B535" s="324" t="s">
        <v>602</v>
      </c>
      <c r="C535" s="328" t="s">
        <v>115</v>
      </c>
      <c r="E535" s="326">
        <v>0</v>
      </c>
      <c r="F535" s="48">
        <f t="shared" si="15"/>
        <v>0</v>
      </c>
      <c r="G535" s="326"/>
    </row>
    <row r="536" spans="1:7" ht="14.4" x14ac:dyDescent="0.3">
      <c r="A536" s="324"/>
      <c r="B536" s="324" t="s">
        <v>603</v>
      </c>
      <c r="C536" s="328" t="s">
        <v>115</v>
      </c>
      <c r="E536" s="326">
        <v>0</v>
      </c>
      <c r="F536" s="48">
        <f t="shared" si="15"/>
        <v>0</v>
      </c>
      <c r="G536" s="326"/>
    </row>
    <row r="537" spans="1:7" ht="14.4" x14ac:dyDescent="0.3">
      <c r="A537" s="324"/>
      <c r="B537" s="420" t="s">
        <v>604</v>
      </c>
      <c r="C537" s="328" t="s">
        <v>115</v>
      </c>
      <c r="E537" s="326">
        <v>0</v>
      </c>
      <c r="F537" s="48">
        <f t="shared" si="15"/>
        <v>0</v>
      </c>
      <c r="G537" s="326"/>
    </row>
    <row r="538" spans="1:7" ht="14.4" x14ac:dyDescent="0.3">
      <c r="A538" s="324"/>
      <c r="B538" s="324" t="s">
        <v>605</v>
      </c>
      <c r="C538" s="328" t="s">
        <v>115</v>
      </c>
      <c r="E538" s="326">
        <v>0</v>
      </c>
      <c r="F538" s="48">
        <f t="shared" si="15"/>
        <v>0</v>
      </c>
      <c r="G538" s="326"/>
    </row>
    <row r="539" spans="1:7" ht="14.4" x14ac:dyDescent="0.3">
      <c r="A539" s="324"/>
      <c r="B539" s="324" t="s">
        <v>606</v>
      </c>
      <c r="C539" s="328" t="s">
        <v>115</v>
      </c>
      <c r="E539" s="326">
        <v>0</v>
      </c>
      <c r="F539" s="48">
        <f t="shared" si="15"/>
        <v>0</v>
      </c>
      <c r="G539" s="326"/>
    </row>
    <row r="540" spans="1:7" ht="14.4" x14ac:dyDescent="0.3">
      <c r="A540" s="324"/>
      <c r="B540" s="420" t="s">
        <v>607</v>
      </c>
      <c r="C540" s="328" t="s">
        <v>115</v>
      </c>
      <c r="E540" s="326">
        <v>0</v>
      </c>
      <c r="F540" s="48">
        <f t="shared" si="15"/>
        <v>0</v>
      </c>
      <c r="G540" s="326"/>
    </row>
    <row r="541" spans="1:7" ht="14.4" x14ac:dyDescent="0.3">
      <c r="A541" s="324"/>
      <c r="B541" s="420" t="s">
        <v>608</v>
      </c>
      <c r="C541" s="328" t="s">
        <v>115</v>
      </c>
      <c r="E541" s="326">
        <v>18.54</v>
      </c>
      <c r="F541" s="48">
        <f t="shared" si="15"/>
        <v>0</v>
      </c>
      <c r="G541" s="326"/>
    </row>
    <row r="542" spans="1:7" ht="14.4" x14ac:dyDescent="0.3">
      <c r="A542" s="324"/>
      <c r="B542" s="324" t="s">
        <v>609</v>
      </c>
      <c r="C542" s="328" t="s">
        <v>115</v>
      </c>
      <c r="E542" s="326">
        <v>0</v>
      </c>
      <c r="F542" s="48">
        <f t="shared" si="15"/>
        <v>0</v>
      </c>
      <c r="G542" s="326"/>
    </row>
    <row r="543" spans="1:7" ht="14.4" x14ac:dyDescent="0.3">
      <c r="A543" s="324"/>
      <c r="B543" s="324" t="s">
        <v>610</v>
      </c>
      <c r="C543" s="328" t="s">
        <v>115</v>
      </c>
      <c r="E543" s="326">
        <v>0</v>
      </c>
      <c r="F543" s="48">
        <f t="shared" si="15"/>
        <v>0</v>
      </c>
      <c r="G543" s="326"/>
    </row>
    <row r="544" spans="1:7" ht="14.4" x14ac:dyDescent="0.3">
      <c r="A544" s="324"/>
      <c r="B544" s="324" t="s">
        <v>611</v>
      </c>
      <c r="C544" s="328" t="s">
        <v>115</v>
      </c>
      <c r="E544" s="326">
        <v>18.350000000000001</v>
      </c>
      <c r="F544" s="48">
        <f t="shared" si="15"/>
        <v>0</v>
      </c>
      <c r="G544" s="326"/>
    </row>
    <row r="545" spans="1:7" ht="14.4" x14ac:dyDescent="0.3">
      <c r="A545" s="324"/>
      <c r="B545" s="324" t="s">
        <v>612</v>
      </c>
      <c r="C545" s="328" t="s">
        <v>115</v>
      </c>
      <c r="E545" s="326">
        <v>0</v>
      </c>
      <c r="F545" s="48">
        <f t="shared" si="15"/>
        <v>0</v>
      </c>
      <c r="G545" s="326"/>
    </row>
    <row r="546" spans="1:7" ht="14.4" x14ac:dyDescent="0.3">
      <c r="A546" s="324"/>
      <c r="B546" s="324" t="s">
        <v>613</v>
      </c>
      <c r="C546" s="328" t="s">
        <v>115</v>
      </c>
      <c r="E546" s="326">
        <v>0</v>
      </c>
      <c r="F546" s="48">
        <f t="shared" si="15"/>
        <v>0</v>
      </c>
      <c r="G546" s="326"/>
    </row>
    <row r="547" spans="1:7" ht="14.4" x14ac:dyDescent="0.3">
      <c r="A547" s="324"/>
      <c r="B547" s="324" t="s">
        <v>614</v>
      </c>
      <c r="C547" s="328" t="s">
        <v>115</v>
      </c>
      <c r="E547" s="326">
        <v>0</v>
      </c>
      <c r="F547" s="48">
        <f t="shared" si="15"/>
        <v>0</v>
      </c>
      <c r="G547" s="326"/>
    </row>
    <row r="548" spans="1:7" ht="14.4" x14ac:dyDescent="0.3">
      <c r="A548" s="324"/>
      <c r="B548" s="324" t="s">
        <v>615</v>
      </c>
      <c r="C548" s="328" t="s">
        <v>115</v>
      </c>
      <c r="E548" s="326">
        <v>0</v>
      </c>
      <c r="F548" s="48">
        <f t="shared" si="15"/>
        <v>0</v>
      </c>
      <c r="G548" s="326"/>
    </row>
    <row r="549" spans="1:7" ht="14.4" x14ac:dyDescent="0.3">
      <c r="A549" s="324"/>
      <c r="B549" s="324" t="s">
        <v>616</v>
      </c>
      <c r="C549" s="328" t="s">
        <v>115</v>
      </c>
      <c r="E549" s="326">
        <v>0</v>
      </c>
      <c r="F549" s="48">
        <f t="shared" si="15"/>
        <v>0</v>
      </c>
      <c r="G549" s="326"/>
    </row>
    <row r="550" spans="1:7" ht="14.4" x14ac:dyDescent="0.3">
      <c r="A550" s="324"/>
      <c r="B550" s="324" t="s">
        <v>617</v>
      </c>
      <c r="C550" s="328" t="s">
        <v>115</v>
      </c>
      <c r="E550" s="326">
        <v>0</v>
      </c>
      <c r="F550" s="48">
        <f t="shared" ref="F550:F613" si="16">E550*D550</f>
        <v>0</v>
      </c>
      <c r="G550" s="326"/>
    </row>
    <row r="551" spans="1:7" ht="14.4" x14ac:dyDescent="0.3">
      <c r="A551" s="324"/>
      <c r="B551" s="420" t="s">
        <v>618</v>
      </c>
      <c r="C551" s="328" t="s">
        <v>115</v>
      </c>
      <c r="E551" s="326">
        <v>16.329999999999998</v>
      </c>
      <c r="F551" s="48">
        <f t="shared" si="16"/>
        <v>0</v>
      </c>
      <c r="G551" s="326"/>
    </row>
    <row r="552" spans="1:7" ht="14.4" x14ac:dyDescent="0.3">
      <c r="A552" s="324"/>
      <c r="B552" s="324" t="s">
        <v>619</v>
      </c>
      <c r="C552" s="328" t="s">
        <v>115</v>
      </c>
      <c r="E552" s="326">
        <v>0</v>
      </c>
      <c r="F552" s="48">
        <f t="shared" si="16"/>
        <v>0</v>
      </c>
      <c r="G552" s="326"/>
    </row>
    <row r="553" spans="1:7" ht="14.4" x14ac:dyDescent="0.3">
      <c r="A553" s="324"/>
      <c r="B553" s="324" t="s">
        <v>620</v>
      </c>
      <c r="C553" s="328" t="s">
        <v>115</v>
      </c>
      <c r="E553" s="326">
        <v>0</v>
      </c>
      <c r="F553" s="48">
        <f t="shared" si="16"/>
        <v>0</v>
      </c>
      <c r="G553" s="326"/>
    </row>
    <row r="554" spans="1:7" ht="14.4" x14ac:dyDescent="0.3">
      <c r="A554" s="324"/>
      <c r="B554" s="324" t="s">
        <v>621</v>
      </c>
      <c r="C554" s="328" t="s">
        <v>115</v>
      </c>
      <c r="E554" s="326">
        <v>0</v>
      </c>
      <c r="F554" s="48">
        <f t="shared" si="16"/>
        <v>0</v>
      </c>
      <c r="G554" s="326"/>
    </row>
    <row r="555" spans="1:7" ht="14.4" x14ac:dyDescent="0.3">
      <c r="A555" s="324"/>
      <c r="B555" s="324" t="s">
        <v>622</v>
      </c>
      <c r="C555" s="328" t="s">
        <v>115</v>
      </c>
      <c r="E555" s="326">
        <v>0</v>
      </c>
      <c r="F555" s="48">
        <f t="shared" si="16"/>
        <v>0</v>
      </c>
      <c r="G555" s="326"/>
    </row>
    <row r="556" spans="1:7" ht="14.4" x14ac:dyDescent="0.3">
      <c r="A556" s="324"/>
      <c r="B556" s="324" t="s">
        <v>623</v>
      </c>
      <c r="C556" s="328" t="s">
        <v>115</v>
      </c>
      <c r="E556" s="326">
        <v>0</v>
      </c>
      <c r="F556" s="48">
        <f t="shared" si="16"/>
        <v>0</v>
      </c>
      <c r="G556" s="326"/>
    </row>
    <row r="557" spans="1:7" ht="14.4" x14ac:dyDescent="0.3">
      <c r="A557" s="324"/>
      <c r="B557" s="324" t="s">
        <v>624</v>
      </c>
      <c r="C557" s="328" t="s">
        <v>115</v>
      </c>
      <c r="E557" s="326">
        <v>0</v>
      </c>
      <c r="F557" s="48">
        <f t="shared" si="16"/>
        <v>0</v>
      </c>
      <c r="G557" s="326"/>
    </row>
    <row r="558" spans="1:7" ht="14.4" x14ac:dyDescent="0.3">
      <c r="A558" s="324"/>
      <c r="B558" s="324" t="s">
        <v>625</v>
      </c>
      <c r="C558" s="328" t="s">
        <v>115</v>
      </c>
      <c r="E558" s="326">
        <v>0</v>
      </c>
      <c r="F558" s="48">
        <f t="shared" si="16"/>
        <v>0</v>
      </c>
      <c r="G558" s="326"/>
    </row>
    <row r="559" spans="1:7" ht="14.4" x14ac:dyDescent="0.3">
      <c r="A559" s="324"/>
      <c r="B559" s="324" t="s">
        <v>626</v>
      </c>
      <c r="C559" s="328" t="s">
        <v>115</v>
      </c>
      <c r="E559" s="326">
        <v>0</v>
      </c>
      <c r="F559" s="48">
        <f t="shared" si="16"/>
        <v>0</v>
      </c>
      <c r="G559" s="326"/>
    </row>
    <row r="560" spans="1:7" ht="14.4" x14ac:dyDescent="0.3">
      <c r="A560" s="324"/>
      <c r="B560" s="324" t="s">
        <v>627</v>
      </c>
      <c r="C560" s="328" t="s">
        <v>115</v>
      </c>
      <c r="E560" s="326">
        <v>0</v>
      </c>
      <c r="F560" s="48">
        <f t="shared" si="16"/>
        <v>0</v>
      </c>
      <c r="G560" s="326"/>
    </row>
    <row r="561" spans="1:7" ht="14.4" x14ac:dyDescent="0.3">
      <c r="A561" s="324"/>
      <c r="B561" s="324" t="s">
        <v>628</v>
      </c>
      <c r="C561" s="328" t="s">
        <v>115</v>
      </c>
      <c r="E561" s="326">
        <v>0</v>
      </c>
      <c r="F561" s="48">
        <f t="shared" si="16"/>
        <v>0</v>
      </c>
      <c r="G561" s="326"/>
    </row>
    <row r="562" spans="1:7" ht="14.4" x14ac:dyDescent="0.3">
      <c r="A562" s="324"/>
      <c r="B562" s="324" t="s">
        <v>629</v>
      </c>
      <c r="C562" s="328" t="s">
        <v>115</v>
      </c>
      <c r="E562" s="326">
        <v>0</v>
      </c>
      <c r="F562" s="48">
        <f t="shared" si="16"/>
        <v>0</v>
      </c>
      <c r="G562" s="326"/>
    </row>
    <row r="563" spans="1:7" ht="14.4" x14ac:dyDescent="0.3">
      <c r="A563" s="324"/>
      <c r="B563" s="324" t="s">
        <v>630</v>
      </c>
      <c r="C563" s="328" t="s">
        <v>115</v>
      </c>
      <c r="E563" s="326">
        <v>0</v>
      </c>
      <c r="F563" s="48">
        <f t="shared" si="16"/>
        <v>0</v>
      </c>
      <c r="G563" s="326"/>
    </row>
    <row r="564" spans="1:7" ht="14.4" x14ac:dyDescent="0.3">
      <c r="A564" s="324"/>
      <c r="B564" s="324" t="s">
        <v>631</v>
      </c>
      <c r="C564" s="328" t="s">
        <v>115</v>
      </c>
      <c r="E564" s="326">
        <v>0</v>
      </c>
      <c r="F564" s="48">
        <f t="shared" si="16"/>
        <v>0</v>
      </c>
      <c r="G564" s="326"/>
    </row>
    <row r="565" spans="1:7" ht="14.4" x14ac:dyDescent="0.3">
      <c r="A565" s="324"/>
      <c r="B565" s="324" t="s">
        <v>632</v>
      </c>
      <c r="C565" s="328" t="s">
        <v>115</v>
      </c>
      <c r="E565" s="326">
        <v>0</v>
      </c>
      <c r="F565" s="48">
        <f t="shared" si="16"/>
        <v>0</v>
      </c>
      <c r="G565" s="326"/>
    </row>
    <row r="566" spans="1:7" ht="14.4" x14ac:dyDescent="0.3">
      <c r="A566" s="324"/>
      <c r="B566" s="324" t="s">
        <v>633</v>
      </c>
      <c r="C566" s="328" t="s">
        <v>115</v>
      </c>
      <c r="E566" s="326">
        <v>0</v>
      </c>
      <c r="F566" s="48">
        <f t="shared" si="16"/>
        <v>0</v>
      </c>
      <c r="G566" s="326"/>
    </row>
    <row r="567" spans="1:7" ht="14.4" x14ac:dyDescent="0.3">
      <c r="A567" s="324"/>
      <c r="B567" s="324" t="s">
        <v>634</v>
      </c>
      <c r="C567" s="328" t="s">
        <v>115</v>
      </c>
      <c r="E567" s="326">
        <v>0</v>
      </c>
      <c r="F567" s="48">
        <f t="shared" si="16"/>
        <v>0</v>
      </c>
      <c r="G567" s="326"/>
    </row>
    <row r="568" spans="1:7" ht="14.4" x14ac:dyDescent="0.3">
      <c r="A568" s="324"/>
      <c r="B568" s="324" t="s">
        <v>635</v>
      </c>
      <c r="C568" s="328" t="s">
        <v>115</v>
      </c>
      <c r="E568" s="326">
        <v>0</v>
      </c>
      <c r="F568" s="48">
        <f t="shared" si="16"/>
        <v>0</v>
      </c>
      <c r="G568" s="326"/>
    </row>
    <row r="569" spans="1:7" ht="14.4" x14ac:dyDescent="0.3">
      <c r="A569" s="324"/>
      <c r="B569" s="324" t="s">
        <v>636</v>
      </c>
      <c r="C569" s="328" t="s">
        <v>115</v>
      </c>
      <c r="E569" s="326">
        <v>0</v>
      </c>
      <c r="F569" s="48">
        <f t="shared" si="16"/>
        <v>0</v>
      </c>
      <c r="G569" s="326"/>
    </row>
    <row r="570" spans="1:7" ht="14.4" x14ac:dyDescent="0.3">
      <c r="A570" s="324"/>
      <c r="B570" s="324" t="s">
        <v>637</v>
      </c>
      <c r="C570" s="328" t="s">
        <v>115</v>
      </c>
      <c r="E570" s="326">
        <v>0</v>
      </c>
      <c r="F570" s="48">
        <f t="shared" si="16"/>
        <v>0</v>
      </c>
      <c r="G570" s="326"/>
    </row>
    <row r="571" spans="1:7" ht="14.4" x14ac:dyDescent="0.3">
      <c r="A571" s="324"/>
      <c r="B571" s="324" t="s">
        <v>638</v>
      </c>
      <c r="C571" s="328" t="s">
        <v>115</v>
      </c>
      <c r="E571" s="326">
        <v>0</v>
      </c>
      <c r="F571" s="48">
        <f t="shared" si="16"/>
        <v>0</v>
      </c>
      <c r="G571" s="326"/>
    </row>
    <row r="572" spans="1:7" ht="14.4" x14ac:dyDescent="0.3">
      <c r="A572" s="324"/>
      <c r="B572" s="324" t="s">
        <v>639</v>
      </c>
      <c r="C572" s="328" t="s">
        <v>115</v>
      </c>
      <c r="E572" s="326">
        <v>0</v>
      </c>
      <c r="F572" s="48">
        <f t="shared" si="16"/>
        <v>0</v>
      </c>
      <c r="G572" s="326"/>
    </row>
    <row r="573" spans="1:7" ht="14.4" x14ac:dyDescent="0.3">
      <c r="A573" s="324"/>
      <c r="B573" s="324" t="s">
        <v>640</v>
      </c>
      <c r="C573" s="328" t="s">
        <v>115</v>
      </c>
      <c r="E573" s="326">
        <v>0</v>
      </c>
      <c r="F573" s="48">
        <f t="shared" si="16"/>
        <v>0</v>
      </c>
      <c r="G573" s="326"/>
    </row>
    <row r="574" spans="1:7" ht="14.4" x14ac:dyDescent="0.3">
      <c r="A574" s="324"/>
      <c r="B574" s="324" t="s">
        <v>641</v>
      </c>
      <c r="C574" s="328" t="s">
        <v>115</v>
      </c>
      <c r="E574" s="326">
        <v>0</v>
      </c>
      <c r="F574" s="48">
        <f t="shared" si="16"/>
        <v>0</v>
      </c>
      <c r="G574" s="326"/>
    </row>
    <row r="575" spans="1:7" ht="14.4" x14ac:dyDescent="0.3">
      <c r="A575" s="324"/>
      <c r="B575" s="324" t="s">
        <v>642</v>
      </c>
      <c r="C575" s="328" t="s">
        <v>115</v>
      </c>
      <c r="E575" s="326">
        <v>0</v>
      </c>
      <c r="F575" s="48">
        <f t="shared" si="16"/>
        <v>0</v>
      </c>
      <c r="G575" s="326"/>
    </row>
    <row r="576" spans="1:7" ht="14.4" x14ac:dyDescent="0.3">
      <c r="A576" s="324"/>
      <c r="B576" s="324" t="s">
        <v>643</v>
      </c>
      <c r="C576" s="328" t="s">
        <v>115</v>
      </c>
      <c r="E576" s="326">
        <v>0</v>
      </c>
      <c r="F576" s="48">
        <f t="shared" si="16"/>
        <v>0</v>
      </c>
      <c r="G576" s="326"/>
    </row>
    <row r="577" spans="1:7" ht="14.4" x14ac:dyDescent="0.3">
      <c r="A577" s="324"/>
      <c r="B577" s="324" t="s">
        <v>644</v>
      </c>
      <c r="C577" s="328" t="s">
        <v>115</v>
      </c>
      <c r="E577" s="326">
        <v>0</v>
      </c>
      <c r="F577" s="48">
        <f t="shared" si="16"/>
        <v>0</v>
      </c>
      <c r="G577" s="326"/>
    </row>
    <row r="578" spans="1:7" ht="14.4" x14ac:dyDescent="0.3">
      <c r="A578" s="324"/>
      <c r="B578" s="324" t="s">
        <v>645</v>
      </c>
      <c r="C578" s="328" t="s">
        <v>115</v>
      </c>
      <c r="E578" s="326">
        <v>0</v>
      </c>
      <c r="F578" s="48">
        <f t="shared" si="16"/>
        <v>0</v>
      </c>
      <c r="G578" s="326"/>
    </row>
    <row r="579" spans="1:7" ht="14.4" x14ac:dyDescent="0.3">
      <c r="A579" s="324"/>
      <c r="B579" s="324" t="s">
        <v>646</v>
      </c>
      <c r="C579" s="328" t="s">
        <v>115</v>
      </c>
      <c r="E579" s="326">
        <v>0</v>
      </c>
      <c r="F579" s="48">
        <f t="shared" si="16"/>
        <v>0</v>
      </c>
      <c r="G579" s="326"/>
    </row>
    <row r="580" spans="1:7" ht="14.4" x14ac:dyDescent="0.3">
      <c r="A580" s="324"/>
      <c r="B580" s="324" t="s">
        <v>647</v>
      </c>
      <c r="C580" s="328" t="s">
        <v>115</v>
      </c>
      <c r="E580" s="326">
        <v>0</v>
      </c>
      <c r="F580" s="48">
        <f t="shared" si="16"/>
        <v>0</v>
      </c>
      <c r="G580" s="326"/>
    </row>
    <row r="581" spans="1:7" ht="14.4" x14ac:dyDescent="0.3">
      <c r="A581" s="324"/>
      <c r="B581" s="324" t="s">
        <v>648</v>
      </c>
      <c r="C581" s="328" t="s">
        <v>115</v>
      </c>
      <c r="E581" s="326">
        <v>0</v>
      </c>
      <c r="F581" s="48">
        <f t="shared" si="16"/>
        <v>0</v>
      </c>
      <c r="G581" s="326"/>
    </row>
    <row r="582" spans="1:7" ht="14.4" x14ac:dyDescent="0.3">
      <c r="A582" s="324"/>
      <c r="B582" s="324" t="s">
        <v>649</v>
      </c>
      <c r="C582" s="328" t="s">
        <v>115</v>
      </c>
      <c r="E582" s="326">
        <v>0</v>
      </c>
      <c r="F582" s="48">
        <f t="shared" si="16"/>
        <v>0</v>
      </c>
      <c r="G582" s="326"/>
    </row>
    <row r="583" spans="1:7" ht="14.4" x14ac:dyDescent="0.3">
      <c r="A583" s="324"/>
      <c r="B583" s="324" t="s">
        <v>650</v>
      </c>
      <c r="C583" s="328" t="s">
        <v>115</v>
      </c>
      <c r="E583" s="326">
        <v>5.61</v>
      </c>
      <c r="F583" s="48">
        <f t="shared" si="16"/>
        <v>0</v>
      </c>
      <c r="G583" s="326"/>
    </row>
    <row r="584" spans="1:7" ht="14.4" x14ac:dyDescent="0.3">
      <c r="A584" s="324"/>
      <c r="B584" s="324" t="s">
        <v>651</v>
      </c>
      <c r="C584" s="328" t="s">
        <v>115</v>
      </c>
      <c r="E584" s="326">
        <v>0</v>
      </c>
      <c r="F584" s="48">
        <f t="shared" si="16"/>
        <v>0</v>
      </c>
      <c r="G584" s="326"/>
    </row>
    <row r="585" spans="1:7" ht="14.4" x14ac:dyDescent="0.3">
      <c r="A585" s="324"/>
      <c r="B585" s="324" t="s">
        <v>652</v>
      </c>
      <c r="C585" s="328" t="s">
        <v>115</v>
      </c>
      <c r="E585" s="326">
        <v>0</v>
      </c>
      <c r="F585" s="48">
        <f t="shared" si="16"/>
        <v>0</v>
      </c>
      <c r="G585" s="326"/>
    </row>
    <row r="586" spans="1:7" ht="14.4" x14ac:dyDescent="0.3">
      <c r="A586" s="324"/>
      <c r="B586" s="324" t="s">
        <v>653</v>
      </c>
      <c r="C586" s="328" t="s">
        <v>115</v>
      </c>
      <c r="E586" s="326">
        <v>0</v>
      </c>
      <c r="F586" s="48">
        <f t="shared" si="16"/>
        <v>0</v>
      </c>
      <c r="G586" s="326"/>
    </row>
    <row r="587" spans="1:7" ht="14.4" x14ac:dyDescent="0.3">
      <c r="A587" s="324"/>
      <c r="B587" s="324" t="s">
        <v>654</v>
      </c>
      <c r="C587" s="328" t="s">
        <v>115</v>
      </c>
      <c r="E587" s="326">
        <v>0</v>
      </c>
      <c r="F587" s="48">
        <f t="shared" si="16"/>
        <v>0</v>
      </c>
      <c r="G587" s="326"/>
    </row>
    <row r="588" spans="1:7" ht="14.4" x14ac:dyDescent="0.3">
      <c r="A588" s="324"/>
      <c r="B588" s="324" t="s">
        <v>655</v>
      </c>
      <c r="C588" s="328" t="s">
        <v>115</v>
      </c>
      <c r="E588" s="326">
        <v>0</v>
      </c>
      <c r="F588" s="48">
        <f t="shared" si="16"/>
        <v>0</v>
      </c>
      <c r="G588" s="326"/>
    </row>
    <row r="589" spans="1:7" ht="14.4" x14ac:dyDescent="0.3">
      <c r="A589" s="324"/>
      <c r="B589" s="324" t="s">
        <v>656</v>
      </c>
      <c r="C589" s="328" t="s">
        <v>115</v>
      </c>
      <c r="E589" s="326">
        <v>0</v>
      </c>
      <c r="F589" s="48">
        <f t="shared" si="16"/>
        <v>0</v>
      </c>
      <c r="G589" s="326"/>
    </row>
    <row r="590" spans="1:7" ht="14.4" x14ac:dyDescent="0.3">
      <c r="A590" s="324"/>
      <c r="B590" s="324" t="s">
        <v>657</v>
      </c>
      <c r="C590" s="328" t="s">
        <v>115</v>
      </c>
      <c r="E590" s="326">
        <v>0</v>
      </c>
      <c r="F590" s="48">
        <f t="shared" si="16"/>
        <v>0</v>
      </c>
      <c r="G590" s="326"/>
    </row>
    <row r="591" spans="1:7" ht="14.4" x14ac:dyDescent="0.3">
      <c r="A591" s="324"/>
      <c r="B591" s="324" t="s">
        <v>658</v>
      </c>
      <c r="C591" s="328" t="s">
        <v>115</v>
      </c>
      <c r="E591" s="326">
        <v>0</v>
      </c>
      <c r="F591" s="48">
        <f t="shared" si="16"/>
        <v>0</v>
      </c>
      <c r="G591" s="326"/>
    </row>
    <row r="592" spans="1:7" ht="14.4" x14ac:dyDescent="0.3">
      <c r="A592" s="324"/>
      <c r="B592" s="324" t="s">
        <v>659</v>
      </c>
      <c r="C592" s="328" t="s">
        <v>115</v>
      </c>
      <c r="E592" s="326">
        <v>0</v>
      </c>
      <c r="F592" s="48">
        <f t="shared" si="16"/>
        <v>0</v>
      </c>
      <c r="G592" s="326"/>
    </row>
    <row r="593" spans="1:7" ht="14.4" x14ac:dyDescent="0.3">
      <c r="A593" s="324"/>
      <c r="B593" s="324" t="s">
        <v>660</v>
      </c>
      <c r="C593" s="328" t="s">
        <v>115</v>
      </c>
      <c r="E593" s="326">
        <v>0</v>
      </c>
      <c r="F593" s="48">
        <f t="shared" si="16"/>
        <v>0</v>
      </c>
      <c r="G593" s="326"/>
    </row>
    <row r="594" spans="1:7" ht="14.4" x14ac:dyDescent="0.3">
      <c r="A594" s="324"/>
      <c r="B594" s="324" t="s">
        <v>661</v>
      </c>
      <c r="C594" s="328" t="s">
        <v>115</v>
      </c>
      <c r="E594" s="326">
        <v>0</v>
      </c>
      <c r="F594" s="48">
        <f t="shared" si="16"/>
        <v>0</v>
      </c>
      <c r="G594" s="326"/>
    </row>
    <row r="595" spans="1:7" ht="14.4" x14ac:dyDescent="0.3">
      <c r="A595" s="324"/>
      <c r="B595" s="324" t="s">
        <v>662</v>
      </c>
      <c r="C595" s="328" t="s">
        <v>115</v>
      </c>
      <c r="E595" s="326">
        <v>0</v>
      </c>
      <c r="F595" s="48">
        <f t="shared" si="16"/>
        <v>0</v>
      </c>
      <c r="G595" s="326"/>
    </row>
    <row r="596" spans="1:7" ht="14.4" x14ac:dyDescent="0.3">
      <c r="A596" s="324"/>
      <c r="B596" s="324" t="s">
        <v>663</v>
      </c>
      <c r="C596" s="328" t="s">
        <v>115</v>
      </c>
      <c r="E596" s="326">
        <v>0</v>
      </c>
      <c r="F596" s="48">
        <f t="shared" si="16"/>
        <v>0</v>
      </c>
      <c r="G596" s="326"/>
    </row>
    <row r="597" spans="1:7" ht="14.4" x14ac:dyDescent="0.3">
      <c r="A597" s="324"/>
      <c r="B597" s="324" t="s">
        <v>664</v>
      </c>
      <c r="C597" s="328" t="s">
        <v>115</v>
      </c>
      <c r="E597" s="326">
        <v>0</v>
      </c>
      <c r="F597" s="48">
        <f t="shared" si="16"/>
        <v>0</v>
      </c>
      <c r="G597" s="326"/>
    </row>
    <row r="598" spans="1:7" ht="14.4" x14ac:dyDescent="0.3">
      <c r="A598" s="324"/>
      <c r="B598" s="324" t="s">
        <v>665</v>
      </c>
      <c r="C598" s="328" t="s">
        <v>115</v>
      </c>
      <c r="E598" s="326">
        <v>0</v>
      </c>
      <c r="F598" s="48">
        <f t="shared" si="16"/>
        <v>0</v>
      </c>
      <c r="G598" s="326"/>
    </row>
    <row r="599" spans="1:7" ht="14.4" x14ac:dyDescent="0.3">
      <c r="A599" s="324"/>
      <c r="B599" s="324" t="s">
        <v>666</v>
      </c>
      <c r="C599" s="328" t="s">
        <v>115</v>
      </c>
      <c r="E599" s="326">
        <v>0</v>
      </c>
      <c r="F599" s="48">
        <f t="shared" si="16"/>
        <v>0</v>
      </c>
      <c r="G599" s="326"/>
    </row>
    <row r="600" spans="1:7" ht="14.4" x14ac:dyDescent="0.3">
      <c r="A600" s="324"/>
      <c r="B600" s="324" t="s">
        <v>667</v>
      </c>
      <c r="C600" s="328" t="s">
        <v>115</v>
      </c>
      <c r="E600" s="326">
        <v>0</v>
      </c>
      <c r="F600" s="48">
        <f t="shared" si="16"/>
        <v>0</v>
      </c>
      <c r="G600" s="326"/>
    </row>
    <row r="601" spans="1:7" ht="14.4" x14ac:dyDescent="0.3">
      <c r="A601" s="324"/>
      <c r="B601" s="324" t="s">
        <v>668</v>
      </c>
      <c r="C601" s="328" t="s">
        <v>115</v>
      </c>
      <c r="E601" s="326">
        <v>0</v>
      </c>
      <c r="F601" s="48">
        <f t="shared" si="16"/>
        <v>0</v>
      </c>
      <c r="G601" s="326"/>
    </row>
    <row r="602" spans="1:7" ht="14.4" x14ac:dyDescent="0.3">
      <c r="A602" s="324"/>
      <c r="B602" s="324" t="s">
        <v>669</v>
      </c>
      <c r="C602" s="328" t="s">
        <v>115</v>
      </c>
      <c r="E602" s="326">
        <v>0</v>
      </c>
      <c r="F602" s="48">
        <f t="shared" si="16"/>
        <v>0</v>
      </c>
      <c r="G602" s="326"/>
    </row>
    <row r="603" spans="1:7" ht="14.4" x14ac:dyDescent="0.3">
      <c r="A603" s="324"/>
      <c r="B603" s="324" t="s">
        <v>670</v>
      </c>
      <c r="C603" s="328" t="s">
        <v>115</v>
      </c>
      <c r="E603" s="326">
        <v>0</v>
      </c>
      <c r="F603" s="48">
        <f t="shared" si="16"/>
        <v>0</v>
      </c>
      <c r="G603" s="326"/>
    </row>
    <row r="604" spans="1:7" ht="14.4" x14ac:dyDescent="0.3">
      <c r="A604" s="324"/>
      <c r="B604" s="324" t="s">
        <v>671</v>
      </c>
      <c r="C604" s="328" t="s">
        <v>115</v>
      </c>
      <c r="E604" s="326">
        <v>0</v>
      </c>
      <c r="F604" s="48">
        <f t="shared" si="16"/>
        <v>0</v>
      </c>
      <c r="G604" s="326"/>
    </row>
    <row r="605" spans="1:7" ht="14.4" x14ac:dyDescent="0.3">
      <c r="A605" s="324"/>
      <c r="B605" s="324" t="s">
        <v>672</v>
      </c>
      <c r="C605" s="328" t="s">
        <v>115</v>
      </c>
      <c r="E605" s="326">
        <v>0</v>
      </c>
      <c r="F605" s="48">
        <f t="shared" si="16"/>
        <v>0</v>
      </c>
      <c r="G605" s="326"/>
    </row>
    <row r="606" spans="1:7" ht="14.4" x14ac:dyDescent="0.3">
      <c r="A606" s="324"/>
      <c r="B606" s="324" t="s">
        <v>673</v>
      </c>
      <c r="C606" s="328" t="s">
        <v>115</v>
      </c>
      <c r="E606" s="326">
        <v>0</v>
      </c>
      <c r="F606" s="48">
        <f t="shared" si="16"/>
        <v>0</v>
      </c>
      <c r="G606" s="326"/>
    </row>
    <row r="607" spans="1:7" ht="14.4" x14ac:dyDescent="0.3">
      <c r="A607" s="324"/>
      <c r="B607" s="324" t="s">
        <v>674</v>
      </c>
      <c r="C607" s="328" t="s">
        <v>115</v>
      </c>
      <c r="E607" s="326">
        <v>0</v>
      </c>
      <c r="F607" s="48">
        <f t="shared" si="16"/>
        <v>0</v>
      </c>
      <c r="G607" s="326"/>
    </row>
    <row r="608" spans="1:7" ht="14.4" x14ac:dyDescent="0.3">
      <c r="A608" s="324"/>
      <c r="B608" s="324" t="s">
        <v>675</v>
      </c>
      <c r="C608" s="328" t="s">
        <v>115</v>
      </c>
      <c r="E608" s="326">
        <v>0</v>
      </c>
      <c r="F608" s="48">
        <f t="shared" si="16"/>
        <v>0</v>
      </c>
      <c r="G608" s="326"/>
    </row>
    <row r="609" spans="1:7" ht="14.4" x14ac:dyDescent="0.3">
      <c r="A609" s="324"/>
      <c r="B609" s="324" t="s">
        <v>676</v>
      </c>
      <c r="C609" s="328" t="s">
        <v>115</v>
      </c>
      <c r="E609" s="326">
        <v>26.25</v>
      </c>
      <c r="F609" s="48">
        <f t="shared" si="16"/>
        <v>0</v>
      </c>
      <c r="G609" s="326"/>
    </row>
    <row r="610" spans="1:7" ht="14.4" x14ac:dyDescent="0.3">
      <c r="A610" s="324"/>
      <c r="B610" s="324" t="s">
        <v>677</v>
      </c>
      <c r="C610" s="328" t="s">
        <v>115</v>
      </c>
      <c r="E610" s="326">
        <v>0</v>
      </c>
      <c r="F610" s="48">
        <f t="shared" si="16"/>
        <v>0</v>
      </c>
      <c r="G610" s="326"/>
    </row>
    <row r="611" spans="1:7" ht="14.4" x14ac:dyDescent="0.3">
      <c r="A611" s="324"/>
      <c r="B611" s="324" t="s">
        <v>678</v>
      </c>
      <c r="C611" s="328" t="s">
        <v>115</v>
      </c>
      <c r="E611" s="326">
        <v>0</v>
      </c>
      <c r="F611" s="48">
        <f t="shared" si="16"/>
        <v>0</v>
      </c>
      <c r="G611" s="326"/>
    </row>
    <row r="612" spans="1:7" ht="14.4" x14ac:dyDescent="0.3">
      <c r="A612" s="324"/>
      <c r="B612" s="324" t="s">
        <v>679</v>
      </c>
      <c r="C612" s="328" t="s">
        <v>115</v>
      </c>
      <c r="E612" s="326">
        <v>0</v>
      </c>
      <c r="F612" s="48">
        <f t="shared" si="16"/>
        <v>0</v>
      </c>
      <c r="G612" s="326"/>
    </row>
    <row r="613" spans="1:7" ht="14.4" x14ac:dyDescent="0.3">
      <c r="A613" s="324"/>
      <c r="B613" s="324" t="s">
        <v>680</v>
      </c>
      <c r="C613" s="328" t="s">
        <v>115</v>
      </c>
      <c r="E613" s="326">
        <v>0</v>
      </c>
      <c r="F613" s="48">
        <f t="shared" si="16"/>
        <v>0</v>
      </c>
      <c r="G613" s="326"/>
    </row>
    <row r="614" spans="1:7" ht="14.4" x14ac:dyDescent="0.3">
      <c r="A614" s="324"/>
      <c r="B614" s="324" t="s">
        <v>681</v>
      </c>
      <c r="C614" s="328" t="s">
        <v>115</v>
      </c>
      <c r="E614" s="326">
        <v>0</v>
      </c>
      <c r="F614" s="48">
        <f t="shared" ref="F614:F677" si="17">E614*D614</f>
        <v>0</v>
      </c>
      <c r="G614" s="326"/>
    </row>
    <row r="615" spans="1:7" ht="14.4" x14ac:dyDescent="0.3">
      <c r="A615" s="324"/>
      <c r="B615" s="324" t="s">
        <v>682</v>
      </c>
      <c r="C615" s="328" t="s">
        <v>115</v>
      </c>
      <c r="E615" s="326">
        <v>0</v>
      </c>
      <c r="F615" s="48">
        <f t="shared" si="17"/>
        <v>0</v>
      </c>
      <c r="G615" s="326"/>
    </row>
    <row r="616" spans="1:7" ht="14.4" x14ac:dyDescent="0.3">
      <c r="A616" s="324"/>
      <c r="B616" s="324" t="s">
        <v>683</v>
      </c>
      <c r="C616" s="328" t="s">
        <v>115</v>
      </c>
      <c r="E616" s="326">
        <v>0</v>
      </c>
      <c r="F616" s="48">
        <f t="shared" si="17"/>
        <v>0</v>
      </c>
      <c r="G616" s="326"/>
    </row>
    <row r="617" spans="1:7" ht="14.4" x14ac:dyDescent="0.3">
      <c r="A617" s="324"/>
      <c r="B617" s="324" t="s">
        <v>684</v>
      </c>
      <c r="C617" s="328" t="s">
        <v>115</v>
      </c>
      <c r="E617" s="326">
        <v>0</v>
      </c>
      <c r="F617" s="48">
        <f t="shared" si="17"/>
        <v>0</v>
      </c>
      <c r="G617" s="326"/>
    </row>
    <row r="618" spans="1:7" ht="14.4" x14ac:dyDescent="0.3">
      <c r="A618" s="324"/>
      <c r="B618" s="324" t="s">
        <v>685</v>
      </c>
      <c r="C618" s="328" t="s">
        <v>115</v>
      </c>
      <c r="E618" s="326">
        <v>0</v>
      </c>
      <c r="F618" s="48">
        <f t="shared" si="17"/>
        <v>0</v>
      </c>
      <c r="G618" s="326"/>
    </row>
    <row r="619" spans="1:7" ht="14.4" x14ac:dyDescent="0.3">
      <c r="A619" s="324"/>
      <c r="B619" s="324" t="s">
        <v>686</v>
      </c>
      <c r="C619" s="328" t="s">
        <v>115</v>
      </c>
      <c r="E619" s="326">
        <v>0</v>
      </c>
      <c r="F619" s="48">
        <f t="shared" si="17"/>
        <v>0</v>
      </c>
      <c r="G619" s="326"/>
    </row>
    <row r="620" spans="1:7" ht="14.4" x14ac:dyDescent="0.3">
      <c r="A620" s="324"/>
      <c r="B620" s="324" t="s">
        <v>687</v>
      </c>
      <c r="C620" s="328" t="s">
        <v>115</v>
      </c>
      <c r="E620" s="326">
        <v>0</v>
      </c>
      <c r="F620" s="48">
        <f t="shared" si="17"/>
        <v>0</v>
      </c>
      <c r="G620" s="326"/>
    </row>
    <row r="621" spans="1:7" ht="14.4" x14ac:dyDescent="0.3">
      <c r="A621" s="324"/>
      <c r="B621" s="324" t="s">
        <v>688</v>
      </c>
      <c r="C621" s="328" t="s">
        <v>115</v>
      </c>
      <c r="E621" s="326">
        <v>0</v>
      </c>
      <c r="F621" s="48">
        <f t="shared" si="17"/>
        <v>0</v>
      </c>
      <c r="G621" s="326"/>
    </row>
    <row r="622" spans="1:7" ht="14.4" x14ac:dyDescent="0.3">
      <c r="A622" s="324"/>
      <c r="B622" s="324" t="s">
        <v>689</v>
      </c>
      <c r="C622" s="328" t="s">
        <v>115</v>
      </c>
      <c r="E622" s="326">
        <v>0</v>
      </c>
      <c r="F622" s="48">
        <f t="shared" si="17"/>
        <v>0</v>
      </c>
      <c r="G622" s="326"/>
    </row>
    <row r="623" spans="1:7" ht="14.4" x14ac:dyDescent="0.3">
      <c r="A623" s="324"/>
      <c r="B623" s="324" t="s">
        <v>690</v>
      </c>
      <c r="C623" s="328" t="s">
        <v>115</v>
      </c>
      <c r="E623" s="326">
        <v>0</v>
      </c>
      <c r="F623" s="48">
        <f t="shared" si="17"/>
        <v>0</v>
      </c>
      <c r="G623" s="326"/>
    </row>
    <row r="624" spans="1:7" ht="14.4" x14ac:dyDescent="0.3">
      <c r="A624" s="324"/>
      <c r="B624" s="324" t="s">
        <v>691</v>
      </c>
      <c r="C624" s="328" t="s">
        <v>115</v>
      </c>
      <c r="E624" s="326">
        <v>0</v>
      </c>
      <c r="F624" s="48">
        <f t="shared" si="17"/>
        <v>0</v>
      </c>
      <c r="G624" s="326"/>
    </row>
    <row r="625" spans="1:7" ht="14.4" x14ac:dyDescent="0.3">
      <c r="A625" s="324"/>
      <c r="B625" s="324" t="s">
        <v>692</v>
      </c>
      <c r="C625" s="328" t="s">
        <v>115</v>
      </c>
      <c r="E625" s="326">
        <v>0</v>
      </c>
      <c r="F625" s="48">
        <f t="shared" si="17"/>
        <v>0</v>
      </c>
      <c r="G625" s="326"/>
    </row>
    <row r="626" spans="1:7" ht="14.4" x14ac:dyDescent="0.3">
      <c r="A626" s="324"/>
      <c r="B626" s="324" t="s">
        <v>693</v>
      </c>
      <c r="C626" s="328" t="s">
        <v>115</v>
      </c>
      <c r="E626" s="326">
        <v>0</v>
      </c>
      <c r="F626" s="48">
        <f t="shared" si="17"/>
        <v>0</v>
      </c>
      <c r="G626" s="326"/>
    </row>
    <row r="627" spans="1:7" ht="14.4" x14ac:dyDescent="0.3">
      <c r="A627" s="324"/>
      <c r="B627" s="324" t="s">
        <v>694</v>
      </c>
      <c r="C627" s="328" t="s">
        <v>115</v>
      </c>
      <c r="E627" s="326">
        <v>0</v>
      </c>
      <c r="F627" s="48">
        <f t="shared" si="17"/>
        <v>0</v>
      </c>
      <c r="G627" s="326"/>
    </row>
    <row r="628" spans="1:7" ht="14.4" x14ac:dyDescent="0.3">
      <c r="A628" s="324"/>
      <c r="B628" s="324" t="s">
        <v>695</v>
      </c>
      <c r="C628" s="328" t="s">
        <v>115</v>
      </c>
      <c r="E628" s="326">
        <v>0</v>
      </c>
      <c r="F628" s="48">
        <f t="shared" si="17"/>
        <v>0</v>
      </c>
      <c r="G628" s="326"/>
    </row>
    <row r="629" spans="1:7" ht="14.4" x14ac:dyDescent="0.3">
      <c r="A629" s="324"/>
      <c r="B629" s="324" t="s">
        <v>696</v>
      </c>
      <c r="C629" s="328" t="s">
        <v>115</v>
      </c>
      <c r="E629" s="326">
        <v>0</v>
      </c>
      <c r="F629" s="48">
        <f t="shared" si="17"/>
        <v>0</v>
      </c>
      <c r="G629" s="326"/>
    </row>
    <row r="630" spans="1:7" ht="14.4" x14ac:dyDescent="0.3">
      <c r="A630" s="324"/>
      <c r="B630" s="324" t="s">
        <v>697</v>
      </c>
      <c r="C630" s="328" t="s">
        <v>115</v>
      </c>
      <c r="E630" s="326">
        <v>0</v>
      </c>
      <c r="F630" s="48">
        <f t="shared" si="17"/>
        <v>0</v>
      </c>
      <c r="G630" s="326"/>
    </row>
    <row r="631" spans="1:7" ht="14.4" x14ac:dyDescent="0.3">
      <c r="A631" s="324"/>
      <c r="B631" s="324" t="s">
        <v>698</v>
      </c>
      <c r="C631" s="328" t="s">
        <v>115</v>
      </c>
      <c r="E631" s="326">
        <v>0</v>
      </c>
      <c r="F631" s="48">
        <f t="shared" si="17"/>
        <v>0</v>
      </c>
      <c r="G631" s="326"/>
    </row>
    <row r="632" spans="1:7" ht="14.4" x14ac:dyDescent="0.3">
      <c r="A632" s="324"/>
      <c r="B632" s="324" t="s">
        <v>699</v>
      </c>
      <c r="C632" s="328" t="s">
        <v>115</v>
      </c>
      <c r="E632" s="326">
        <v>0</v>
      </c>
      <c r="F632" s="48">
        <f t="shared" si="17"/>
        <v>0</v>
      </c>
      <c r="G632" s="326"/>
    </row>
    <row r="633" spans="1:7" ht="14.4" x14ac:dyDescent="0.3">
      <c r="A633" s="324"/>
      <c r="B633" s="324" t="s">
        <v>700</v>
      </c>
      <c r="C633" s="328" t="s">
        <v>115</v>
      </c>
      <c r="E633" s="326">
        <v>0</v>
      </c>
      <c r="F633" s="48">
        <f t="shared" si="17"/>
        <v>0</v>
      </c>
      <c r="G633" s="326"/>
    </row>
    <row r="634" spans="1:7" ht="14.4" x14ac:dyDescent="0.3">
      <c r="A634" s="324"/>
      <c r="B634" s="324" t="s">
        <v>701</v>
      </c>
      <c r="C634" s="328" t="s">
        <v>115</v>
      </c>
      <c r="E634" s="326">
        <v>0</v>
      </c>
      <c r="F634" s="48">
        <f t="shared" si="17"/>
        <v>0</v>
      </c>
      <c r="G634" s="326"/>
    </row>
    <row r="635" spans="1:7" ht="14.4" x14ac:dyDescent="0.3">
      <c r="A635" s="324"/>
      <c r="B635" s="324" t="s">
        <v>702</v>
      </c>
      <c r="C635" s="328" t="s">
        <v>115</v>
      </c>
      <c r="E635" s="326">
        <v>0</v>
      </c>
      <c r="F635" s="48">
        <f t="shared" si="17"/>
        <v>0</v>
      </c>
      <c r="G635" s="326"/>
    </row>
    <row r="636" spans="1:7" ht="14.4" x14ac:dyDescent="0.3">
      <c r="A636" s="324"/>
      <c r="B636" s="324" t="s">
        <v>703</v>
      </c>
      <c r="C636" s="328" t="s">
        <v>115</v>
      </c>
      <c r="E636" s="326">
        <v>0</v>
      </c>
      <c r="F636" s="48">
        <f t="shared" si="17"/>
        <v>0</v>
      </c>
      <c r="G636" s="326"/>
    </row>
    <row r="637" spans="1:7" ht="14.4" x14ac:dyDescent="0.3">
      <c r="A637" s="324"/>
      <c r="B637" s="324"/>
      <c r="C637" s="328" t="s">
        <v>115</v>
      </c>
      <c r="E637" s="326">
        <v>0</v>
      </c>
      <c r="F637" s="48">
        <f t="shared" si="17"/>
        <v>0</v>
      </c>
      <c r="G637" s="326"/>
    </row>
    <row r="638" spans="1:7" ht="14.4" x14ac:dyDescent="0.3">
      <c r="A638" s="324"/>
      <c r="B638" s="324" t="s">
        <v>704</v>
      </c>
      <c r="C638" s="328"/>
      <c r="E638" s="326">
        <v>0</v>
      </c>
      <c r="F638" s="48">
        <f t="shared" si="17"/>
        <v>0</v>
      </c>
      <c r="G638" s="326"/>
    </row>
    <row r="639" spans="1:7" ht="14.4" x14ac:dyDescent="0.3">
      <c r="A639" s="324"/>
      <c r="B639" s="324" t="s">
        <v>705</v>
      </c>
      <c r="C639" s="328" t="s">
        <v>149</v>
      </c>
      <c r="E639" s="326">
        <v>0</v>
      </c>
      <c r="F639" s="48">
        <f t="shared" si="17"/>
        <v>0</v>
      </c>
      <c r="G639" s="326"/>
    </row>
    <row r="640" spans="1:7" ht="14.4" x14ac:dyDescent="0.3">
      <c r="A640" s="324"/>
      <c r="B640" s="324" t="s">
        <v>706</v>
      </c>
      <c r="C640" s="328" t="s">
        <v>149</v>
      </c>
      <c r="E640" s="326">
        <v>0</v>
      </c>
      <c r="F640" s="48">
        <f t="shared" si="17"/>
        <v>0</v>
      </c>
      <c r="G640" s="326"/>
    </row>
    <row r="641" spans="1:7" ht="14.4" x14ac:dyDescent="0.3">
      <c r="A641" s="324"/>
      <c r="B641" s="324" t="s">
        <v>707</v>
      </c>
      <c r="C641" s="328" t="s">
        <v>149</v>
      </c>
      <c r="E641" s="326">
        <v>0</v>
      </c>
      <c r="F641" s="48">
        <f t="shared" si="17"/>
        <v>0</v>
      </c>
      <c r="G641" s="326"/>
    </row>
    <row r="642" spans="1:7" ht="14.4" x14ac:dyDescent="0.3">
      <c r="A642" s="324"/>
      <c r="B642" s="324" t="s">
        <v>708</v>
      </c>
      <c r="C642" s="328" t="s">
        <v>115</v>
      </c>
      <c r="E642" s="326">
        <v>0</v>
      </c>
      <c r="F642" s="48">
        <f t="shared" si="17"/>
        <v>0</v>
      </c>
      <c r="G642" s="326"/>
    </row>
    <row r="643" spans="1:7" ht="14.4" x14ac:dyDescent="0.3">
      <c r="A643" s="324"/>
      <c r="B643" s="324" t="s">
        <v>709</v>
      </c>
      <c r="C643" s="328" t="s">
        <v>115</v>
      </c>
      <c r="E643" s="326">
        <v>0</v>
      </c>
      <c r="F643" s="48">
        <f t="shared" si="17"/>
        <v>0</v>
      </c>
      <c r="G643" s="326"/>
    </row>
    <row r="644" spans="1:7" ht="14.4" x14ac:dyDescent="0.3">
      <c r="A644" s="324"/>
      <c r="B644" s="324" t="s">
        <v>710</v>
      </c>
      <c r="C644" s="328" t="s">
        <v>115</v>
      </c>
      <c r="E644" s="326">
        <v>0</v>
      </c>
      <c r="F644" s="48">
        <f t="shared" si="17"/>
        <v>0</v>
      </c>
      <c r="G644" s="326"/>
    </row>
    <row r="645" spans="1:7" ht="14.4" x14ac:dyDescent="0.3">
      <c r="A645" s="324"/>
      <c r="B645" s="324" t="s">
        <v>711</v>
      </c>
      <c r="C645" s="328" t="s">
        <v>115</v>
      </c>
      <c r="E645" s="326">
        <v>0</v>
      </c>
      <c r="F645" s="48">
        <f t="shared" si="17"/>
        <v>0</v>
      </c>
      <c r="G645" s="326"/>
    </row>
    <row r="646" spans="1:7" ht="14.4" x14ac:dyDescent="0.3">
      <c r="A646" s="324"/>
      <c r="B646" s="324" t="s">
        <v>712</v>
      </c>
      <c r="C646" s="328" t="s">
        <v>115</v>
      </c>
      <c r="E646" s="326">
        <v>0</v>
      </c>
      <c r="F646" s="48">
        <f t="shared" si="17"/>
        <v>0</v>
      </c>
      <c r="G646" s="326"/>
    </row>
    <row r="647" spans="1:7" ht="14.4" x14ac:dyDescent="0.3">
      <c r="A647" s="324"/>
      <c r="B647" s="324" t="s">
        <v>713</v>
      </c>
      <c r="C647" s="328" t="s">
        <v>115</v>
      </c>
      <c r="E647" s="326">
        <v>0</v>
      </c>
      <c r="F647" s="48">
        <f t="shared" si="17"/>
        <v>0</v>
      </c>
      <c r="G647" s="326"/>
    </row>
    <row r="648" spans="1:7" ht="14.4" x14ac:dyDescent="0.3">
      <c r="A648" s="324"/>
      <c r="B648" s="324" t="s">
        <v>714</v>
      </c>
      <c r="C648" s="328" t="s">
        <v>115</v>
      </c>
      <c r="E648" s="326">
        <v>0</v>
      </c>
      <c r="F648" s="48">
        <f t="shared" si="17"/>
        <v>0</v>
      </c>
      <c r="G648" s="326"/>
    </row>
    <row r="649" spans="1:7" ht="14.4" x14ac:dyDescent="0.3">
      <c r="A649" s="324"/>
      <c r="B649" s="324" t="s">
        <v>715</v>
      </c>
      <c r="C649" s="328" t="s">
        <v>115</v>
      </c>
      <c r="E649" s="326">
        <v>0</v>
      </c>
      <c r="F649" s="48">
        <f t="shared" si="17"/>
        <v>0</v>
      </c>
      <c r="G649" s="326"/>
    </row>
    <row r="650" spans="1:7" ht="14.4" x14ac:dyDescent="0.3">
      <c r="A650" s="324"/>
      <c r="B650" s="324" t="s">
        <v>716</v>
      </c>
      <c r="C650" s="328" t="s">
        <v>115</v>
      </c>
      <c r="E650" s="326">
        <v>0</v>
      </c>
      <c r="F650" s="48">
        <f t="shared" si="17"/>
        <v>0</v>
      </c>
      <c r="G650" s="326"/>
    </row>
    <row r="651" spans="1:7" ht="14.4" x14ac:dyDescent="0.3">
      <c r="A651" s="324"/>
      <c r="B651" s="324" t="s">
        <v>717</v>
      </c>
      <c r="C651" s="328" t="s">
        <v>115</v>
      </c>
      <c r="E651" s="326">
        <v>0</v>
      </c>
      <c r="F651" s="48">
        <f t="shared" si="17"/>
        <v>0</v>
      </c>
      <c r="G651" s="326"/>
    </row>
    <row r="652" spans="1:7" ht="14.4" x14ac:dyDescent="0.3">
      <c r="A652" s="324"/>
      <c r="B652" s="324" t="s">
        <v>718</v>
      </c>
      <c r="C652" s="328" t="s">
        <v>115</v>
      </c>
      <c r="E652" s="326">
        <v>0</v>
      </c>
      <c r="F652" s="48">
        <f t="shared" si="17"/>
        <v>0</v>
      </c>
      <c r="G652" s="326"/>
    </row>
    <row r="653" spans="1:7" ht="14.4" x14ac:dyDescent="0.3">
      <c r="A653" s="324"/>
      <c r="B653" s="324" t="s">
        <v>719</v>
      </c>
      <c r="C653" s="328" t="s">
        <v>115</v>
      </c>
      <c r="E653" s="326">
        <v>0</v>
      </c>
      <c r="F653" s="48">
        <f t="shared" si="17"/>
        <v>0</v>
      </c>
      <c r="G653" s="326"/>
    </row>
    <row r="654" spans="1:7" ht="14.4" x14ac:dyDescent="0.3">
      <c r="A654" s="324"/>
      <c r="B654" s="324" t="s">
        <v>720</v>
      </c>
      <c r="C654" s="328" t="s">
        <v>115</v>
      </c>
      <c r="E654" s="326">
        <v>0</v>
      </c>
      <c r="F654" s="48">
        <f t="shared" si="17"/>
        <v>0</v>
      </c>
      <c r="G654" s="326"/>
    </row>
    <row r="655" spans="1:7" ht="14.4" x14ac:dyDescent="0.3">
      <c r="A655" s="324"/>
      <c r="B655" s="324" t="s">
        <v>721</v>
      </c>
      <c r="C655" s="328" t="s">
        <v>115</v>
      </c>
      <c r="E655" s="326">
        <v>0</v>
      </c>
      <c r="F655" s="48">
        <f t="shared" si="17"/>
        <v>0</v>
      </c>
      <c r="G655" s="326"/>
    </row>
    <row r="656" spans="1:7" ht="14.4" x14ac:dyDescent="0.3">
      <c r="A656" s="324"/>
      <c r="B656" s="324" t="s">
        <v>722</v>
      </c>
      <c r="C656" s="328" t="s">
        <v>115</v>
      </c>
      <c r="E656" s="326">
        <v>0</v>
      </c>
      <c r="F656" s="48">
        <f t="shared" si="17"/>
        <v>0</v>
      </c>
      <c r="G656" s="326"/>
    </row>
    <row r="657" spans="1:7" ht="14.4" x14ac:dyDescent="0.3">
      <c r="A657" s="324"/>
      <c r="B657" s="324" t="s">
        <v>723</v>
      </c>
      <c r="C657" s="328" t="s">
        <v>115</v>
      </c>
      <c r="E657" s="326">
        <v>0</v>
      </c>
      <c r="F657" s="48">
        <f t="shared" si="17"/>
        <v>0</v>
      </c>
      <c r="G657" s="326"/>
    </row>
    <row r="658" spans="1:7" ht="14.4" x14ac:dyDescent="0.3">
      <c r="A658" s="324"/>
      <c r="B658" s="324"/>
      <c r="C658" s="328" t="s">
        <v>115</v>
      </c>
      <c r="E658" s="326"/>
      <c r="F658" s="48">
        <f t="shared" si="17"/>
        <v>0</v>
      </c>
    </row>
    <row r="659" spans="1:7" ht="14.4" x14ac:dyDescent="0.3">
      <c r="A659"/>
      <c r="B659" s="330" t="s">
        <v>724</v>
      </c>
      <c r="C659" s="419" t="s">
        <v>115</v>
      </c>
      <c r="D659" s="40">
        <v>1</v>
      </c>
      <c r="E659" s="326">
        <v>56</v>
      </c>
      <c r="F659" s="48">
        <f t="shared" si="17"/>
        <v>56</v>
      </c>
      <c r="G659" s="326"/>
    </row>
    <row r="660" spans="1:7" ht="14.4" x14ac:dyDescent="0.3">
      <c r="A660"/>
      <c r="B660" t="s">
        <v>725</v>
      </c>
      <c r="C660" s="303" t="s">
        <v>115</v>
      </c>
      <c r="E660" s="326">
        <v>202.94</v>
      </c>
      <c r="F660" s="48">
        <f t="shared" si="17"/>
        <v>0</v>
      </c>
      <c r="G660" s="326"/>
    </row>
    <row r="661" spans="1:7" ht="14.4" x14ac:dyDescent="0.3">
      <c r="A661"/>
      <c r="B661" t="s">
        <v>726</v>
      </c>
      <c r="C661" s="303" t="s">
        <v>115</v>
      </c>
      <c r="E661" s="326">
        <v>92.67</v>
      </c>
      <c r="F661" s="48">
        <f t="shared" si="17"/>
        <v>0</v>
      </c>
      <c r="G661" s="326"/>
    </row>
    <row r="662" spans="1:7" ht="14.4" x14ac:dyDescent="0.3">
      <c r="A662"/>
      <c r="B662" t="s">
        <v>727</v>
      </c>
      <c r="C662" s="303" t="s">
        <v>115</v>
      </c>
      <c r="E662" s="326">
        <v>24.71</v>
      </c>
      <c r="F662" s="48">
        <f t="shared" si="17"/>
        <v>0</v>
      </c>
      <c r="G662" s="326"/>
    </row>
    <row r="663" spans="1:7" ht="14.4" x14ac:dyDescent="0.3">
      <c r="A663"/>
      <c r="B663" t="s">
        <v>340</v>
      </c>
      <c r="C663" s="303" t="s">
        <v>115</v>
      </c>
      <c r="E663" s="326">
        <v>20</v>
      </c>
      <c r="F663" s="48">
        <f t="shared" si="17"/>
        <v>0</v>
      </c>
      <c r="G663" s="326"/>
    </row>
    <row r="664" spans="1:7" ht="14.4" x14ac:dyDescent="0.3">
      <c r="A664"/>
      <c r="B664" t="s">
        <v>305</v>
      </c>
      <c r="C664" s="303" t="s">
        <v>115</v>
      </c>
      <c r="E664" s="326">
        <v>136.94</v>
      </c>
      <c r="F664" s="48">
        <f t="shared" si="17"/>
        <v>0</v>
      </c>
      <c r="G664" s="326"/>
    </row>
    <row r="665" spans="1:7" ht="14.4" x14ac:dyDescent="0.3">
      <c r="A665"/>
      <c r="B665" t="s">
        <v>374</v>
      </c>
      <c r="C665" s="303" t="s">
        <v>115</v>
      </c>
      <c r="E665" s="326">
        <v>365</v>
      </c>
      <c r="F665" s="48">
        <f t="shared" si="17"/>
        <v>0</v>
      </c>
      <c r="G665" s="326"/>
    </row>
    <row r="666" spans="1:7" ht="14.4" x14ac:dyDescent="0.3">
      <c r="A666"/>
      <c r="B666" t="s">
        <v>728</v>
      </c>
      <c r="C666" s="303" t="s">
        <v>115</v>
      </c>
      <c r="E666" s="326">
        <v>201.43</v>
      </c>
      <c r="F666" s="48">
        <f t="shared" si="17"/>
        <v>0</v>
      </c>
      <c r="G666" s="326"/>
    </row>
    <row r="667" spans="1:7" ht="14.4" x14ac:dyDescent="0.3">
      <c r="A667"/>
      <c r="B667" t="s">
        <v>376</v>
      </c>
      <c r="C667" s="303" t="s">
        <v>115</v>
      </c>
      <c r="E667" s="326">
        <v>5</v>
      </c>
      <c r="F667" s="48">
        <f t="shared" si="17"/>
        <v>0</v>
      </c>
      <c r="G667" s="326"/>
    </row>
    <row r="668" spans="1:7" ht="14.4" x14ac:dyDescent="0.3">
      <c r="A668"/>
      <c r="B668" t="s">
        <v>729</v>
      </c>
      <c r="C668" s="303" t="s">
        <v>115</v>
      </c>
      <c r="E668" s="326">
        <v>853</v>
      </c>
      <c r="F668" s="48">
        <f t="shared" si="17"/>
        <v>0</v>
      </c>
      <c r="G668" s="326"/>
    </row>
    <row r="669" spans="1:7" ht="14.4" x14ac:dyDescent="0.3">
      <c r="A669"/>
      <c r="B669" t="s">
        <v>730</v>
      </c>
      <c r="C669" s="303" t="s">
        <v>115</v>
      </c>
      <c r="E669" s="326">
        <v>503</v>
      </c>
      <c r="F669" s="48">
        <f t="shared" si="17"/>
        <v>0</v>
      </c>
      <c r="G669" s="326"/>
    </row>
    <row r="670" spans="1:7" ht="14.4" x14ac:dyDescent="0.3">
      <c r="A670"/>
      <c r="B670" t="s">
        <v>731</v>
      </c>
      <c r="C670" s="303" t="s">
        <v>115</v>
      </c>
      <c r="E670" s="326">
        <v>1809.63</v>
      </c>
      <c r="F670" s="48">
        <f t="shared" si="17"/>
        <v>0</v>
      </c>
      <c r="G670" s="326"/>
    </row>
    <row r="671" spans="1:7" ht="14.4" x14ac:dyDescent="0.3">
      <c r="A671"/>
      <c r="B671" s="63" t="s">
        <v>732</v>
      </c>
      <c r="C671" s="303" t="s">
        <v>115</v>
      </c>
      <c r="E671" s="326">
        <v>1650</v>
      </c>
      <c r="F671" s="48">
        <f t="shared" si="17"/>
        <v>0</v>
      </c>
      <c r="G671" s="326"/>
    </row>
    <row r="672" spans="1:7" ht="14.4" x14ac:dyDescent="0.3">
      <c r="A672"/>
      <c r="B672" s="63" t="s">
        <v>733</v>
      </c>
      <c r="C672" s="303" t="s">
        <v>115</v>
      </c>
      <c r="E672" s="326">
        <v>160</v>
      </c>
      <c r="F672" s="48">
        <f t="shared" si="17"/>
        <v>0</v>
      </c>
      <c r="G672" s="326"/>
    </row>
    <row r="673" spans="1:7" ht="14.4" x14ac:dyDescent="0.3">
      <c r="A673"/>
      <c r="B673" s="63" t="s">
        <v>734</v>
      </c>
      <c r="C673" s="303" t="s">
        <v>115</v>
      </c>
      <c r="E673" s="326">
        <v>750</v>
      </c>
      <c r="F673" s="48">
        <f t="shared" si="17"/>
        <v>0</v>
      </c>
      <c r="G673" s="326"/>
    </row>
    <row r="674" spans="1:7" ht="14.4" x14ac:dyDescent="0.3">
      <c r="A674"/>
      <c r="B674" s="63" t="s">
        <v>735</v>
      </c>
      <c r="C674" s="303" t="s">
        <v>115</v>
      </c>
      <c r="E674" s="326">
        <v>450</v>
      </c>
      <c r="F674" s="48">
        <f t="shared" si="17"/>
        <v>0</v>
      </c>
      <c r="G674" s="326"/>
    </row>
    <row r="675" spans="1:7" ht="14.4" x14ac:dyDescent="0.3">
      <c r="A675"/>
      <c r="B675" s="63" t="s">
        <v>736</v>
      </c>
      <c r="C675" s="303" t="s">
        <v>115</v>
      </c>
      <c r="E675" s="326">
        <v>1250</v>
      </c>
      <c r="F675" s="48">
        <f t="shared" si="17"/>
        <v>0</v>
      </c>
      <c r="G675" s="326"/>
    </row>
    <row r="676" spans="1:7" ht="14.4" x14ac:dyDescent="0.3">
      <c r="A676"/>
      <c r="B676" t="s">
        <v>737</v>
      </c>
      <c r="C676" s="303" t="s">
        <v>115</v>
      </c>
      <c r="E676" s="326">
        <v>190</v>
      </c>
      <c r="F676" s="48">
        <f t="shared" si="17"/>
        <v>0</v>
      </c>
      <c r="G676" s="326"/>
    </row>
    <row r="677" spans="1:7" ht="14.4" x14ac:dyDescent="0.3">
      <c r="A677"/>
      <c r="B677" t="s">
        <v>738</v>
      </c>
      <c r="C677" s="303" t="s">
        <v>115</v>
      </c>
      <c r="E677" s="326">
        <v>412.59</v>
      </c>
      <c r="F677" s="48">
        <f t="shared" si="17"/>
        <v>0</v>
      </c>
      <c r="G677" s="326"/>
    </row>
    <row r="678" spans="1:7" ht="14.4" x14ac:dyDescent="0.3">
      <c r="A678"/>
      <c r="B678" t="s">
        <v>739</v>
      </c>
      <c r="C678" s="303" t="s">
        <v>115</v>
      </c>
      <c r="E678" s="326">
        <v>50</v>
      </c>
      <c r="F678" s="48">
        <f t="shared" ref="F678:F694" si="18">E678*D678</f>
        <v>0</v>
      </c>
      <c r="G678" s="326"/>
    </row>
    <row r="679" spans="1:7" ht="16.8" x14ac:dyDescent="0.3">
      <c r="A679"/>
      <c r="B679" s="331" t="s">
        <v>742</v>
      </c>
      <c r="C679" s="303" t="s">
        <v>115</v>
      </c>
      <c r="E679" s="326">
        <v>30</v>
      </c>
      <c r="F679" s="48">
        <f t="shared" si="18"/>
        <v>0</v>
      </c>
      <c r="G679" s="326"/>
    </row>
    <row r="680" spans="1:7" ht="14.4" x14ac:dyDescent="0.3">
      <c r="A680"/>
      <c r="B680" t="s">
        <v>743</v>
      </c>
      <c r="C680" s="303" t="s">
        <v>115</v>
      </c>
      <c r="E680" s="326">
        <v>1850</v>
      </c>
      <c r="F680" s="48">
        <f t="shared" si="18"/>
        <v>0</v>
      </c>
      <c r="G680" s="326"/>
    </row>
    <row r="681" spans="1:7" ht="14.4" x14ac:dyDescent="0.3">
      <c r="A681"/>
      <c r="B681" t="s">
        <v>744</v>
      </c>
      <c r="C681" s="303" t="s">
        <v>115</v>
      </c>
      <c r="D681" s="40">
        <v>1</v>
      </c>
      <c r="E681" s="326">
        <v>1800</v>
      </c>
      <c r="F681" s="48">
        <f t="shared" si="18"/>
        <v>1800</v>
      </c>
      <c r="G681" s="326"/>
    </row>
    <row r="682" spans="1:7" ht="14.4" x14ac:dyDescent="0.3">
      <c r="A682"/>
      <c r="B682"/>
      <c r="C682" s="303" t="s">
        <v>115</v>
      </c>
      <c r="E682" s="326"/>
      <c r="F682" s="48">
        <f t="shared" si="18"/>
        <v>0</v>
      </c>
    </row>
    <row r="683" spans="1:7" ht="14.4" x14ac:dyDescent="0.3">
      <c r="A683" s="324"/>
      <c r="B683" s="420" t="s">
        <v>745</v>
      </c>
      <c r="C683" s="303"/>
      <c r="E683" s="326">
        <v>3800</v>
      </c>
      <c r="F683" s="48">
        <f t="shared" si="18"/>
        <v>0</v>
      </c>
      <c r="G683" s="326"/>
    </row>
    <row r="684" spans="1:7" ht="14.4" x14ac:dyDescent="0.3">
      <c r="A684" s="324"/>
      <c r="B684" s="420" t="s">
        <v>746</v>
      </c>
      <c r="C684" s="328" t="s">
        <v>115</v>
      </c>
      <c r="E684" s="326">
        <v>371.37</v>
      </c>
      <c r="F684" s="48">
        <f t="shared" si="18"/>
        <v>0</v>
      </c>
      <c r="G684" s="326"/>
    </row>
    <row r="685" spans="1:7" ht="14.4" x14ac:dyDescent="0.3">
      <c r="A685" s="324"/>
      <c r="B685" s="420" t="s">
        <v>747</v>
      </c>
      <c r="C685" s="419" t="s">
        <v>115</v>
      </c>
      <c r="E685" s="326">
        <f>430.67+38.37</f>
        <v>469.04</v>
      </c>
      <c r="F685" s="48">
        <f t="shared" si="18"/>
        <v>0</v>
      </c>
      <c r="G685" s="326"/>
    </row>
    <row r="686" spans="1:7" ht="14.4" x14ac:dyDescent="0.3">
      <c r="A686" s="324"/>
      <c r="B686" s="420" t="s">
        <v>748</v>
      </c>
      <c r="C686" s="419" t="s">
        <v>115</v>
      </c>
      <c r="E686" s="326">
        <f>141.13+18.87+18.87+480.93</f>
        <v>659.8</v>
      </c>
      <c r="F686" s="48">
        <f t="shared" si="18"/>
        <v>0</v>
      </c>
      <c r="G686" s="326"/>
    </row>
    <row r="687" spans="1:7" ht="14.4" x14ac:dyDescent="0.3">
      <c r="A687" s="324"/>
      <c r="B687" s="420" t="s">
        <v>749</v>
      </c>
      <c r="C687" s="419" t="s">
        <v>115</v>
      </c>
      <c r="E687" s="326">
        <v>587.96</v>
      </c>
      <c r="F687" s="48">
        <f t="shared" si="18"/>
        <v>0</v>
      </c>
      <c r="G687" s="326"/>
    </row>
    <row r="688" spans="1:7" ht="14.4" x14ac:dyDescent="0.3">
      <c r="A688" s="324"/>
      <c r="B688" s="420" t="s">
        <v>750</v>
      </c>
      <c r="C688" s="328" t="s">
        <v>115</v>
      </c>
      <c r="E688" s="326">
        <v>641.58000000000004</v>
      </c>
      <c r="F688" s="48">
        <f t="shared" si="18"/>
        <v>0</v>
      </c>
      <c r="G688" s="326"/>
    </row>
    <row r="689" spans="1:7" ht="14.4" x14ac:dyDescent="0.3">
      <c r="A689" s="324"/>
      <c r="B689" s="420" t="s">
        <v>1062</v>
      </c>
      <c r="C689" s="419" t="s">
        <v>115</v>
      </c>
      <c r="D689" s="40">
        <v>1</v>
      </c>
      <c r="E689" s="326">
        <v>300</v>
      </c>
      <c r="F689" s="48">
        <f t="shared" si="18"/>
        <v>300</v>
      </c>
      <c r="G689" s="326"/>
    </row>
    <row r="690" spans="1:7" ht="14.4" x14ac:dyDescent="0.3">
      <c r="A690" s="324"/>
      <c r="B690" s="420" t="s">
        <v>752</v>
      </c>
      <c r="C690" s="328" t="s">
        <v>115</v>
      </c>
      <c r="E690" s="326">
        <v>50</v>
      </c>
      <c r="F690" s="48">
        <f t="shared" si="18"/>
        <v>0</v>
      </c>
      <c r="G690" s="326"/>
    </row>
    <row r="691" spans="1:7" ht="14.4" x14ac:dyDescent="0.3">
      <c r="A691" s="324"/>
      <c r="B691" s="420" t="s">
        <v>753</v>
      </c>
      <c r="C691" s="419" t="s">
        <v>115</v>
      </c>
      <c r="E691" s="326">
        <v>31.71</v>
      </c>
      <c r="F691" s="48">
        <f t="shared" si="18"/>
        <v>0</v>
      </c>
      <c r="G691" s="326"/>
    </row>
    <row r="692" spans="1:7" ht="14.4" x14ac:dyDescent="0.3">
      <c r="A692" s="324"/>
      <c r="B692" s="420" t="s">
        <v>754</v>
      </c>
      <c r="C692" s="328" t="s">
        <v>115</v>
      </c>
      <c r="E692" s="326">
        <v>146.09</v>
      </c>
      <c r="F692" s="48">
        <f t="shared" si="18"/>
        <v>0</v>
      </c>
      <c r="G692" s="326"/>
    </row>
    <row r="693" spans="1:7" ht="14.4" x14ac:dyDescent="0.3">
      <c r="A693" s="324"/>
      <c r="B693" s="420" t="s">
        <v>755</v>
      </c>
      <c r="C693" s="328" t="s">
        <v>115</v>
      </c>
      <c r="E693" s="326">
        <v>99.49</v>
      </c>
      <c r="F693" s="48">
        <f t="shared" si="18"/>
        <v>0</v>
      </c>
      <c r="G693" s="326"/>
    </row>
    <row r="694" spans="1:7" ht="14.4" x14ac:dyDescent="0.3">
      <c r="B694" s="423" t="s">
        <v>1005</v>
      </c>
      <c r="C694" s="397" t="s">
        <v>115</v>
      </c>
      <c r="D694" s="398">
        <v>1</v>
      </c>
      <c r="E694" s="399">
        <v>450</v>
      </c>
      <c r="F694" s="400">
        <f t="shared" si="18"/>
        <v>450</v>
      </c>
    </row>
    <row r="696" spans="1:7" ht="14.4" x14ac:dyDescent="0.3">
      <c r="B696" s="325" t="s">
        <v>762</v>
      </c>
    </row>
    <row r="697" spans="1:7" ht="14.4" x14ac:dyDescent="0.3">
      <c r="B697" s="327" t="s">
        <v>354</v>
      </c>
    </row>
    <row r="698" spans="1:7" ht="14.4" x14ac:dyDescent="0.3">
      <c r="B698" s="324"/>
    </row>
    <row r="699" spans="1:7" ht="14.4" x14ac:dyDescent="0.3">
      <c r="B699" s="324" t="s">
        <v>763</v>
      </c>
      <c r="C699" s="328" t="s">
        <v>149</v>
      </c>
      <c r="E699" s="385">
        <v>14.489999999999998</v>
      </c>
      <c r="F699" s="48">
        <f t="shared" ref="F699:F763" si="19">E699*D699</f>
        <v>0</v>
      </c>
    </row>
    <row r="700" spans="1:7" ht="14.4" x14ac:dyDescent="0.3">
      <c r="B700" s="420" t="s">
        <v>764</v>
      </c>
      <c r="C700" s="328" t="s">
        <v>149</v>
      </c>
      <c r="D700" s="40">
        <v>74</v>
      </c>
      <c r="E700" s="385">
        <v>9.5495999999999999</v>
      </c>
      <c r="F700" s="48">
        <f t="shared" si="19"/>
        <v>706.67039999999997</v>
      </c>
    </row>
    <row r="701" spans="1:7" ht="14.4" x14ac:dyDescent="0.3">
      <c r="B701" s="420" t="s">
        <v>765</v>
      </c>
      <c r="C701" s="419" t="s">
        <v>115</v>
      </c>
      <c r="E701" s="385">
        <v>9.66</v>
      </c>
      <c r="F701" s="48">
        <f t="shared" si="19"/>
        <v>0</v>
      </c>
    </row>
    <row r="702" spans="1:7" ht="14.4" x14ac:dyDescent="0.3">
      <c r="B702" s="420" t="s">
        <v>766</v>
      </c>
      <c r="C702" s="419" t="s">
        <v>115</v>
      </c>
      <c r="D702" s="40">
        <v>10</v>
      </c>
      <c r="E702" s="385">
        <v>4.7885999999999997</v>
      </c>
      <c r="F702" s="48">
        <f t="shared" si="19"/>
        <v>47.885999999999996</v>
      </c>
    </row>
    <row r="703" spans="1:7" ht="14.4" x14ac:dyDescent="0.3">
      <c r="B703" s="420" t="s">
        <v>767</v>
      </c>
      <c r="C703" s="419" t="s">
        <v>115</v>
      </c>
      <c r="E703" s="385">
        <v>13.799999999999999</v>
      </c>
      <c r="F703" s="48">
        <f t="shared" si="19"/>
        <v>0</v>
      </c>
    </row>
    <row r="704" spans="1:7" ht="14.4" x14ac:dyDescent="0.3">
      <c r="B704" s="420" t="s">
        <v>768</v>
      </c>
      <c r="C704" s="419" t="s">
        <v>115</v>
      </c>
      <c r="E704" s="385">
        <v>6.5274000000000001</v>
      </c>
      <c r="F704" s="48">
        <f t="shared" si="19"/>
        <v>0</v>
      </c>
    </row>
    <row r="705" spans="2:6" ht="14.4" x14ac:dyDescent="0.3">
      <c r="B705" s="420" t="s">
        <v>769</v>
      </c>
      <c r="C705" s="419" t="s">
        <v>115</v>
      </c>
      <c r="E705" s="385">
        <v>8.5974000000000004</v>
      </c>
      <c r="F705" s="48">
        <f t="shared" si="19"/>
        <v>0</v>
      </c>
    </row>
    <row r="706" spans="2:6" ht="14.4" x14ac:dyDescent="0.3">
      <c r="B706" s="420" t="s">
        <v>770</v>
      </c>
      <c r="C706" s="419" t="s">
        <v>115</v>
      </c>
      <c r="E706" s="385">
        <v>6.8999999999999995</v>
      </c>
      <c r="F706" s="48">
        <f t="shared" si="19"/>
        <v>0</v>
      </c>
    </row>
    <row r="707" spans="2:6" ht="14.4" x14ac:dyDescent="0.3">
      <c r="B707" s="420" t="s">
        <v>771</v>
      </c>
      <c r="C707" s="419" t="s">
        <v>115</v>
      </c>
      <c r="E707" s="385">
        <v>6.8999999999999995</v>
      </c>
      <c r="F707" s="48">
        <f t="shared" si="19"/>
        <v>0</v>
      </c>
    </row>
    <row r="708" spans="2:6" ht="14.4" x14ac:dyDescent="0.3">
      <c r="B708" s="420" t="s">
        <v>772</v>
      </c>
      <c r="C708" s="419" t="s">
        <v>115</v>
      </c>
      <c r="D708" s="40">
        <v>11</v>
      </c>
      <c r="E708" s="385">
        <v>2.5667999999999997</v>
      </c>
      <c r="F708" s="48">
        <f t="shared" si="19"/>
        <v>28.234799999999996</v>
      </c>
    </row>
    <row r="709" spans="2:6" ht="14.4" x14ac:dyDescent="0.3">
      <c r="B709" s="420" t="s">
        <v>773</v>
      </c>
      <c r="C709" s="419" t="s">
        <v>115</v>
      </c>
      <c r="D709" s="40">
        <v>8</v>
      </c>
      <c r="E709" s="385">
        <v>2.3308200000000001</v>
      </c>
      <c r="F709" s="48">
        <f t="shared" si="19"/>
        <v>18.646560000000001</v>
      </c>
    </row>
    <row r="710" spans="2:6" ht="14.4" x14ac:dyDescent="0.3">
      <c r="B710" s="420" t="s">
        <v>774</v>
      </c>
      <c r="C710" s="419" t="s">
        <v>115</v>
      </c>
      <c r="E710" s="385">
        <v>5.52</v>
      </c>
      <c r="F710" s="48">
        <f t="shared" si="19"/>
        <v>0</v>
      </c>
    </row>
    <row r="711" spans="2:6" ht="14.4" x14ac:dyDescent="0.3">
      <c r="B711" s="420" t="s">
        <v>984</v>
      </c>
      <c r="C711" s="419" t="s">
        <v>115</v>
      </c>
      <c r="D711" s="40">
        <v>1</v>
      </c>
      <c r="E711" s="385">
        <v>3.5</v>
      </c>
      <c r="F711" s="48">
        <f t="shared" si="19"/>
        <v>3.5</v>
      </c>
    </row>
    <row r="712" spans="2:6" ht="14.4" x14ac:dyDescent="0.3">
      <c r="B712" s="420" t="s">
        <v>775</v>
      </c>
      <c r="C712" s="419" t="s">
        <v>115</v>
      </c>
      <c r="D712" s="40">
        <v>2</v>
      </c>
      <c r="E712" s="385">
        <v>2.6771999999999996</v>
      </c>
      <c r="F712" s="48">
        <f t="shared" si="19"/>
        <v>5.3543999999999992</v>
      </c>
    </row>
    <row r="713" spans="2:6" ht="14.4" x14ac:dyDescent="0.3">
      <c r="B713" s="324" t="s">
        <v>776</v>
      </c>
      <c r="C713" s="328" t="s">
        <v>149</v>
      </c>
      <c r="E713" s="385">
        <v>6.8999999999999995</v>
      </c>
      <c r="F713" s="48">
        <f t="shared" si="19"/>
        <v>0</v>
      </c>
    </row>
    <row r="714" spans="2:6" ht="14.4" x14ac:dyDescent="0.3">
      <c r="B714" s="420" t="s">
        <v>777</v>
      </c>
      <c r="C714" s="328" t="s">
        <v>149</v>
      </c>
      <c r="D714" s="40">
        <v>6</v>
      </c>
      <c r="E714" s="385">
        <v>5.52</v>
      </c>
      <c r="F714" s="48">
        <f t="shared" si="19"/>
        <v>33.119999999999997</v>
      </c>
    </row>
    <row r="715" spans="2:6" ht="14.4" x14ac:dyDescent="0.3">
      <c r="B715" s="324" t="s">
        <v>778</v>
      </c>
      <c r="C715" s="328" t="s">
        <v>149</v>
      </c>
      <c r="E715" s="385">
        <v>8.7354000000000003</v>
      </c>
      <c r="F715" s="48">
        <f t="shared" si="19"/>
        <v>0</v>
      </c>
    </row>
    <row r="716" spans="2:6" ht="14.4" x14ac:dyDescent="0.3">
      <c r="B716" s="420" t="s">
        <v>779</v>
      </c>
      <c r="C716" s="328" t="s">
        <v>149</v>
      </c>
      <c r="D716" s="40">
        <v>6</v>
      </c>
      <c r="E716" s="385">
        <v>3.726</v>
      </c>
      <c r="F716" s="48">
        <f t="shared" si="19"/>
        <v>22.356000000000002</v>
      </c>
    </row>
    <row r="717" spans="2:6" ht="14.4" x14ac:dyDescent="0.3">
      <c r="B717" s="420" t="s">
        <v>780</v>
      </c>
      <c r="C717" s="328" t="s">
        <v>149</v>
      </c>
      <c r="E717" s="385">
        <v>2.8979999999999997</v>
      </c>
      <c r="F717" s="48">
        <f t="shared" si="19"/>
        <v>0</v>
      </c>
    </row>
    <row r="718" spans="2:6" ht="14.4" x14ac:dyDescent="0.3">
      <c r="B718" s="420" t="s">
        <v>783</v>
      </c>
      <c r="C718" s="419" t="s">
        <v>115</v>
      </c>
      <c r="D718" s="40">
        <v>2</v>
      </c>
      <c r="E718" s="385">
        <v>2.3321999999999998</v>
      </c>
      <c r="F718" s="48">
        <f t="shared" si="19"/>
        <v>4.6643999999999997</v>
      </c>
    </row>
    <row r="719" spans="2:6" ht="14.4" x14ac:dyDescent="0.3">
      <c r="B719" s="420" t="s">
        <v>784</v>
      </c>
      <c r="C719" s="419" t="s">
        <v>115</v>
      </c>
      <c r="E719" s="385">
        <v>4.1399999999999997</v>
      </c>
      <c r="F719" s="48">
        <f t="shared" si="19"/>
        <v>0</v>
      </c>
    </row>
    <row r="720" spans="2:6" ht="14.4" x14ac:dyDescent="0.3">
      <c r="B720" s="420" t="s">
        <v>785</v>
      </c>
      <c r="C720" s="419" t="s">
        <v>115</v>
      </c>
      <c r="D720" s="40">
        <v>1</v>
      </c>
      <c r="E720" s="385">
        <v>0.93840000000000001</v>
      </c>
      <c r="F720" s="48">
        <f t="shared" si="19"/>
        <v>0.93840000000000001</v>
      </c>
    </row>
    <row r="721" spans="2:6" ht="14.4" x14ac:dyDescent="0.3">
      <c r="B721" s="420" t="s">
        <v>786</v>
      </c>
      <c r="C721" s="419" t="s">
        <v>115</v>
      </c>
      <c r="D721" s="40">
        <v>2</v>
      </c>
      <c r="E721" s="385">
        <v>11.716199999999999</v>
      </c>
      <c r="F721" s="48">
        <f t="shared" si="19"/>
        <v>23.432399999999998</v>
      </c>
    </row>
    <row r="722" spans="2:6" ht="14.4" x14ac:dyDescent="0.3">
      <c r="B722" s="324" t="s">
        <v>787</v>
      </c>
      <c r="C722" s="328" t="s">
        <v>149</v>
      </c>
      <c r="E722" s="326">
        <v>14</v>
      </c>
      <c r="F722" s="48">
        <f t="shared" si="19"/>
        <v>0</v>
      </c>
    </row>
    <row r="723" spans="2:6" ht="14.4" x14ac:dyDescent="0.3">
      <c r="B723" s="420" t="s">
        <v>788</v>
      </c>
      <c r="C723" s="328" t="s">
        <v>149</v>
      </c>
      <c r="E723" s="326">
        <v>6</v>
      </c>
      <c r="F723" s="48">
        <f t="shared" si="19"/>
        <v>0</v>
      </c>
    </row>
    <row r="724" spans="2:6" ht="14.4" x14ac:dyDescent="0.3">
      <c r="B724" s="324"/>
      <c r="C724" s="328"/>
      <c r="E724" s="328"/>
      <c r="F724" s="48">
        <f t="shared" si="19"/>
        <v>0</v>
      </c>
    </row>
    <row r="725" spans="2:6" ht="14.4" x14ac:dyDescent="0.3">
      <c r="B725" s="324" t="s">
        <v>789</v>
      </c>
      <c r="C725" s="328" t="s">
        <v>115</v>
      </c>
      <c r="E725" s="326">
        <v>40</v>
      </c>
      <c r="F725" s="48">
        <f t="shared" si="19"/>
        <v>0</v>
      </c>
    </row>
    <row r="726" spans="2:6" ht="14.4" x14ac:dyDescent="0.3">
      <c r="B726" s="420" t="s">
        <v>790</v>
      </c>
      <c r="C726" s="328" t="s">
        <v>115</v>
      </c>
      <c r="E726" s="326">
        <v>30</v>
      </c>
      <c r="F726" s="48">
        <f t="shared" si="19"/>
        <v>0</v>
      </c>
    </row>
    <row r="727" spans="2:6" ht="14.4" x14ac:dyDescent="0.3">
      <c r="B727" s="324" t="s">
        <v>791</v>
      </c>
      <c r="C727" s="328" t="s">
        <v>115</v>
      </c>
      <c r="E727" s="326">
        <v>33</v>
      </c>
      <c r="F727" s="48">
        <f t="shared" si="19"/>
        <v>0</v>
      </c>
    </row>
    <row r="728" spans="2:6" ht="14.4" x14ac:dyDescent="0.3">
      <c r="B728" s="420" t="s">
        <v>792</v>
      </c>
      <c r="C728" s="328" t="s">
        <v>115</v>
      </c>
      <c r="E728" s="326">
        <v>23.26</v>
      </c>
      <c r="F728" s="48">
        <f t="shared" si="19"/>
        <v>0</v>
      </c>
    </row>
    <row r="729" spans="2:6" ht="14.4" x14ac:dyDescent="0.3">
      <c r="B729" s="420" t="s">
        <v>793</v>
      </c>
      <c r="C729" s="328" t="s">
        <v>115</v>
      </c>
      <c r="D729" s="40">
        <v>4</v>
      </c>
      <c r="E729" s="326">
        <v>50</v>
      </c>
      <c r="F729" s="48">
        <f t="shared" si="19"/>
        <v>200</v>
      </c>
    </row>
    <row r="730" spans="2:6" ht="14.4" x14ac:dyDescent="0.3">
      <c r="B730" s="324" t="s">
        <v>794</v>
      </c>
      <c r="C730" s="328" t="s">
        <v>115</v>
      </c>
      <c r="E730" s="326">
        <v>7.65</v>
      </c>
      <c r="F730" s="48">
        <f t="shared" si="19"/>
        <v>0</v>
      </c>
    </row>
    <row r="731" spans="2:6" ht="14.4" x14ac:dyDescent="0.3">
      <c r="B731" s="324" t="s">
        <v>795</v>
      </c>
      <c r="C731" s="328" t="s">
        <v>115</v>
      </c>
      <c r="E731" s="326">
        <v>7.65</v>
      </c>
      <c r="F731" s="48">
        <f t="shared" si="19"/>
        <v>0</v>
      </c>
    </row>
    <row r="732" spans="2:6" ht="14.4" x14ac:dyDescent="0.3">
      <c r="B732" s="324" t="s">
        <v>796</v>
      </c>
      <c r="C732" s="328" t="s">
        <v>115</v>
      </c>
      <c r="E732" s="326">
        <v>13.59</v>
      </c>
      <c r="F732" s="48">
        <f t="shared" si="19"/>
        <v>0</v>
      </c>
    </row>
    <row r="733" spans="2:6" ht="14.4" x14ac:dyDescent="0.3">
      <c r="B733" s="324" t="s">
        <v>797</v>
      </c>
      <c r="C733" s="328" t="s">
        <v>115</v>
      </c>
      <c r="E733" s="326">
        <v>0</v>
      </c>
      <c r="F733" s="48">
        <f t="shared" si="19"/>
        <v>0</v>
      </c>
    </row>
    <row r="734" spans="2:6" ht="14.4" x14ac:dyDescent="0.3">
      <c r="B734" s="324" t="s">
        <v>798</v>
      </c>
      <c r="C734" s="328" t="s">
        <v>115</v>
      </c>
      <c r="E734" s="326">
        <v>75</v>
      </c>
      <c r="F734" s="48">
        <f t="shared" si="19"/>
        <v>0</v>
      </c>
    </row>
    <row r="735" spans="2:6" ht="14.4" x14ac:dyDescent="0.3">
      <c r="B735" s="324"/>
      <c r="C735" s="328"/>
      <c r="E735" s="324"/>
      <c r="F735" s="48">
        <f t="shared" si="19"/>
        <v>0</v>
      </c>
    </row>
    <row r="736" spans="2:6" ht="14.4" x14ac:dyDescent="0.3">
      <c r="B736" s="324" t="s">
        <v>799</v>
      </c>
      <c r="C736" s="328" t="s">
        <v>115</v>
      </c>
      <c r="E736" s="326">
        <v>2</v>
      </c>
      <c r="F736" s="48">
        <f t="shared" si="19"/>
        <v>0</v>
      </c>
    </row>
    <row r="737" spans="2:6" ht="14.4" x14ac:dyDescent="0.3">
      <c r="B737" s="324" t="s">
        <v>800</v>
      </c>
      <c r="C737" s="328" t="s">
        <v>115</v>
      </c>
      <c r="E737" s="326">
        <v>1.5</v>
      </c>
      <c r="F737" s="48">
        <f t="shared" si="19"/>
        <v>0</v>
      </c>
    </row>
    <row r="738" spans="2:6" ht="14.4" x14ac:dyDescent="0.3">
      <c r="B738" s="324" t="s">
        <v>491</v>
      </c>
      <c r="C738" s="328" t="s">
        <v>149</v>
      </c>
      <c r="E738" s="326">
        <f>E631</f>
        <v>0</v>
      </c>
      <c r="F738" s="48">
        <f t="shared" si="19"/>
        <v>0</v>
      </c>
    </row>
    <row r="739" spans="2:6" ht="14.4" x14ac:dyDescent="0.3">
      <c r="B739" s="324"/>
      <c r="C739" s="328"/>
      <c r="E739" s="326"/>
      <c r="F739" s="48">
        <f t="shared" si="19"/>
        <v>0</v>
      </c>
    </row>
    <row r="740" spans="2:6" ht="14.4" x14ac:dyDescent="0.3">
      <c r="B740" s="324" t="s">
        <v>801</v>
      </c>
      <c r="C740" s="328" t="s">
        <v>115</v>
      </c>
      <c r="E740" s="326">
        <v>26.4</v>
      </c>
      <c r="F740" s="48">
        <f t="shared" si="19"/>
        <v>0</v>
      </c>
    </row>
    <row r="741" spans="2:6" ht="14.4" x14ac:dyDescent="0.3">
      <c r="B741" s="324" t="s">
        <v>802</v>
      </c>
      <c r="C741" s="328" t="s">
        <v>115</v>
      </c>
      <c r="E741" s="326">
        <v>23</v>
      </c>
      <c r="F741" s="48">
        <f t="shared" si="19"/>
        <v>0</v>
      </c>
    </row>
    <row r="742" spans="2:6" ht="14.4" x14ac:dyDescent="0.3">
      <c r="B742" s="324" t="s">
        <v>803</v>
      </c>
      <c r="C742" s="328" t="s">
        <v>115</v>
      </c>
      <c r="E742" s="326">
        <v>75</v>
      </c>
      <c r="F742" s="48">
        <f t="shared" si="19"/>
        <v>0</v>
      </c>
    </row>
    <row r="743" spans="2:6" ht="14.4" x14ac:dyDescent="0.3">
      <c r="B743" s="324" t="s">
        <v>804</v>
      </c>
      <c r="C743" s="328" t="s">
        <v>115</v>
      </c>
      <c r="E743" s="326">
        <v>22</v>
      </c>
      <c r="F743" s="48">
        <f t="shared" si="19"/>
        <v>0</v>
      </c>
    </row>
    <row r="744" spans="2:6" ht="14.4" x14ac:dyDescent="0.3">
      <c r="B744" s="324" t="s">
        <v>805</v>
      </c>
      <c r="C744" s="328" t="s">
        <v>115</v>
      </c>
      <c r="E744" s="326">
        <v>10</v>
      </c>
      <c r="F744" s="48">
        <f t="shared" si="19"/>
        <v>0</v>
      </c>
    </row>
    <row r="745" spans="2:6" ht="14.4" x14ac:dyDescent="0.3">
      <c r="B745" s="324"/>
      <c r="C745" s="328"/>
      <c r="E745" s="326"/>
      <c r="F745" s="48">
        <f t="shared" si="19"/>
        <v>0</v>
      </c>
    </row>
    <row r="746" spans="2:6" ht="14.4" x14ac:dyDescent="0.3">
      <c r="B746" s="420" t="s">
        <v>806</v>
      </c>
      <c r="C746" s="328" t="s">
        <v>115</v>
      </c>
      <c r="E746" s="326">
        <v>520</v>
      </c>
      <c r="F746" s="48">
        <f t="shared" si="19"/>
        <v>0</v>
      </c>
    </row>
    <row r="747" spans="2:6" ht="14.4" x14ac:dyDescent="0.3">
      <c r="B747" s="420" t="s">
        <v>807</v>
      </c>
      <c r="C747" s="328" t="s">
        <v>115</v>
      </c>
      <c r="E747" s="326">
        <v>230</v>
      </c>
      <c r="F747" s="48">
        <f t="shared" si="19"/>
        <v>0</v>
      </c>
    </row>
    <row r="748" spans="2:6" ht="14.4" x14ac:dyDescent="0.3">
      <c r="B748" s="420" t="s">
        <v>808</v>
      </c>
      <c r="C748" s="328" t="s">
        <v>115</v>
      </c>
      <c r="E748" s="326">
        <v>2800</v>
      </c>
      <c r="F748" s="48">
        <f t="shared" si="19"/>
        <v>0</v>
      </c>
    </row>
    <row r="749" spans="2:6" ht="14.4" x14ac:dyDescent="0.3">
      <c r="B749" s="420" t="s">
        <v>809</v>
      </c>
      <c r="C749" s="328" t="s">
        <v>115</v>
      </c>
      <c r="E749" s="326">
        <v>950</v>
      </c>
      <c r="F749" s="48">
        <f t="shared" si="19"/>
        <v>0</v>
      </c>
    </row>
    <row r="750" spans="2:6" ht="14.4" x14ac:dyDescent="0.3">
      <c r="B750" s="420" t="s">
        <v>745</v>
      </c>
      <c r="C750" s="328" t="s">
        <v>115</v>
      </c>
      <c r="E750" s="326">
        <v>1250</v>
      </c>
      <c r="F750" s="48">
        <f t="shared" si="19"/>
        <v>0</v>
      </c>
    </row>
    <row r="751" spans="2:6" ht="14.4" x14ac:dyDescent="0.3">
      <c r="B751" s="420" t="s">
        <v>810</v>
      </c>
      <c r="C751" s="328" t="s">
        <v>115</v>
      </c>
      <c r="D751" s="40">
        <v>1</v>
      </c>
      <c r="E751" s="334">
        <v>200</v>
      </c>
      <c r="F751" s="48">
        <f t="shared" si="19"/>
        <v>200</v>
      </c>
    </row>
    <row r="752" spans="2:6" ht="14.4" x14ac:dyDescent="0.3">
      <c r="B752" s="420" t="s">
        <v>811</v>
      </c>
      <c r="C752" s="328" t="s">
        <v>115</v>
      </c>
      <c r="E752" s="334">
        <v>60</v>
      </c>
      <c r="F752" s="48">
        <f t="shared" si="19"/>
        <v>0</v>
      </c>
    </row>
    <row r="753" spans="2:6" ht="14.4" x14ac:dyDescent="0.3">
      <c r="B753" s="420" t="s">
        <v>812</v>
      </c>
      <c r="C753" s="328" t="s">
        <v>115</v>
      </c>
      <c r="E753" s="334">
        <v>120</v>
      </c>
      <c r="F753" s="48">
        <f t="shared" si="19"/>
        <v>0</v>
      </c>
    </row>
    <row r="754" spans="2:6" ht="14.4" x14ac:dyDescent="0.3">
      <c r="B754" s="420" t="s">
        <v>813</v>
      </c>
      <c r="C754" s="328" t="s">
        <v>115</v>
      </c>
      <c r="E754" s="326">
        <v>61.33</v>
      </c>
      <c r="F754" s="48">
        <f t="shared" si="19"/>
        <v>0</v>
      </c>
    </row>
    <row r="755" spans="2:6" ht="14.4" x14ac:dyDescent="0.3">
      <c r="B755" s="420" t="s">
        <v>814</v>
      </c>
      <c r="C755" s="328" t="s">
        <v>115</v>
      </c>
      <c r="D755" s="40">
        <v>1</v>
      </c>
      <c r="E755" s="334">
        <v>100</v>
      </c>
      <c r="F755" s="48">
        <f t="shared" si="19"/>
        <v>100</v>
      </c>
    </row>
    <row r="756" spans="2:6" ht="14.4" x14ac:dyDescent="0.3">
      <c r="B756" s="425" t="s">
        <v>815</v>
      </c>
      <c r="C756" s="328" t="s">
        <v>115</v>
      </c>
      <c r="E756" s="334">
        <v>250</v>
      </c>
      <c r="F756" s="48">
        <f t="shared" si="19"/>
        <v>0</v>
      </c>
    </row>
    <row r="757" spans="2:6" ht="43.2" x14ac:dyDescent="0.3">
      <c r="B757" s="425" t="s">
        <v>816</v>
      </c>
      <c r="C757" s="328" t="s">
        <v>115</v>
      </c>
      <c r="E757" s="334">
        <v>250</v>
      </c>
      <c r="F757" s="48">
        <f t="shared" si="19"/>
        <v>0</v>
      </c>
    </row>
    <row r="758" spans="2:6" ht="14.4" x14ac:dyDescent="0.3">
      <c r="B758" s="425" t="s">
        <v>817</v>
      </c>
      <c r="C758" s="328" t="s">
        <v>115</v>
      </c>
      <c r="E758" s="326">
        <v>300</v>
      </c>
      <c r="F758" s="48">
        <f t="shared" si="19"/>
        <v>0</v>
      </c>
    </row>
    <row r="759" spans="2:6" ht="14.4" x14ac:dyDescent="0.3">
      <c r="B759" s="425" t="s">
        <v>818</v>
      </c>
      <c r="C759" s="328" t="s">
        <v>115</v>
      </c>
      <c r="E759" s="334">
        <v>1200</v>
      </c>
      <c r="F759" s="48">
        <f t="shared" si="19"/>
        <v>0</v>
      </c>
    </row>
    <row r="760" spans="2:6" ht="14.4" x14ac:dyDescent="0.3">
      <c r="B760" s="425"/>
      <c r="C760" s="328"/>
      <c r="E760" s="334"/>
      <c r="F760" s="48"/>
    </row>
    <row r="761" spans="2:6" ht="14.4" x14ac:dyDescent="0.3">
      <c r="B761" s="496" t="s">
        <v>1063</v>
      </c>
      <c r="C761" s="500" t="s">
        <v>115</v>
      </c>
      <c r="D761" s="447">
        <v>0</v>
      </c>
      <c r="E761" s="501">
        <v>15000</v>
      </c>
      <c r="F761" s="448">
        <f t="shared" si="19"/>
        <v>0</v>
      </c>
    </row>
    <row r="762" spans="2:6" ht="14.4" x14ac:dyDescent="0.3">
      <c r="B762" s="425"/>
      <c r="C762" s="328"/>
      <c r="E762" s="334"/>
      <c r="F762" s="48"/>
    </row>
    <row r="763" spans="2:6" ht="30.75" customHeight="1" x14ac:dyDescent="0.2">
      <c r="B763" s="552" t="s">
        <v>1064</v>
      </c>
      <c r="C763" s="553" t="s">
        <v>115</v>
      </c>
      <c r="D763" s="554">
        <v>1</v>
      </c>
      <c r="E763" s="556">
        <v>300</v>
      </c>
      <c r="F763" s="555">
        <f t="shared" si="19"/>
        <v>300</v>
      </c>
    </row>
    <row r="764" spans="2:6" ht="15" customHeight="1" x14ac:dyDescent="0.2">
      <c r="B764" s="552"/>
      <c r="C764" s="553"/>
      <c r="D764" s="554"/>
      <c r="E764" s="556"/>
      <c r="F764" s="555"/>
    </row>
    <row r="767" spans="2:6" ht="14.4" x14ac:dyDescent="0.3">
      <c r="B767" s="325" t="s">
        <v>840</v>
      </c>
    </row>
    <row r="768" spans="2:6" ht="14.4" x14ac:dyDescent="0.3">
      <c r="B768" s="327" t="s">
        <v>354</v>
      </c>
    </row>
    <row r="769" spans="2:6" ht="14.4" x14ac:dyDescent="0.3">
      <c r="B769" s="324"/>
    </row>
    <row r="770" spans="2:6" ht="14.4" x14ac:dyDescent="0.3">
      <c r="B770" s="324"/>
    </row>
    <row r="771" spans="2:6" ht="14.4" x14ac:dyDescent="0.3">
      <c r="B771" s="420" t="s">
        <v>841</v>
      </c>
      <c r="C771" s="328" t="s">
        <v>149</v>
      </c>
      <c r="E771" s="385">
        <v>165.6</v>
      </c>
      <c r="F771" s="48">
        <f>E771*D771</f>
        <v>0</v>
      </c>
    </row>
    <row r="772" spans="2:6" ht="14.4" x14ac:dyDescent="0.3">
      <c r="B772" s="420" t="s">
        <v>842</v>
      </c>
      <c r="C772" s="328" t="s">
        <v>149</v>
      </c>
      <c r="E772" s="385">
        <v>89.699999999999989</v>
      </c>
      <c r="F772" s="48">
        <f t="shared" ref="F772:F835" si="20">E772*D772</f>
        <v>0</v>
      </c>
    </row>
    <row r="773" spans="2:6" ht="14.4" x14ac:dyDescent="0.3">
      <c r="B773" s="420" t="s">
        <v>843</v>
      </c>
      <c r="C773" s="328" t="s">
        <v>149</v>
      </c>
      <c r="E773" s="385">
        <v>66.239999999999995</v>
      </c>
      <c r="F773" s="48">
        <f t="shared" si="20"/>
        <v>0</v>
      </c>
    </row>
    <row r="774" spans="2:6" ht="14.4" x14ac:dyDescent="0.3">
      <c r="B774" s="420" t="s">
        <v>844</v>
      </c>
      <c r="C774" s="328" t="s">
        <v>149</v>
      </c>
      <c r="E774" s="385">
        <v>0</v>
      </c>
      <c r="F774" s="48">
        <f t="shared" si="20"/>
        <v>0</v>
      </c>
    </row>
    <row r="775" spans="2:6" ht="14.4" x14ac:dyDescent="0.3">
      <c r="B775" s="420" t="s">
        <v>845</v>
      </c>
      <c r="C775" s="328" t="s">
        <v>149</v>
      </c>
      <c r="E775" s="385">
        <v>85.104599999999991</v>
      </c>
      <c r="F775" s="48">
        <f t="shared" si="20"/>
        <v>0</v>
      </c>
    </row>
    <row r="776" spans="2:6" ht="14.4" x14ac:dyDescent="0.3">
      <c r="B776" s="420" t="s">
        <v>846</v>
      </c>
      <c r="C776" s="328" t="s">
        <v>149</v>
      </c>
      <c r="E776" s="385">
        <v>84.179999999999993</v>
      </c>
      <c r="F776" s="48">
        <f t="shared" si="20"/>
        <v>0</v>
      </c>
    </row>
    <row r="777" spans="2:6" ht="14.4" x14ac:dyDescent="0.3">
      <c r="B777" s="324" t="s">
        <v>847</v>
      </c>
      <c r="C777" s="328" t="s">
        <v>149</v>
      </c>
      <c r="E777" s="385">
        <v>68.77</v>
      </c>
      <c r="F777" s="48">
        <f t="shared" si="20"/>
        <v>0</v>
      </c>
    </row>
    <row r="778" spans="2:6" ht="14.4" x14ac:dyDescent="0.3">
      <c r="B778" s="324" t="s">
        <v>848</v>
      </c>
      <c r="C778" s="328" t="s">
        <v>149</v>
      </c>
      <c r="E778" s="385">
        <v>55.199999999999996</v>
      </c>
      <c r="F778" s="48">
        <f t="shared" si="20"/>
        <v>0</v>
      </c>
    </row>
    <row r="779" spans="2:6" ht="14.4" x14ac:dyDescent="0.3">
      <c r="B779" s="420" t="s">
        <v>849</v>
      </c>
      <c r="C779" s="328" t="s">
        <v>149</v>
      </c>
      <c r="D779" s="40">
        <v>6</v>
      </c>
      <c r="E779" s="385">
        <v>55.199999999999996</v>
      </c>
      <c r="F779" s="48">
        <f t="shared" si="20"/>
        <v>331.2</v>
      </c>
    </row>
    <row r="780" spans="2:6" ht="14.4" x14ac:dyDescent="0.3">
      <c r="B780" s="420" t="s">
        <v>850</v>
      </c>
      <c r="C780" s="328" t="s">
        <v>149</v>
      </c>
      <c r="E780" s="385">
        <v>42.779999999999994</v>
      </c>
      <c r="F780" s="48">
        <f t="shared" si="20"/>
        <v>0</v>
      </c>
    </row>
    <row r="781" spans="2:6" ht="14.4" x14ac:dyDescent="0.3">
      <c r="B781" s="324" t="s">
        <v>851</v>
      </c>
      <c r="C781" s="328" t="s">
        <v>149</v>
      </c>
      <c r="E781" s="385">
        <v>32.659999999999997</v>
      </c>
      <c r="F781" s="48">
        <f t="shared" si="20"/>
        <v>0</v>
      </c>
    </row>
    <row r="782" spans="2:6" ht="14.4" x14ac:dyDescent="0.3">
      <c r="B782" s="420" t="s">
        <v>852</v>
      </c>
      <c r="C782" s="328" t="s">
        <v>149</v>
      </c>
      <c r="D782" s="40">
        <v>47</v>
      </c>
      <c r="E782" s="385">
        <v>19.549999999999997</v>
      </c>
      <c r="F782" s="48">
        <f t="shared" si="20"/>
        <v>918.84999999999991</v>
      </c>
    </row>
    <row r="783" spans="2:6" ht="14.4" x14ac:dyDescent="0.3">
      <c r="B783" s="324" t="s">
        <v>853</v>
      </c>
      <c r="C783" s="328" t="s">
        <v>149</v>
      </c>
      <c r="E783" s="385">
        <v>16.099999999999998</v>
      </c>
      <c r="F783" s="48">
        <f t="shared" si="20"/>
        <v>0</v>
      </c>
    </row>
    <row r="784" spans="2:6" ht="14.4" x14ac:dyDescent="0.3">
      <c r="B784" s="324" t="s">
        <v>854</v>
      </c>
      <c r="C784" s="328" t="s">
        <v>149</v>
      </c>
      <c r="E784" s="385">
        <v>19.549999999999997</v>
      </c>
      <c r="F784" s="48">
        <f t="shared" si="20"/>
        <v>0</v>
      </c>
    </row>
    <row r="785" spans="2:6" ht="14.4" x14ac:dyDescent="0.3">
      <c r="B785" s="420" t="s">
        <v>853</v>
      </c>
      <c r="C785" s="419" t="s">
        <v>149</v>
      </c>
      <c r="E785" s="385">
        <v>16.559999999999999</v>
      </c>
      <c r="F785" s="48">
        <f t="shared" si="20"/>
        <v>0</v>
      </c>
    </row>
    <row r="786" spans="2:6" ht="14.4" x14ac:dyDescent="0.3">
      <c r="B786" s="420" t="s">
        <v>764</v>
      </c>
      <c r="C786" s="419" t="s">
        <v>149</v>
      </c>
      <c r="D786" s="40">
        <v>70</v>
      </c>
      <c r="E786" s="385">
        <f>(2415.3/(83*6))*1.38</f>
        <v>6.6930000000000005</v>
      </c>
      <c r="F786" s="48">
        <f t="shared" si="20"/>
        <v>468.51000000000005</v>
      </c>
    </row>
    <row r="787" spans="2:6" ht="14.4" x14ac:dyDescent="0.3">
      <c r="B787" s="420" t="s">
        <v>855</v>
      </c>
      <c r="C787" s="419" t="s">
        <v>149</v>
      </c>
      <c r="E787" s="385">
        <v>6.8999999999999995</v>
      </c>
      <c r="F787" s="48">
        <f t="shared" si="20"/>
        <v>0</v>
      </c>
    </row>
    <row r="788" spans="2:6" ht="14.4" x14ac:dyDescent="0.3">
      <c r="B788" s="420" t="s">
        <v>856</v>
      </c>
      <c r="C788" s="419" t="s">
        <v>149</v>
      </c>
      <c r="E788" s="385">
        <f>(2415.3/(83*6))*1.38</f>
        <v>6.6930000000000005</v>
      </c>
      <c r="F788" s="48">
        <f t="shared" si="20"/>
        <v>0</v>
      </c>
    </row>
    <row r="789" spans="2:6" ht="14.4" x14ac:dyDescent="0.3">
      <c r="B789" s="420"/>
      <c r="C789" s="419"/>
      <c r="E789" s="385">
        <v>0</v>
      </c>
      <c r="F789" s="48">
        <f t="shared" si="20"/>
        <v>0</v>
      </c>
    </row>
    <row r="790" spans="2:6" ht="14.4" x14ac:dyDescent="0.3">
      <c r="B790" s="335" t="s">
        <v>857</v>
      </c>
      <c r="C790" s="328"/>
      <c r="E790" s="385">
        <v>0</v>
      </c>
      <c r="F790" s="48">
        <f t="shared" si="20"/>
        <v>0</v>
      </c>
    </row>
    <row r="791" spans="2:6" ht="14.4" x14ac:dyDescent="0.3">
      <c r="B791" s="420"/>
      <c r="C791" s="328" t="s">
        <v>115</v>
      </c>
      <c r="E791" s="385">
        <v>0</v>
      </c>
      <c r="F791" s="48">
        <f t="shared" si="20"/>
        <v>0</v>
      </c>
    </row>
    <row r="792" spans="2:6" ht="14.4" x14ac:dyDescent="0.3">
      <c r="B792" t="s">
        <v>858</v>
      </c>
      <c r="C792" s="328" t="s">
        <v>115</v>
      </c>
      <c r="E792" s="385">
        <v>676.19999999999993</v>
      </c>
      <c r="F792" s="48">
        <f t="shared" si="20"/>
        <v>0</v>
      </c>
    </row>
    <row r="793" spans="2:6" ht="14.4" x14ac:dyDescent="0.3">
      <c r="B793" t="s">
        <v>859</v>
      </c>
      <c r="C793" s="328" t="s">
        <v>115</v>
      </c>
      <c r="E793" s="385">
        <v>896.99999999999989</v>
      </c>
      <c r="F793" s="48">
        <f t="shared" si="20"/>
        <v>0</v>
      </c>
    </row>
    <row r="794" spans="2:6" ht="14.4" x14ac:dyDescent="0.3">
      <c r="B794" t="s">
        <v>860</v>
      </c>
      <c r="C794" s="328" t="s">
        <v>115</v>
      </c>
      <c r="E794" s="385">
        <v>1517.9999999999998</v>
      </c>
      <c r="F794" s="48">
        <f t="shared" si="20"/>
        <v>0</v>
      </c>
    </row>
    <row r="795" spans="2:6" ht="14.4" x14ac:dyDescent="0.3">
      <c r="B795" t="s">
        <v>861</v>
      </c>
      <c r="C795" s="328" t="s">
        <v>115</v>
      </c>
      <c r="E795" s="385">
        <v>634.79999999999995</v>
      </c>
      <c r="F795" s="48">
        <f t="shared" si="20"/>
        <v>0</v>
      </c>
    </row>
    <row r="796" spans="2:6" ht="14.4" x14ac:dyDescent="0.3">
      <c r="B796" t="s">
        <v>862</v>
      </c>
      <c r="C796" s="328" t="s">
        <v>115</v>
      </c>
      <c r="E796" s="385">
        <v>800.4</v>
      </c>
      <c r="F796" s="48">
        <f t="shared" si="20"/>
        <v>0</v>
      </c>
    </row>
    <row r="797" spans="2:6" ht="14.4" x14ac:dyDescent="0.3">
      <c r="B797" t="s">
        <v>863</v>
      </c>
      <c r="C797" s="328" t="s">
        <v>115</v>
      </c>
      <c r="E797" s="385">
        <v>441.59999999999997</v>
      </c>
      <c r="F797" s="48">
        <f t="shared" si="20"/>
        <v>0</v>
      </c>
    </row>
    <row r="798" spans="2:6" ht="14.4" x14ac:dyDescent="0.3">
      <c r="B798" s="420" t="s">
        <v>864</v>
      </c>
      <c r="C798" s="328" t="s">
        <v>115</v>
      </c>
      <c r="E798" s="385">
        <v>579.59999999999991</v>
      </c>
      <c r="F798" s="48">
        <f t="shared" si="20"/>
        <v>0</v>
      </c>
    </row>
    <row r="799" spans="2:6" ht="14.4" x14ac:dyDescent="0.3">
      <c r="B799" s="420" t="s">
        <v>865</v>
      </c>
      <c r="C799" s="328" t="s">
        <v>115</v>
      </c>
      <c r="E799" s="385">
        <v>776.09819999999991</v>
      </c>
      <c r="F799" s="48">
        <f t="shared" si="20"/>
        <v>0</v>
      </c>
    </row>
    <row r="800" spans="2:6" ht="14.4" x14ac:dyDescent="0.3">
      <c r="B800" s="420" t="s">
        <v>866</v>
      </c>
      <c r="C800" s="328" t="s">
        <v>115</v>
      </c>
      <c r="E800" s="385">
        <v>777.4781999999999</v>
      </c>
      <c r="F800" s="48">
        <f t="shared" si="20"/>
        <v>0</v>
      </c>
    </row>
    <row r="801" spans="2:6" ht="14.4" x14ac:dyDescent="0.3">
      <c r="B801" s="420" t="s">
        <v>867</v>
      </c>
      <c r="C801" s="328" t="s">
        <v>115</v>
      </c>
      <c r="E801" s="385">
        <v>524.4</v>
      </c>
      <c r="F801" s="48">
        <f t="shared" si="20"/>
        <v>0</v>
      </c>
    </row>
    <row r="802" spans="2:6" ht="14.4" x14ac:dyDescent="0.3">
      <c r="B802" s="420" t="s">
        <v>868</v>
      </c>
      <c r="C802" s="328" t="s">
        <v>115</v>
      </c>
      <c r="E802" s="385">
        <v>496.79999999999995</v>
      </c>
      <c r="F802" s="48">
        <f t="shared" si="20"/>
        <v>0</v>
      </c>
    </row>
    <row r="803" spans="2:6" ht="14.4" x14ac:dyDescent="0.3">
      <c r="B803" s="420" t="s">
        <v>869</v>
      </c>
      <c r="C803" s="328" t="s">
        <v>115</v>
      </c>
      <c r="E803" s="385">
        <v>745.19999999999993</v>
      </c>
      <c r="F803" s="48">
        <f t="shared" si="20"/>
        <v>0</v>
      </c>
    </row>
    <row r="804" spans="2:6" ht="14.4" x14ac:dyDescent="0.3">
      <c r="B804" s="420" t="s">
        <v>870</v>
      </c>
      <c r="C804" s="328" t="s">
        <v>115</v>
      </c>
      <c r="E804" s="385">
        <v>621</v>
      </c>
      <c r="F804" s="48">
        <f t="shared" si="20"/>
        <v>0</v>
      </c>
    </row>
    <row r="805" spans="2:6" ht="14.4" x14ac:dyDescent="0.3">
      <c r="B805" s="420" t="s">
        <v>871</v>
      </c>
      <c r="C805" s="328" t="s">
        <v>115</v>
      </c>
      <c r="E805" s="385">
        <v>496.79999999999995</v>
      </c>
      <c r="F805" s="48">
        <f t="shared" si="20"/>
        <v>0</v>
      </c>
    </row>
    <row r="806" spans="2:6" ht="14.4" x14ac:dyDescent="0.3">
      <c r="B806" s="420" t="s">
        <v>872</v>
      </c>
      <c r="C806" s="328" t="s">
        <v>115</v>
      </c>
      <c r="E806" s="385">
        <v>441.59999999999997</v>
      </c>
      <c r="F806" s="48">
        <f t="shared" si="20"/>
        <v>0</v>
      </c>
    </row>
    <row r="807" spans="2:6" ht="14.4" x14ac:dyDescent="0.3">
      <c r="B807" s="420" t="s">
        <v>873</v>
      </c>
      <c r="C807" s="328" t="s">
        <v>115</v>
      </c>
      <c r="E807" s="385">
        <v>262.2</v>
      </c>
      <c r="F807" s="48">
        <f t="shared" si="20"/>
        <v>0</v>
      </c>
    </row>
    <row r="808" spans="2:6" ht="14.4" x14ac:dyDescent="0.3">
      <c r="B808" s="420" t="s">
        <v>874</v>
      </c>
      <c r="C808" s="328" t="s">
        <v>115</v>
      </c>
      <c r="E808" s="385">
        <v>345</v>
      </c>
      <c r="F808" s="48">
        <f t="shared" si="20"/>
        <v>0</v>
      </c>
    </row>
    <row r="809" spans="2:6" ht="14.4" x14ac:dyDescent="0.3">
      <c r="B809" s="420" t="s">
        <v>875</v>
      </c>
      <c r="C809" s="328" t="s">
        <v>115</v>
      </c>
      <c r="E809" s="385">
        <v>262.2</v>
      </c>
      <c r="F809" s="48">
        <f t="shared" si="20"/>
        <v>0</v>
      </c>
    </row>
    <row r="810" spans="2:6" ht="14.4" x14ac:dyDescent="0.3">
      <c r="B810" s="420" t="s">
        <v>876</v>
      </c>
      <c r="C810" s="328" t="s">
        <v>115</v>
      </c>
      <c r="E810" s="385">
        <v>455.4</v>
      </c>
      <c r="F810" s="48">
        <f t="shared" si="20"/>
        <v>0</v>
      </c>
    </row>
    <row r="811" spans="2:6" ht="14.4" x14ac:dyDescent="0.3">
      <c r="B811" s="420" t="s">
        <v>877</v>
      </c>
      <c r="C811" s="328" t="s">
        <v>115</v>
      </c>
      <c r="E811" s="385">
        <v>117.645</v>
      </c>
      <c r="F811" s="48">
        <f t="shared" si="20"/>
        <v>0</v>
      </c>
    </row>
    <row r="812" spans="2:6" ht="14.4" x14ac:dyDescent="0.3">
      <c r="B812" s="420" t="s">
        <v>878</v>
      </c>
      <c r="C812" s="328" t="s">
        <v>115</v>
      </c>
      <c r="D812" s="40">
        <v>1</v>
      </c>
      <c r="E812" s="385">
        <v>289.79999999999995</v>
      </c>
      <c r="F812" s="48">
        <f t="shared" si="20"/>
        <v>289.79999999999995</v>
      </c>
    </row>
    <row r="813" spans="2:6" ht="14.4" x14ac:dyDescent="0.3">
      <c r="B813" s="420" t="s">
        <v>879</v>
      </c>
      <c r="C813" s="328" t="s">
        <v>115</v>
      </c>
      <c r="D813" s="40">
        <v>1</v>
      </c>
      <c r="E813" s="385">
        <v>85.559999999999988</v>
      </c>
      <c r="F813" s="48">
        <f t="shared" si="20"/>
        <v>85.559999999999988</v>
      </c>
    </row>
    <row r="814" spans="2:6" ht="14.4" x14ac:dyDescent="0.3">
      <c r="B814" s="420" t="s">
        <v>880</v>
      </c>
      <c r="C814" s="328" t="s">
        <v>115</v>
      </c>
      <c r="E814" s="385">
        <v>84.179999999999993</v>
      </c>
      <c r="F814" s="48">
        <f t="shared" si="20"/>
        <v>0</v>
      </c>
    </row>
    <row r="815" spans="2:6" ht="14.4" x14ac:dyDescent="0.3">
      <c r="B815" s="420" t="s">
        <v>881</v>
      </c>
      <c r="C815" s="419" t="s">
        <v>115</v>
      </c>
      <c r="E815" s="385">
        <v>62.099999999999994</v>
      </c>
      <c r="F815" s="48">
        <f t="shared" si="20"/>
        <v>0</v>
      </c>
    </row>
    <row r="816" spans="2:6" ht="14.4" x14ac:dyDescent="0.3">
      <c r="B816" s="420" t="s">
        <v>882</v>
      </c>
      <c r="C816" s="328" t="s">
        <v>115</v>
      </c>
      <c r="D816" s="40">
        <v>1</v>
      </c>
      <c r="E816" s="385">
        <v>24.839999999999996</v>
      </c>
      <c r="F816" s="48">
        <f t="shared" si="20"/>
        <v>24.839999999999996</v>
      </c>
    </row>
    <row r="817" spans="2:6" ht="14.4" x14ac:dyDescent="0.3">
      <c r="B817" s="420" t="s">
        <v>883</v>
      </c>
      <c r="C817" s="328" t="s">
        <v>115</v>
      </c>
      <c r="D817" s="40">
        <v>3</v>
      </c>
      <c r="E817" s="385">
        <v>22.08</v>
      </c>
      <c r="F817" s="48">
        <f t="shared" si="20"/>
        <v>66.239999999999995</v>
      </c>
    </row>
    <row r="818" spans="2:6" ht="14.4" x14ac:dyDescent="0.3">
      <c r="B818" s="420" t="s">
        <v>884</v>
      </c>
      <c r="C818" s="328" t="s">
        <v>115</v>
      </c>
      <c r="D818" s="40">
        <v>5</v>
      </c>
      <c r="E818" s="385">
        <v>16.559999999999999</v>
      </c>
      <c r="F818" s="48">
        <f t="shared" si="20"/>
        <v>82.8</v>
      </c>
    </row>
    <row r="819" spans="2:6" ht="14.4" x14ac:dyDescent="0.3">
      <c r="B819" s="420" t="s">
        <v>885</v>
      </c>
      <c r="C819" s="419" t="s">
        <v>115</v>
      </c>
      <c r="D819" s="40">
        <v>5</v>
      </c>
      <c r="E819" s="385">
        <v>22.08</v>
      </c>
      <c r="F819" s="48">
        <f t="shared" si="20"/>
        <v>110.39999999999999</v>
      </c>
    </row>
    <row r="820" spans="2:6" ht="14.4" x14ac:dyDescent="0.3">
      <c r="B820" s="420" t="s">
        <v>886</v>
      </c>
      <c r="C820" s="419" t="s">
        <v>115</v>
      </c>
      <c r="E820" s="385">
        <v>22.08</v>
      </c>
      <c r="F820" s="48">
        <f t="shared" si="20"/>
        <v>0</v>
      </c>
    </row>
    <row r="821" spans="2:6" ht="14.4" x14ac:dyDescent="0.3">
      <c r="B821" s="420" t="s">
        <v>766</v>
      </c>
      <c r="C821" s="419" t="s">
        <v>115</v>
      </c>
      <c r="E821" s="385">
        <v>6.4859999999999998</v>
      </c>
      <c r="F821" s="48">
        <f t="shared" si="20"/>
        <v>0</v>
      </c>
    </row>
    <row r="822" spans="2:6" ht="14.4" x14ac:dyDescent="0.3">
      <c r="B822" s="420" t="s">
        <v>887</v>
      </c>
      <c r="C822" s="419" t="s">
        <v>115</v>
      </c>
      <c r="E822" s="385">
        <v>22.08</v>
      </c>
      <c r="F822" s="48">
        <f t="shared" si="20"/>
        <v>0</v>
      </c>
    </row>
    <row r="823" spans="2:6" ht="14.4" x14ac:dyDescent="0.3">
      <c r="B823" s="420" t="s">
        <v>888</v>
      </c>
      <c r="C823" s="419" t="s">
        <v>115</v>
      </c>
      <c r="E823" s="385">
        <v>22.08</v>
      </c>
      <c r="F823" s="48">
        <f t="shared" si="20"/>
        <v>0</v>
      </c>
    </row>
    <row r="824" spans="2:6" ht="14.4" x14ac:dyDescent="0.3">
      <c r="B824" s="420" t="s">
        <v>772</v>
      </c>
      <c r="C824" s="419" t="s">
        <v>115</v>
      </c>
      <c r="D824" s="40">
        <v>17</v>
      </c>
      <c r="E824" s="385">
        <v>16.559999999999999</v>
      </c>
      <c r="F824" s="48">
        <f t="shared" si="20"/>
        <v>281.52</v>
      </c>
    </row>
    <row r="825" spans="2:6" ht="14.4" x14ac:dyDescent="0.3">
      <c r="B825" s="420" t="s">
        <v>773</v>
      </c>
      <c r="C825" s="419" t="s">
        <v>115</v>
      </c>
      <c r="D825" s="40">
        <v>6</v>
      </c>
      <c r="E825" s="385">
        <v>16.559999999999999</v>
      </c>
      <c r="F825" s="48">
        <f t="shared" si="20"/>
        <v>99.359999999999985</v>
      </c>
    </row>
    <row r="826" spans="2:6" ht="14.4" x14ac:dyDescent="0.3">
      <c r="B826" s="420" t="s">
        <v>889</v>
      </c>
      <c r="C826" s="419" t="s">
        <v>115</v>
      </c>
      <c r="E826" s="385">
        <v>19.32</v>
      </c>
      <c r="F826" s="48">
        <f t="shared" si="20"/>
        <v>0</v>
      </c>
    </row>
    <row r="827" spans="2:6" ht="14.4" x14ac:dyDescent="0.3">
      <c r="B827" s="420" t="s">
        <v>890</v>
      </c>
      <c r="C827" s="419" t="s">
        <v>115</v>
      </c>
      <c r="E827" s="385">
        <v>0.89699999999999991</v>
      </c>
      <c r="F827" s="48">
        <f t="shared" si="20"/>
        <v>0</v>
      </c>
    </row>
    <row r="828" spans="2:6" ht="14.4" x14ac:dyDescent="0.3">
      <c r="B828" s="420" t="s">
        <v>891</v>
      </c>
      <c r="C828" s="419" t="s">
        <v>115</v>
      </c>
      <c r="E828" s="385">
        <v>0.89699999999999991</v>
      </c>
      <c r="F828" s="48">
        <f t="shared" si="20"/>
        <v>0</v>
      </c>
    </row>
    <row r="829" spans="2:6" ht="14.4" x14ac:dyDescent="0.3">
      <c r="B829" s="420"/>
      <c r="C829" s="419"/>
      <c r="E829" s="385">
        <v>0</v>
      </c>
      <c r="F829" s="48">
        <f t="shared" si="20"/>
        <v>0</v>
      </c>
    </row>
    <row r="830" spans="2:6" ht="14.4" x14ac:dyDescent="0.3">
      <c r="B830" s="420"/>
      <c r="C830" s="419"/>
      <c r="E830" s="385">
        <v>0</v>
      </c>
      <c r="F830" s="48">
        <f t="shared" si="20"/>
        <v>0</v>
      </c>
    </row>
    <row r="831" spans="2:6" ht="14.4" x14ac:dyDescent="0.3">
      <c r="B831" s="324" t="s">
        <v>892</v>
      </c>
      <c r="C831" s="328" t="s">
        <v>115</v>
      </c>
      <c r="E831" s="385">
        <v>2.6219999999999999</v>
      </c>
      <c r="F831" s="48">
        <f t="shared" si="20"/>
        <v>0</v>
      </c>
    </row>
    <row r="832" spans="2:6" ht="14.4" x14ac:dyDescent="0.3">
      <c r="B832" s="324" t="s">
        <v>491</v>
      </c>
      <c r="C832" s="328" t="s">
        <v>149</v>
      </c>
      <c r="E832" s="385">
        <v>2.76</v>
      </c>
      <c r="F832" s="48">
        <f t="shared" si="20"/>
        <v>0</v>
      </c>
    </row>
    <row r="833" spans="2:6" ht="14.4" x14ac:dyDescent="0.3">
      <c r="B833" s="324" t="s">
        <v>801</v>
      </c>
      <c r="C833" s="328" t="s">
        <v>115</v>
      </c>
      <c r="E833" s="385">
        <v>36.431999999999995</v>
      </c>
      <c r="F833" s="48">
        <f t="shared" si="20"/>
        <v>0</v>
      </c>
    </row>
    <row r="834" spans="2:6" ht="14.4" x14ac:dyDescent="0.3">
      <c r="B834" s="324" t="s">
        <v>802</v>
      </c>
      <c r="C834" s="328" t="s">
        <v>115</v>
      </c>
      <c r="E834" s="385">
        <v>31.74</v>
      </c>
      <c r="F834" s="48">
        <f t="shared" si="20"/>
        <v>0</v>
      </c>
    </row>
    <row r="835" spans="2:6" ht="14.4" x14ac:dyDescent="0.3">
      <c r="B835" s="324"/>
      <c r="C835" s="328"/>
      <c r="E835" s="385">
        <v>0</v>
      </c>
      <c r="F835" s="48">
        <f t="shared" si="20"/>
        <v>0</v>
      </c>
    </row>
    <row r="836" spans="2:6" ht="14.4" x14ac:dyDescent="0.3">
      <c r="B836" s="426" t="s">
        <v>893</v>
      </c>
      <c r="C836" s="328"/>
      <c r="E836" s="385">
        <v>0</v>
      </c>
      <c r="F836" s="48">
        <f t="shared" ref="F836:F851" si="21">E836*D836</f>
        <v>0</v>
      </c>
    </row>
    <row r="837" spans="2:6" ht="14.4" x14ac:dyDescent="0.3">
      <c r="B837" s="324"/>
      <c r="C837" s="328"/>
      <c r="E837" s="385">
        <v>0</v>
      </c>
      <c r="F837" s="48">
        <f t="shared" si="21"/>
        <v>0</v>
      </c>
    </row>
    <row r="838" spans="2:6" ht="14.4" x14ac:dyDescent="0.3">
      <c r="B838" s="420" t="s">
        <v>894</v>
      </c>
      <c r="C838" s="328" t="s">
        <v>115</v>
      </c>
      <c r="E838" s="385">
        <v>362.13959999999997</v>
      </c>
      <c r="F838" s="48">
        <f t="shared" si="21"/>
        <v>0</v>
      </c>
    </row>
    <row r="839" spans="2:6" ht="14.4" x14ac:dyDescent="0.3">
      <c r="B839" s="420" t="s">
        <v>895</v>
      </c>
      <c r="C839" s="328" t="s">
        <v>115</v>
      </c>
      <c r="E839" s="385">
        <v>827.99999999999989</v>
      </c>
      <c r="F839" s="48">
        <f t="shared" si="21"/>
        <v>0</v>
      </c>
    </row>
    <row r="840" spans="2:6" ht="14.4" x14ac:dyDescent="0.3">
      <c r="B840" s="420" t="s">
        <v>896</v>
      </c>
      <c r="C840" s="328" t="s">
        <v>115</v>
      </c>
      <c r="E840" s="385">
        <v>552</v>
      </c>
      <c r="F840" s="48">
        <f t="shared" si="21"/>
        <v>0</v>
      </c>
    </row>
    <row r="841" spans="2:6" ht="14.4" x14ac:dyDescent="0.3">
      <c r="B841" s="420"/>
      <c r="C841" s="328"/>
      <c r="E841" s="385">
        <v>0</v>
      </c>
      <c r="F841" s="48">
        <f t="shared" si="21"/>
        <v>0</v>
      </c>
    </row>
    <row r="842" spans="2:6" ht="14.4" x14ac:dyDescent="0.3">
      <c r="B842" s="420" t="s">
        <v>897</v>
      </c>
      <c r="C842" s="328" t="s">
        <v>115</v>
      </c>
      <c r="E842" s="385">
        <v>690</v>
      </c>
      <c r="F842" s="48">
        <f t="shared" si="21"/>
        <v>0</v>
      </c>
    </row>
    <row r="843" spans="2:6" ht="14.4" x14ac:dyDescent="0.3">
      <c r="B843" s="420" t="s">
        <v>898</v>
      </c>
      <c r="C843" s="328" t="s">
        <v>115</v>
      </c>
      <c r="E843" s="385">
        <v>413.99999999999994</v>
      </c>
      <c r="F843" s="48">
        <f t="shared" si="21"/>
        <v>0</v>
      </c>
    </row>
    <row r="844" spans="2:6" ht="14.4" x14ac:dyDescent="0.3">
      <c r="B844" s="420" t="s">
        <v>899</v>
      </c>
      <c r="C844" s="328" t="s">
        <v>115</v>
      </c>
      <c r="E844" s="385">
        <v>413.99999999999994</v>
      </c>
      <c r="F844" s="48">
        <f t="shared" si="21"/>
        <v>0</v>
      </c>
    </row>
    <row r="845" spans="2:6" ht="14.4" x14ac:dyDescent="0.3">
      <c r="B845" s="420" t="s">
        <v>898</v>
      </c>
      <c r="C845" s="328" t="s">
        <v>115</v>
      </c>
      <c r="E845" s="385">
        <v>413.99999999999994</v>
      </c>
      <c r="F845" s="48">
        <f t="shared" si="21"/>
        <v>0</v>
      </c>
    </row>
    <row r="846" spans="2:6" ht="14.4" x14ac:dyDescent="0.3">
      <c r="B846" s="420"/>
      <c r="C846" s="328" t="s">
        <v>115</v>
      </c>
      <c r="E846" s="385">
        <v>0</v>
      </c>
      <c r="F846" s="48">
        <f t="shared" si="21"/>
        <v>0</v>
      </c>
    </row>
    <row r="847" spans="2:6" ht="14.4" x14ac:dyDescent="0.3">
      <c r="B847" s="420" t="s">
        <v>905</v>
      </c>
      <c r="C847" s="328" t="s">
        <v>115</v>
      </c>
      <c r="E847" s="385">
        <v>20.7</v>
      </c>
      <c r="F847" s="48">
        <f t="shared" si="21"/>
        <v>0</v>
      </c>
    </row>
    <row r="848" spans="2:6" ht="14.4" x14ac:dyDescent="0.3">
      <c r="B848" s="420" t="s">
        <v>906</v>
      </c>
      <c r="C848" s="419" t="s">
        <v>115</v>
      </c>
      <c r="E848" s="385">
        <v>110.39999999999999</v>
      </c>
      <c r="F848" s="48">
        <f t="shared" si="21"/>
        <v>0</v>
      </c>
    </row>
    <row r="849" spans="2:6" ht="14.4" x14ac:dyDescent="0.3">
      <c r="B849" s="420" t="s">
        <v>907</v>
      </c>
      <c r="C849" s="419" t="s">
        <v>115</v>
      </c>
      <c r="E849" s="326">
        <v>180</v>
      </c>
      <c r="F849" s="48">
        <f>E849*D849</f>
        <v>0</v>
      </c>
    </row>
    <row r="850" spans="2:6" ht="14.4" x14ac:dyDescent="0.3">
      <c r="B850" s="420" t="s">
        <v>1065</v>
      </c>
      <c r="C850" s="419" t="s">
        <v>115</v>
      </c>
      <c r="D850" s="40">
        <v>3</v>
      </c>
      <c r="E850" s="326">
        <f>90+38</f>
        <v>128</v>
      </c>
      <c r="F850" s="48">
        <f t="shared" si="21"/>
        <v>384</v>
      </c>
    </row>
    <row r="851" spans="2:6" ht="14.4" x14ac:dyDescent="0.3">
      <c r="B851" s="420" t="s">
        <v>1066</v>
      </c>
      <c r="C851" s="40" t="s">
        <v>115</v>
      </c>
      <c r="D851" s="40">
        <v>1</v>
      </c>
      <c r="E851" s="41">
        <f>228+130+147</f>
        <v>505</v>
      </c>
      <c r="F851" s="41">
        <f t="shared" si="21"/>
        <v>505</v>
      </c>
    </row>
    <row r="854" spans="2:6" x14ac:dyDescent="0.2">
      <c r="B854" s="446" t="s">
        <v>1067</v>
      </c>
      <c r="C854" s="554" t="s">
        <v>115</v>
      </c>
      <c r="D854" s="554">
        <v>2</v>
      </c>
      <c r="E854" s="555">
        <v>250</v>
      </c>
      <c r="F854" s="555">
        <f>E854*D854</f>
        <v>500</v>
      </c>
    </row>
    <row r="855" spans="2:6" x14ac:dyDescent="0.2">
      <c r="B855" s="446"/>
      <c r="C855" s="554"/>
      <c r="D855" s="554"/>
      <c r="E855" s="555"/>
      <c r="F855" s="555"/>
    </row>
    <row r="857" spans="2:6" x14ac:dyDescent="0.2">
      <c r="B857" s="446" t="s">
        <v>1068</v>
      </c>
      <c r="C857" s="447" t="s">
        <v>115</v>
      </c>
      <c r="D857" s="447">
        <v>2</v>
      </c>
      <c r="E857" s="448">
        <v>600</v>
      </c>
      <c r="F857" s="508">
        <f>E857*D857</f>
        <v>1200</v>
      </c>
    </row>
    <row r="858" spans="2:6" x14ac:dyDescent="0.2">
      <c r="F858" s="509"/>
    </row>
    <row r="859" spans="2:6" x14ac:dyDescent="0.2">
      <c r="B859" s="446" t="s">
        <v>1069</v>
      </c>
      <c r="C859" s="447" t="s">
        <v>115</v>
      </c>
      <c r="D859" s="447">
        <v>2</v>
      </c>
      <c r="E859" s="448">
        <v>700</v>
      </c>
      <c r="F859" s="448">
        <f>E859*D859</f>
        <v>1400</v>
      </c>
    </row>
    <row r="862" spans="2:6" x14ac:dyDescent="0.2">
      <c r="B862" s="446" t="s">
        <v>1070</v>
      </c>
      <c r="C862" s="447" t="s">
        <v>115</v>
      </c>
      <c r="D862" s="447">
        <v>1</v>
      </c>
      <c r="E862" s="448">
        <v>500</v>
      </c>
      <c r="F862" s="448">
        <f t="shared" ref="F862" si="22">E862*D862</f>
        <v>500</v>
      </c>
    </row>
    <row r="864" spans="2:6" x14ac:dyDescent="0.2">
      <c r="B864" s="446" t="s">
        <v>1071</v>
      </c>
      <c r="C864" s="447" t="s">
        <v>115</v>
      </c>
      <c r="D864" s="447">
        <v>1</v>
      </c>
      <c r="E864" s="448">
        <v>600</v>
      </c>
      <c r="F864" s="448">
        <f t="shared" ref="F864" si="23">E864*D864</f>
        <v>600</v>
      </c>
    </row>
    <row r="866" spans="2:6" x14ac:dyDescent="0.2">
      <c r="B866" s="446" t="s">
        <v>1072</v>
      </c>
      <c r="C866" s="447" t="s">
        <v>115</v>
      </c>
      <c r="D866" s="447">
        <v>1</v>
      </c>
      <c r="E866" s="448">
        <v>600</v>
      </c>
      <c r="F866" s="448">
        <f t="shared" ref="F866" si="24">E866*D866</f>
        <v>600</v>
      </c>
    </row>
    <row r="868" spans="2:6" ht="14.4" x14ac:dyDescent="0.3">
      <c r="B868" s="325" t="s">
        <v>908</v>
      </c>
    </row>
    <row r="870" spans="2:6" ht="14.4" x14ac:dyDescent="0.3">
      <c r="B870" t="s">
        <v>909</v>
      </c>
      <c r="C870" s="419" t="s">
        <v>115</v>
      </c>
      <c r="D870" s="40">
        <v>10</v>
      </c>
      <c r="E870" s="326">
        <v>180</v>
      </c>
      <c r="F870" s="48">
        <f t="shared" ref="F870:F871" si="25">E870*D870</f>
        <v>1800</v>
      </c>
    </row>
    <row r="871" spans="2:6" ht="14.4" x14ac:dyDescent="0.3">
      <c r="B871" t="s">
        <v>909</v>
      </c>
      <c r="C871" s="419" t="s">
        <v>115</v>
      </c>
      <c r="E871" s="326">
        <v>0</v>
      </c>
      <c r="F871" s="48">
        <f t="shared" si="25"/>
        <v>0</v>
      </c>
    </row>
    <row r="875" spans="2:6" x14ac:dyDescent="0.2">
      <c r="C875" s="548" t="s">
        <v>910</v>
      </c>
      <c r="D875" s="548"/>
      <c r="E875" s="548"/>
    </row>
    <row r="876" spans="2:6" x14ac:dyDescent="0.2">
      <c r="C876" s="548"/>
      <c r="D876" s="548"/>
      <c r="E876" s="548"/>
      <c r="F876" s="41">
        <f>SUM(F15:F875)</f>
        <v>117076.18843861317</v>
      </c>
    </row>
    <row r="877" spans="2:6" x14ac:dyDescent="0.2">
      <c r="C877" s="548"/>
      <c r="D877" s="548"/>
      <c r="E877" s="548"/>
    </row>
    <row r="879" spans="2:6" x14ac:dyDescent="0.2">
      <c r="E879" s="392" t="s">
        <v>911</v>
      </c>
      <c r="F879" s="393">
        <v>1.18</v>
      </c>
    </row>
    <row r="880" spans="2:6" x14ac:dyDescent="0.2">
      <c r="E880" s="392" t="s">
        <v>912</v>
      </c>
      <c r="F880" s="41">
        <v>3650</v>
      </c>
    </row>
    <row r="882" spans="2:11" x14ac:dyDescent="0.2">
      <c r="C882" s="548" t="s">
        <v>14</v>
      </c>
      <c r="D882" s="548"/>
      <c r="E882" s="548"/>
    </row>
    <row r="883" spans="2:11" x14ac:dyDescent="0.2">
      <c r="C883" s="548"/>
      <c r="D883" s="548"/>
      <c r="E883" s="548"/>
      <c r="F883" s="41">
        <f>F876*F879+F880</f>
        <v>141799.90235756352</v>
      </c>
    </row>
    <row r="884" spans="2:11" x14ac:dyDescent="0.2">
      <c r="C884" s="548"/>
      <c r="D884" s="548"/>
      <c r="E884" s="548"/>
    </row>
    <row r="888" spans="2:11" ht="10.8" thickBot="1" x14ac:dyDescent="0.25"/>
    <row r="889" spans="2:11" s="120" customFormat="1" ht="15" thickBot="1" x14ac:dyDescent="0.35">
      <c r="B889" s="173" t="s">
        <v>913</v>
      </c>
      <c r="C889" s="121"/>
      <c r="D889" s="122"/>
      <c r="E889" s="125"/>
      <c r="F889" s="125"/>
      <c r="G889" s="125"/>
      <c r="H889" s="124"/>
      <c r="K889" s="196"/>
    </row>
    <row r="890" spans="2:11" s="120" customFormat="1" ht="14.4" x14ac:dyDescent="0.3">
      <c r="B890" s="126"/>
      <c r="C890" s="193" t="s">
        <v>914</v>
      </c>
      <c r="D890" s="193" t="s">
        <v>102</v>
      </c>
      <c r="E890" s="194"/>
      <c r="F890" s="194"/>
      <c r="G890" s="125"/>
      <c r="H890" s="124"/>
      <c r="K890" s="196"/>
    </row>
    <row r="891" spans="2:11" s="120" customFormat="1" ht="14.4" x14ac:dyDescent="0.3">
      <c r="B891" s="427" t="s">
        <v>915</v>
      </c>
      <c r="C891" s="196">
        <f>C895</f>
        <v>323</v>
      </c>
      <c r="D891" s="196" t="s">
        <v>149</v>
      </c>
      <c r="E891" s="125"/>
      <c r="F891" s="125"/>
      <c r="G891" s="125"/>
      <c r="H891" s="124"/>
      <c r="K891" s="196"/>
    </row>
    <row r="892" spans="2:11" s="120" customFormat="1" ht="14.4" x14ac:dyDescent="0.3">
      <c r="B892" s="336" t="s">
        <v>916</v>
      </c>
      <c r="C892" s="196">
        <v>0</v>
      </c>
      <c r="D892" s="196" t="s">
        <v>149</v>
      </c>
      <c r="E892" s="125"/>
      <c r="F892" s="125"/>
      <c r="G892" s="125"/>
      <c r="H892" s="124"/>
      <c r="K892" s="196"/>
    </row>
    <row r="893" spans="2:11" s="120" customFormat="1" ht="14.4" x14ac:dyDescent="0.3">
      <c r="B893" s="336" t="s">
        <v>917</v>
      </c>
      <c r="C893" s="196">
        <v>0</v>
      </c>
      <c r="D893" s="196" t="s">
        <v>154</v>
      </c>
      <c r="E893" s="125"/>
      <c r="F893" s="125"/>
      <c r="G893" s="125"/>
      <c r="H893" s="124"/>
      <c r="K893" s="196"/>
    </row>
    <row r="894" spans="2:11" s="120" customFormat="1" ht="14.4" x14ac:dyDescent="0.3">
      <c r="B894" s="336" t="s">
        <v>918</v>
      </c>
      <c r="C894" s="196">
        <v>0</v>
      </c>
      <c r="D894" s="196" t="s">
        <v>149</v>
      </c>
      <c r="E894" s="125"/>
      <c r="F894" s="125"/>
      <c r="G894" s="125"/>
      <c r="H894" s="124"/>
      <c r="K894" s="196"/>
    </row>
    <row r="895" spans="2:11" s="120" customFormat="1" ht="14.4" x14ac:dyDescent="0.3">
      <c r="B895" s="427" t="s">
        <v>919</v>
      </c>
      <c r="C895" s="428">
        <f>SUM(D171:D174)+SUM(D350:D360)+D700+D716+D713+D714+SUM(D771:D788)</f>
        <v>323</v>
      </c>
      <c r="D895" s="196" t="s">
        <v>149</v>
      </c>
      <c r="E895" s="125"/>
      <c r="F895" s="125"/>
      <c r="G895" s="125"/>
      <c r="H895" s="124"/>
      <c r="K895" s="196"/>
    </row>
    <row r="896" spans="2:11" s="120" customFormat="1" ht="14.4" x14ac:dyDescent="0.3">
      <c r="B896" s="427" t="s">
        <v>920</v>
      </c>
      <c r="C896" s="338"/>
      <c r="D896" s="196" t="s">
        <v>149</v>
      </c>
      <c r="E896" s="125"/>
      <c r="F896" s="125"/>
      <c r="G896" s="125"/>
      <c r="H896" s="124"/>
      <c r="K896" s="196"/>
    </row>
    <row r="897" spans="2:15" s="120" customFormat="1" ht="14.4" x14ac:dyDescent="0.3">
      <c r="B897" s="427" t="s">
        <v>921</v>
      </c>
      <c r="C897" s="339">
        <v>0.1</v>
      </c>
      <c r="D897" s="196" t="s">
        <v>149</v>
      </c>
      <c r="F897" s="125"/>
      <c r="G897" s="125"/>
      <c r="H897" s="124"/>
      <c r="K897" s="196"/>
    </row>
    <row r="898" spans="2:15" s="120" customFormat="1" ht="14.4" x14ac:dyDescent="0.3">
      <c r="B898" s="427" t="s">
        <v>922</v>
      </c>
      <c r="C898" s="339"/>
      <c r="D898" s="196" t="s">
        <v>149</v>
      </c>
      <c r="E898" s="429">
        <f>C898/(C895+C896)</f>
        <v>0</v>
      </c>
      <c r="F898" s="125"/>
      <c r="G898" s="125"/>
      <c r="H898" s="124"/>
      <c r="K898" s="196"/>
    </row>
    <row r="899" spans="2:15" s="120" customFormat="1" ht="14.4" x14ac:dyDescent="0.3">
      <c r="B899" s="427" t="s">
        <v>923</v>
      </c>
      <c r="C899" s="339"/>
      <c r="D899" s="196" t="s">
        <v>149</v>
      </c>
      <c r="E899" s="429">
        <f>C899/(C895+C896)</f>
        <v>0</v>
      </c>
      <c r="F899" s="125"/>
      <c r="G899" s="125"/>
      <c r="H899" s="124"/>
      <c r="K899" s="196"/>
    </row>
    <row r="900" spans="2:15" s="120" customFormat="1" ht="14.4" x14ac:dyDescent="0.3">
      <c r="B900" s="427" t="s">
        <v>924</v>
      </c>
      <c r="C900" s="339"/>
      <c r="D900" s="196" t="s">
        <v>149</v>
      </c>
      <c r="E900" s="429">
        <f>C900/(C895+C896)</f>
        <v>0</v>
      </c>
      <c r="F900" s="125"/>
      <c r="G900" s="125"/>
      <c r="H900" s="124"/>
      <c r="K900" s="196"/>
    </row>
    <row r="901" spans="2:15" s="120" customFormat="1" ht="14.4" x14ac:dyDescent="0.3">
      <c r="B901" s="336"/>
      <c r="F901" s="125"/>
      <c r="G901" s="125"/>
      <c r="H901" s="124"/>
      <c r="K901" s="196"/>
    </row>
    <row r="902" spans="2:15" s="120" customFormat="1" ht="14.4" x14ac:dyDescent="0.3">
      <c r="B902" s="126"/>
      <c r="E902" s="125"/>
      <c r="F902" s="125"/>
      <c r="G902" s="125"/>
      <c r="H902" s="124"/>
      <c r="K902" s="196"/>
    </row>
    <row r="903" spans="2:15" s="340" customFormat="1" ht="72" x14ac:dyDescent="0.25">
      <c r="B903" s="341"/>
      <c r="C903" s="342" t="s">
        <v>32</v>
      </c>
      <c r="D903" s="342" t="s">
        <v>925</v>
      </c>
      <c r="E903" s="125" t="s">
        <v>926</v>
      </c>
      <c r="F903" s="430" t="s">
        <v>927</v>
      </c>
      <c r="G903" s="431" t="s">
        <v>928</v>
      </c>
      <c r="H903" s="343" t="s">
        <v>929</v>
      </c>
      <c r="I903" s="344" t="s">
        <v>930</v>
      </c>
      <c r="J903" s="344" t="s">
        <v>931</v>
      </c>
      <c r="K903" s="344" t="s">
        <v>932</v>
      </c>
      <c r="L903" s="431" t="s">
        <v>933</v>
      </c>
    </row>
    <row r="904" spans="2:15" s="120" customFormat="1" ht="14.4" x14ac:dyDescent="0.3">
      <c r="B904" s="336" t="str">
        <f>B895</f>
        <v>L/M of Inground Pipe (Average Depth)</v>
      </c>
      <c r="C904" s="345">
        <v>0.95</v>
      </c>
      <c r="D904" s="345">
        <v>0.6</v>
      </c>
      <c r="E904" s="337">
        <f>C895</f>
        <v>323</v>
      </c>
      <c r="F904" s="432">
        <v>1.3</v>
      </c>
      <c r="G904" s="346">
        <f>C897</f>
        <v>0.1</v>
      </c>
      <c r="H904" s="199">
        <f>(C904*D904*E904)*F904-(C904*D904*E904*G904)</f>
        <v>220.93199999999999</v>
      </c>
      <c r="I904" s="347"/>
      <c r="J904" s="347"/>
      <c r="K904" s="348"/>
    </row>
    <row r="905" spans="2:15" s="120" customFormat="1" ht="14.4" x14ac:dyDescent="0.3">
      <c r="B905" s="427" t="str">
        <f>B896</f>
        <v>L/M of Inground Pipe (Deeper Than Average Depth)</v>
      </c>
      <c r="C905" s="345">
        <v>1.1000000000000001</v>
      </c>
      <c r="D905" s="345">
        <v>0.5</v>
      </c>
      <c r="E905" s="337">
        <f>C896</f>
        <v>0</v>
      </c>
      <c r="F905" s="432">
        <v>1.3</v>
      </c>
      <c r="G905" s="345">
        <v>0</v>
      </c>
      <c r="H905" s="199">
        <f>(C905*D905*E905)*F905</f>
        <v>0</v>
      </c>
      <c r="I905" s="347"/>
      <c r="J905" s="347"/>
      <c r="K905" s="348"/>
    </row>
    <row r="906" spans="2:15" s="120" customFormat="1" ht="14.4" x14ac:dyDescent="0.3">
      <c r="B906" s="427" t="s">
        <v>934</v>
      </c>
      <c r="C906" s="345">
        <v>0.35</v>
      </c>
      <c r="D906" s="346">
        <f>D904</f>
        <v>0.6</v>
      </c>
      <c r="E906" s="346">
        <f>E904</f>
        <v>323</v>
      </c>
      <c r="F906" s="432">
        <v>0</v>
      </c>
      <c r="G906" s="346">
        <f>C897</f>
        <v>0.1</v>
      </c>
      <c r="H906" s="199"/>
      <c r="I906" s="199">
        <f>(C906*D906*E906)-(C906*D906*E906*G906)</f>
        <v>61.046999999999997</v>
      </c>
      <c r="J906" s="199"/>
      <c r="K906" s="348"/>
    </row>
    <row r="907" spans="2:15" s="120" customFormat="1" ht="14.4" x14ac:dyDescent="0.3">
      <c r="B907" s="427" t="s">
        <v>935</v>
      </c>
      <c r="C907" s="345">
        <v>0.2</v>
      </c>
      <c r="D907" s="346">
        <f>D905</f>
        <v>0.5</v>
      </c>
      <c r="E907" s="349">
        <f>E905</f>
        <v>0</v>
      </c>
      <c r="F907" s="432">
        <v>0</v>
      </c>
      <c r="G907" s="346">
        <f>G905</f>
        <v>0</v>
      </c>
      <c r="H907" s="199"/>
      <c r="I907" s="199">
        <f>(C907*D907*E907)-(C907*D907*E907*G907)</f>
        <v>0</v>
      </c>
      <c r="J907" s="199"/>
      <c r="K907" s="348"/>
    </row>
    <row r="908" spans="2:15" s="120" customFormat="1" ht="14.4" x14ac:dyDescent="0.3">
      <c r="B908" s="427" t="s">
        <v>936</v>
      </c>
      <c r="C908" s="346">
        <f>C904</f>
        <v>0.95</v>
      </c>
      <c r="D908" s="346">
        <f>D904</f>
        <v>0.6</v>
      </c>
      <c r="E908" s="349">
        <f>E904</f>
        <v>323</v>
      </c>
      <c r="F908" s="432">
        <v>1.3</v>
      </c>
      <c r="G908" s="346">
        <f>C897</f>
        <v>0.1</v>
      </c>
      <c r="H908" s="199"/>
      <c r="I908" s="199"/>
      <c r="J908" s="199">
        <f>(C908*D908*E908*F908)-(C908*D908*E908*G908)-I906</f>
        <v>159.88499999999999</v>
      </c>
      <c r="K908" s="348"/>
    </row>
    <row r="909" spans="2:15" s="120" customFormat="1" ht="14.4" x14ac:dyDescent="0.3">
      <c r="B909" s="427" t="s">
        <v>937</v>
      </c>
      <c r="C909" s="346">
        <f>C905</f>
        <v>1.1000000000000001</v>
      </c>
      <c r="D909" s="346">
        <f t="shared" ref="D909:E909" si="26">D905</f>
        <v>0.5</v>
      </c>
      <c r="E909" s="346">
        <f t="shared" si="26"/>
        <v>0</v>
      </c>
      <c r="F909" s="432">
        <v>1.3</v>
      </c>
      <c r="G909" s="346">
        <f>G905</f>
        <v>0</v>
      </c>
      <c r="H909" s="199"/>
      <c r="I909" s="199"/>
      <c r="J909" s="199">
        <f>(C909*D909*E909*F909)-(C909*D909*E909*G909)-I907</f>
        <v>0</v>
      </c>
      <c r="K909" s="348"/>
    </row>
    <row r="910" spans="2:15" s="120" customFormat="1" ht="15" thickBot="1" x14ac:dyDescent="0.35">
      <c r="B910" s="336"/>
      <c r="C910" s="348"/>
      <c r="D910" s="348"/>
      <c r="E910" s="348"/>
      <c r="F910" s="433"/>
      <c r="G910" s="199"/>
      <c r="H910" s="348"/>
      <c r="I910" s="347"/>
      <c r="J910" s="347"/>
      <c r="K910" s="199" t="s">
        <v>938</v>
      </c>
      <c r="L910" s="350" t="s">
        <v>939</v>
      </c>
      <c r="M910" s="350" t="s">
        <v>940</v>
      </c>
    </row>
    <row r="911" spans="2:15" s="120" customFormat="1" ht="15" thickBot="1" x14ac:dyDescent="0.35">
      <c r="B911" s="336"/>
      <c r="C911" s="348"/>
      <c r="D911" s="348"/>
      <c r="E911" s="348"/>
      <c r="F911" s="433"/>
      <c r="G911" s="199"/>
      <c r="H911" s="351">
        <f>SUM(H904:H910)</f>
        <v>220.93199999999999</v>
      </c>
      <c r="I911" s="351">
        <f>SUM(I904:I910)</f>
        <v>61.046999999999997</v>
      </c>
      <c r="J911" s="351">
        <f>SUM(J904:J910)</f>
        <v>159.88499999999999</v>
      </c>
      <c r="K911" s="352">
        <f>H911-J911</f>
        <v>61.046999999999997</v>
      </c>
      <c r="L911" s="353">
        <v>15</v>
      </c>
      <c r="M911" s="354">
        <f>K911*L911</f>
        <v>915.70499999999993</v>
      </c>
      <c r="O911" s="192"/>
    </row>
    <row r="912" spans="2:15" s="120" customFormat="1" ht="14.4" x14ac:dyDescent="0.3">
      <c r="B912" s="336"/>
      <c r="C912" s="196"/>
      <c r="D912" s="196"/>
      <c r="E912" s="196"/>
      <c r="F912" s="433"/>
      <c r="G912" s="199"/>
      <c r="H912" s="124"/>
      <c r="K912" s="196"/>
      <c r="O912" s="347"/>
    </row>
    <row r="913" spans="2:18" s="120" customFormat="1" ht="14.4" x14ac:dyDescent="0.3">
      <c r="B913" s="336"/>
      <c r="C913" s="196"/>
      <c r="D913" s="196"/>
      <c r="E913" s="196"/>
      <c r="F913" s="433"/>
      <c r="G913" s="199"/>
      <c r="H913" s="124"/>
      <c r="K913" s="196"/>
      <c r="O913" s="347"/>
    </row>
    <row r="914" spans="2:18" s="120" customFormat="1" ht="14.4" x14ac:dyDescent="0.3">
      <c r="B914" s="336"/>
      <c r="C914" s="196"/>
      <c r="D914" s="196"/>
      <c r="E914" s="196"/>
      <c r="F914" s="433"/>
      <c r="G914" s="199"/>
      <c r="H914" s="124"/>
      <c r="K914" s="196"/>
      <c r="O914" s="347"/>
    </row>
    <row r="915" spans="2:18" s="120" customFormat="1" ht="14.4" x14ac:dyDescent="0.3">
      <c r="B915" s="336"/>
      <c r="C915" s="196"/>
      <c r="D915" s="196"/>
      <c r="E915" s="196"/>
      <c r="F915" s="433"/>
      <c r="G915" s="199"/>
      <c r="H915" s="124"/>
      <c r="K915" s="196"/>
      <c r="O915" s="347"/>
    </row>
    <row r="916" spans="2:18" s="120" customFormat="1" ht="7.2" customHeight="1" x14ac:dyDescent="0.3">
      <c r="B916" s="355"/>
      <c r="C916" s="232"/>
      <c r="D916" s="232"/>
      <c r="E916" s="232"/>
      <c r="F916" s="233"/>
      <c r="G916" s="233"/>
      <c r="H916" s="234"/>
      <c r="I916" s="232"/>
      <c r="K916" s="196"/>
    </row>
    <row r="917" spans="2:18" s="120" customFormat="1" ht="14.4" x14ac:dyDescent="0.3">
      <c r="B917" s="126" t="s">
        <v>941</v>
      </c>
      <c r="C917" s="196" t="s">
        <v>942</v>
      </c>
      <c r="D917" s="196" t="s">
        <v>914</v>
      </c>
      <c r="E917" s="125" t="s">
        <v>943</v>
      </c>
      <c r="F917" s="120" t="s">
        <v>911</v>
      </c>
      <c r="G917" s="194" t="s">
        <v>943</v>
      </c>
      <c r="H917" s="200" t="s">
        <v>944</v>
      </c>
      <c r="K917" s="196"/>
    </row>
    <row r="918" spans="2:18" s="120" customFormat="1" ht="14.4" x14ac:dyDescent="0.3">
      <c r="B918" s="336"/>
      <c r="C918" s="196">
        <v>0.1</v>
      </c>
      <c r="D918" s="339"/>
      <c r="E918" s="196">
        <f>D918*C918</f>
        <v>0</v>
      </c>
      <c r="F918" s="433">
        <v>1.1000000000000001</v>
      </c>
      <c r="G918" s="198">
        <f>E918*F918</f>
        <v>0</v>
      </c>
      <c r="H918" s="124">
        <f>G918*E943</f>
        <v>0</v>
      </c>
      <c r="I918" s="195"/>
      <c r="K918" s="196"/>
    </row>
    <row r="919" spans="2:18" s="324" customFormat="1" ht="14.4" x14ac:dyDescent="0.3">
      <c r="C919" s="328"/>
      <c r="D919" s="328"/>
      <c r="E919" s="326"/>
      <c r="F919" s="326"/>
    </row>
    <row r="920" spans="2:18" s="324" customFormat="1" ht="15" thickBot="1" x14ac:dyDescent="0.35">
      <c r="C920" s="328"/>
      <c r="D920" s="328"/>
      <c r="E920" s="326"/>
      <c r="F920" s="326"/>
    </row>
    <row r="921" spans="2:18" s="324" customFormat="1" ht="15" thickBot="1" x14ac:dyDescent="0.35">
      <c r="B921" s="173" t="s">
        <v>945</v>
      </c>
      <c r="C921" s="121"/>
      <c r="D921" s="122"/>
      <c r="E921" s="125"/>
      <c r="F921" s="125"/>
      <c r="G921" s="125"/>
      <c r="H921" s="124"/>
      <c r="I921" s="120"/>
      <c r="J921" s="120"/>
      <c r="K921" s="120"/>
      <c r="L921" s="120"/>
      <c r="M921" s="120"/>
      <c r="N921" s="120"/>
      <c r="O921" s="120"/>
      <c r="P921" s="120"/>
    </row>
    <row r="922" spans="2:18" s="324" customFormat="1" ht="15" thickBot="1" x14ac:dyDescent="0.35">
      <c r="B922" s="192"/>
      <c r="C922" s="120"/>
      <c r="D922" s="120"/>
      <c r="E922" s="125"/>
      <c r="F922" s="125"/>
      <c r="G922" s="125"/>
      <c r="H922" s="124"/>
      <c r="I922" s="120"/>
      <c r="J922" s="120"/>
      <c r="K922" s="120"/>
      <c r="L922" s="120"/>
      <c r="M922" s="342">
        <v>1.4</v>
      </c>
      <c r="N922" s="120"/>
      <c r="O922" s="120"/>
      <c r="P922" s="120"/>
    </row>
    <row r="923" spans="2:18" s="356" customFormat="1" ht="43.8" thickBot="1" x14ac:dyDescent="0.3">
      <c r="B923" s="357" t="s">
        <v>354</v>
      </c>
      <c r="C923" s="350" t="s">
        <v>946</v>
      </c>
      <c r="D923" s="350" t="s">
        <v>102</v>
      </c>
      <c r="E923" s="194" t="s">
        <v>939</v>
      </c>
      <c r="F923" s="194" t="s">
        <v>947</v>
      </c>
      <c r="G923" s="125"/>
      <c r="H923" s="125"/>
      <c r="I923" s="350" t="s">
        <v>938</v>
      </c>
      <c r="J923" s="344" t="s">
        <v>928</v>
      </c>
      <c r="K923" s="350" t="s">
        <v>948</v>
      </c>
      <c r="L923" s="350" t="s">
        <v>940</v>
      </c>
      <c r="M923" s="350" t="s">
        <v>911</v>
      </c>
      <c r="N923" s="358" t="s">
        <v>23</v>
      </c>
      <c r="O923" s="434" t="s">
        <v>949</v>
      </c>
      <c r="P923" s="431" t="s">
        <v>950</v>
      </c>
      <c r="Q923" s="435" t="s">
        <v>951</v>
      </c>
    </row>
    <row r="924" spans="2:18" s="324" customFormat="1" ht="15" thickBot="1" x14ac:dyDescent="0.35">
      <c r="B924" s="120" t="s">
        <v>952</v>
      </c>
      <c r="C924" s="359">
        <v>0.20300000000000001</v>
      </c>
      <c r="D924" s="360" t="s">
        <v>953</v>
      </c>
      <c r="E924" s="361">
        <f>E936</f>
        <v>62</v>
      </c>
      <c r="F924" s="361">
        <f>E924*C924</f>
        <v>12.586</v>
      </c>
      <c r="G924" s="125"/>
      <c r="H924" s="124"/>
      <c r="I924" s="362">
        <f>C924*(C895+C896)</f>
        <v>65.569000000000003</v>
      </c>
      <c r="J924" s="346">
        <f>C897</f>
        <v>0.1</v>
      </c>
      <c r="K924" s="363">
        <f>I924-(I924*J924)</f>
        <v>59.012100000000004</v>
      </c>
      <c r="L924" s="195">
        <f>K924*E924</f>
        <v>3658.7502000000004</v>
      </c>
      <c r="M924" s="326">
        <f>(L924*M922)-L924</f>
        <v>1463.5000799999998</v>
      </c>
      <c r="N924" s="364">
        <f>L924*M922</f>
        <v>5122.2502800000002</v>
      </c>
      <c r="O924" s="195">
        <f>N924*E898</f>
        <v>0</v>
      </c>
      <c r="P924" s="120"/>
      <c r="Q924" s="326"/>
      <c r="R924" s="326"/>
    </row>
    <row r="925" spans="2:18" s="324" customFormat="1" ht="14.4" x14ac:dyDescent="0.3">
      <c r="B925" s="120" t="s">
        <v>952</v>
      </c>
      <c r="C925" s="359">
        <v>0.14000000000000001</v>
      </c>
      <c r="D925" s="196" t="s">
        <v>954</v>
      </c>
      <c r="E925" s="125">
        <f>E936</f>
        <v>62</v>
      </c>
      <c r="F925" s="125">
        <f>(E925*C925)*1.95</f>
        <v>16.926000000000002</v>
      </c>
      <c r="G925" s="125"/>
      <c r="H925" s="124"/>
      <c r="I925" s="120"/>
      <c r="J925" s="120"/>
      <c r="L925" s="195"/>
      <c r="N925" s="365"/>
      <c r="O925" s="120"/>
      <c r="P925" s="120"/>
    </row>
    <row r="926" spans="2:18" s="324" customFormat="1" ht="14.4" x14ac:dyDescent="0.3">
      <c r="B926" s="120" t="s">
        <v>955</v>
      </c>
      <c r="C926" s="359">
        <v>0.45</v>
      </c>
      <c r="D926" s="196" t="s">
        <v>953</v>
      </c>
      <c r="E926" s="125">
        <f>E937</f>
        <v>62</v>
      </c>
      <c r="F926" s="125">
        <f>E926*C926</f>
        <v>27.900000000000002</v>
      </c>
      <c r="G926" s="125"/>
      <c r="H926" s="124"/>
      <c r="I926" s="120">
        <v>0</v>
      </c>
      <c r="J926" s="120"/>
      <c r="L926" s="195">
        <f>I926*E926</f>
        <v>0</v>
      </c>
      <c r="N926" s="366">
        <f>L926*$L$289</f>
        <v>0</v>
      </c>
      <c r="O926" s="120"/>
      <c r="P926" s="120"/>
    </row>
    <row r="927" spans="2:18" s="324" customFormat="1" ht="15" thickBot="1" x14ac:dyDescent="0.35">
      <c r="B927" s="120" t="s">
        <v>956</v>
      </c>
      <c r="C927" s="120">
        <v>0</v>
      </c>
      <c r="D927" s="196" t="s">
        <v>953</v>
      </c>
      <c r="E927" s="125">
        <f>E938</f>
        <v>25</v>
      </c>
      <c r="F927" s="125">
        <f t="shared" ref="F927:F932" si="27">E927*C927</f>
        <v>0</v>
      </c>
      <c r="G927" s="125"/>
      <c r="H927" s="124"/>
      <c r="I927" s="120">
        <v>0</v>
      </c>
      <c r="J927" s="120"/>
      <c r="L927" s="195">
        <f>I927*E927</f>
        <v>0</v>
      </c>
      <c r="N927" s="366">
        <f>L927*$L$289</f>
        <v>0</v>
      </c>
      <c r="O927" s="120"/>
      <c r="P927" s="120"/>
    </row>
    <row r="928" spans="2:18" s="324" customFormat="1" ht="15" thickBot="1" x14ac:dyDescent="0.35">
      <c r="B928" s="120" t="s">
        <v>957</v>
      </c>
      <c r="C928" s="359">
        <v>0.22500000000000001</v>
      </c>
      <c r="D928" s="360" t="s">
        <v>953</v>
      </c>
      <c r="E928" s="361">
        <f>E939</f>
        <v>62</v>
      </c>
      <c r="F928" s="361">
        <f t="shared" si="27"/>
        <v>13.950000000000001</v>
      </c>
      <c r="G928" s="125"/>
      <c r="H928" s="124"/>
      <c r="I928" s="362">
        <f>C928*(C895+C896)</f>
        <v>72.674999999999997</v>
      </c>
      <c r="J928" s="346">
        <f>C897</f>
        <v>0.1</v>
      </c>
      <c r="K928" s="363">
        <f>I928-(I928*J928)</f>
        <v>65.407499999999999</v>
      </c>
      <c r="L928" s="195">
        <f>K928*E928</f>
        <v>4055.2649999999999</v>
      </c>
      <c r="M928" s="326">
        <f>(L928*M922)-L928</f>
        <v>1622.1059999999993</v>
      </c>
      <c r="N928" s="364">
        <f>L928*M922</f>
        <v>5677.3709999999992</v>
      </c>
      <c r="O928" s="120"/>
      <c r="P928" s="195">
        <f>N928*E899</f>
        <v>0</v>
      </c>
      <c r="Q928" s="326">
        <f>N928*E900</f>
        <v>0</v>
      </c>
    </row>
    <row r="929" spans="2:16" s="324" customFormat="1" ht="14.4" x14ac:dyDescent="0.3">
      <c r="B929" s="120" t="s">
        <v>957</v>
      </c>
      <c r="C929" s="359">
        <v>0.14000000000000001</v>
      </c>
      <c r="D929" s="196" t="s">
        <v>954</v>
      </c>
      <c r="E929" s="125">
        <f>E939</f>
        <v>62</v>
      </c>
      <c r="F929" s="125">
        <f>(E929*C929)*1.5</f>
        <v>13.020000000000003</v>
      </c>
      <c r="G929" s="125"/>
      <c r="H929" s="124"/>
      <c r="I929" s="120"/>
      <c r="J929" s="120"/>
      <c r="L929" s="195"/>
      <c r="N929" s="365"/>
      <c r="O929" s="120"/>
      <c r="P929" s="120"/>
    </row>
    <row r="930" spans="2:16" s="324" customFormat="1" ht="14.4" x14ac:dyDescent="0.3">
      <c r="B930" s="120" t="s">
        <v>958</v>
      </c>
      <c r="C930" s="359">
        <v>0.36</v>
      </c>
      <c r="D930" s="196" t="s">
        <v>953</v>
      </c>
      <c r="E930" s="125">
        <f>F940</f>
        <v>27</v>
      </c>
      <c r="F930" s="125">
        <f t="shared" si="27"/>
        <v>9.7199999999999989</v>
      </c>
      <c r="G930" s="125"/>
      <c r="H930" s="124"/>
      <c r="I930" s="120">
        <f>C894*C930</f>
        <v>0</v>
      </c>
      <c r="J930" s="120"/>
      <c r="L930" s="195">
        <f>I930*E930</f>
        <v>0</v>
      </c>
      <c r="N930" s="366">
        <f>L930*$L$289</f>
        <v>0</v>
      </c>
      <c r="O930" s="120"/>
      <c r="P930" s="120"/>
    </row>
    <row r="931" spans="2:16" s="324" customFormat="1" ht="14.4" x14ac:dyDescent="0.3">
      <c r="B931" s="120" t="s">
        <v>959</v>
      </c>
      <c r="C931" s="359">
        <v>0.36</v>
      </c>
      <c r="D931" s="196" t="s">
        <v>953</v>
      </c>
      <c r="E931" s="125">
        <f>F941</f>
        <v>30</v>
      </c>
      <c r="F931" s="125">
        <f t="shared" si="27"/>
        <v>10.799999999999999</v>
      </c>
      <c r="G931" s="125"/>
      <c r="H931" s="124"/>
      <c r="I931" s="120">
        <f>C931*C894</f>
        <v>0</v>
      </c>
      <c r="J931" s="120"/>
      <c r="L931" s="195">
        <f>I931*E931</f>
        <v>0</v>
      </c>
      <c r="N931" s="366">
        <f>L931*$L$289</f>
        <v>0</v>
      </c>
      <c r="O931" s="120"/>
      <c r="P931" s="120"/>
    </row>
    <row r="932" spans="2:16" s="324" customFormat="1" ht="15" thickBot="1" x14ac:dyDescent="0.35">
      <c r="B932" s="120" t="s">
        <v>960</v>
      </c>
      <c r="C932" s="359">
        <v>0.3</v>
      </c>
      <c r="D932" s="196" t="s">
        <v>954</v>
      </c>
      <c r="E932" s="125">
        <f>N942</f>
        <v>0</v>
      </c>
      <c r="F932" s="125">
        <f t="shared" si="27"/>
        <v>0</v>
      </c>
      <c r="G932" s="125"/>
      <c r="H932" s="124"/>
      <c r="I932" s="120">
        <f>C932*C892</f>
        <v>0</v>
      </c>
      <c r="J932" s="120"/>
      <c r="L932" s="195">
        <f>E932*I932</f>
        <v>0</v>
      </c>
      <c r="N932" s="367">
        <f>L932*$L$289</f>
        <v>0</v>
      </c>
      <c r="O932" s="120"/>
      <c r="P932" s="120"/>
    </row>
    <row r="933" spans="2:16" s="324" customFormat="1" ht="15" thickBot="1" x14ac:dyDescent="0.35">
      <c r="B933" s="120"/>
      <c r="C933" s="120"/>
      <c r="D933" s="196"/>
      <c r="E933" s="368"/>
      <c r="F933" s="368"/>
      <c r="G933" s="125"/>
      <c r="H933" s="124"/>
      <c r="I933" s="120"/>
      <c r="J933" s="120"/>
      <c r="K933" s="120"/>
      <c r="L933" s="120"/>
      <c r="M933" s="120"/>
      <c r="N933" s="120"/>
      <c r="O933" s="120"/>
      <c r="P933" s="120"/>
    </row>
    <row r="934" spans="2:16" s="324" customFormat="1" ht="14.4" x14ac:dyDescent="0.3">
      <c r="B934" s="123"/>
      <c r="C934" s="369"/>
      <c r="D934" s="370"/>
      <c r="E934" s="371" t="s">
        <v>961</v>
      </c>
      <c r="F934" s="372" t="s">
        <v>962</v>
      </c>
      <c r="G934" s="124"/>
      <c r="H934" s="125"/>
      <c r="I934" s="125"/>
      <c r="J934" s="125"/>
      <c r="K934" s="125"/>
      <c r="L934" s="125"/>
      <c r="M934" s="125"/>
      <c r="N934" s="125"/>
      <c r="O934" s="125"/>
    </row>
    <row r="935" spans="2:16" s="324" customFormat="1" ht="15" thickBot="1" x14ac:dyDescent="0.35">
      <c r="B935" s="373" t="s">
        <v>354</v>
      </c>
      <c r="C935" s="374"/>
      <c r="D935" s="375" t="s">
        <v>102</v>
      </c>
      <c r="E935" s="376" t="s">
        <v>939</v>
      </c>
      <c r="F935" s="376" t="s">
        <v>939</v>
      </c>
      <c r="G935" s="377"/>
      <c r="H935" s="125"/>
      <c r="I935" s="124"/>
      <c r="J935" s="125"/>
      <c r="K935" s="124"/>
      <c r="L935" s="125"/>
      <c r="M935" s="124"/>
      <c r="N935" s="125"/>
      <c r="O935" s="124"/>
    </row>
    <row r="936" spans="2:16" s="324" customFormat="1" ht="14.4" x14ac:dyDescent="0.3">
      <c r="B936" s="120" t="s">
        <v>952</v>
      </c>
      <c r="C936" s="196"/>
      <c r="D936" s="378" t="s">
        <v>963</v>
      </c>
      <c r="E936" s="379">
        <v>62</v>
      </c>
      <c r="F936" s="380">
        <v>31</v>
      </c>
      <c r="G936" s="124"/>
      <c r="H936" s="125"/>
      <c r="I936" s="124"/>
      <c r="J936" s="125"/>
      <c r="K936" s="124"/>
      <c r="L936" s="125"/>
      <c r="M936" s="124"/>
      <c r="N936" s="125"/>
      <c r="O936" s="124"/>
    </row>
    <row r="937" spans="2:16" s="324" customFormat="1" ht="14.4" x14ac:dyDescent="0.3">
      <c r="B937" s="120" t="s">
        <v>955</v>
      </c>
      <c r="C937" s="196"/>
      <c r="D937" s="378" t="s">
        <v>963</v>
      </c>
      <c r="E937" s="379">
        <v>62</v>
      </c>
      <c r="F937" s="381">
        <v>39</v>
      </c>
      <c r="G937" s="124"/>
      <c r="H937" s="125"/>
      <c r="I937" s="124"/>
      <c r="J937" s="125"/>
      <c r="K937" s="124"/>
      <c r="L937" s="125"/>
      <c r="M937" s="124"/>
      <c r="N937" s="125"/>
      <c r="O937" s="124"/>
    </row>
    <row r="938" spans="2:16" s="324" customFormat="1" ht="14.4" x14ac:dyDescent="0.3">
      <c r="B938" s="120" t="s">
        <v>956</v>
      </c>
      <c r="C938" s="196"/>
      <c r="D938" s="378" t="s">
        <v>963</v>
      </c>
      <c r="E938" s="382">
        <v>25</v>
      </c>
      <c r="F938" s="381">
        <v>29</v>
      </c>
      <c r="G938" s="124"/>
      <c r="H938" s="125"/>
      <c r="I938" s="124"/>
      <c r="J938" s="436"/>
      <c r="K938" s="124"/>
      <c r="L938" s="125"/>
      <c r="M938" s="124"/>
      <c r="N938" s="125"/>
      <c r="O938" s="124"/>
    </row>
    <row r="939" spans="2:16" s="324" customFormat="1" ht="14.4" x14ac:dyDescent="0.3">
      <c r="B939" s="120" t="s">
        <v>957</v>
      </c>
      <c r="C939" s="196"/>
      <c r="D939" s="378" t="s">
        <v>963</v>
      </c>
      <c r="E939" s="379">
        <v>62</v>
      </c>
      <c r="F939" s="381">
        <v>26</v>
      </c>
      <c r="G939" s="124"/>
      <c r="H939" s="125"/>
      <c r="I939" s="124"/>
      <c r="J939" s="125"/>
      <c r="K939" s="348"/>
      <c r="L939" s="436"/>
      <c r="M939" s="124"/>
      <c r="N939" s="125"/>
      <c r="O939" s="124"/>
    </row>
    <row r="940" spans="2:16" s="324" customFormat="1" ht="14.4" x14ac:dyDescent="0.3">
      <c r="B940" s="120" t="s">
        <v>958</v>
      </c>
      <c r="C940" s="196"/>
      <c r="D940" s="378" t="s">
        <v>963</v>
      </c>
      <c r="E940" s="382">
        <v>48</v>
      </c>
      <c r="F940" s="381">
        <v>27</v>
      </c>
      <c r="G940" s="124"/>
      <c r="H940" s="125"/>
      <c r="I940" s="124"/>
      <c r="J940" s="125"/>
      <c r="K940" s="348"/>
      <c r="L940" s="436"/>
      <c r="M940" s="124"/>
      <c r="N940" s="125"/>
      <c r="O940" s="124"/>
    </row>
    <row r="941" spans="2:16" s="324" customFormat="1" ht="14.4" x14ac:dyDescent="0.3">
      <c r="B941" s="120" t="s">
        <v>959</v>
      </c>
      <c r="C941" s="196"/>
      <c r="D941" s="378" t="s">
        <v>963</v>
      </c>
      <c r="E941" s="382">
        <v>50</v>
      </c>
      <c r="F941" s="381">
        <v>30</v>
      </c>
      <c r="G941" s="124"/>
      <c r="H941" s="125"/>
      <c r="I941" s="124"/>
      <c r="J941" s="125"/>
      <c r="K941" s="348"/>
      <c r="L941" s="436"/>
      <c r="M941" s="124"/>
      <c r="N941" s="125"/>
      <c r="O941" s="124"/>
    </row>
    <row r="942" spans="2:16" s="324" customFormat="1" ht="14.4" x14ac:dyDescent="0.3">
      <c r="B942" s="120" t="s">
        <v>964</v>
      </c>
      <c r="C942" s="196"/>
      <c r="D942" s="378" t="s">
        <v>965</v>
      </c>
      <c r="E942" s="383">
        <v>168</v>
      </c>
      <c r="F942" s="381">
        <v>0</v>
      </c>
      <c r="G942" s="124"/>
      <c r="H942" s="125"/>
      <c r="I942" s="124"/>
      <c r="J942" s="125"/>
      <c r="K942" s="124"/>
      <c r="L942" s="125"/>
      <c r="M942" s="124"/>
      <c r="N942" s="125"/>
      <c r="O942" s="124"/>
    </row>
    <row r="943" spans="2:16" s="324" customFormat="1" ht="15" thickBot="1" x14ac:dyDescent="0.35">
      <c r="B943" s="120" t="s">
        <v>966</v>
      </c>
      <c r="C943" s="348"/>
      <c r="D943" s="378" t="s">
        <v>965</v>
      </c>
      <c r="E943" s="384">
        <v>153</v>
      </c>
      <c r="F943" s="384">
        <v>0</v>
      </c>
      <c r="G943" s="124"/>
      <c r="H943" s="125"/>
      <c r="I943" s="124"/>
      <c r="J943" s="125"/>
      <c r="K943" s="348"/>
      <c r="L943" s="436"/>
      <c r="M943" s="124"/>
      <c r="N943" s="125"/>
      <c r="O943" s="124"/>
    </row>
  </sheetData>
  <mergeCells count="15">
    <mergeCell ref="C882:E884"/>
    <mergeCell ref="A6:F6"/>
    <mergeCell ref="B9:G9"/>
    <mergeCell ref="D14:E14"/>
    <mergeCell ref="J14:P14"/>
    <mergeCell ref="C875:E877"/>
    <mergeCell ref="B763:B764"/>
    <mergeCell ref="C763:C764"/>
    <mergeCell ref="D763:D764"/>
    <mergeCell ref="F763:F764"/>
    <mergeCell ref="C854:C855"/>
    <mergeCell ref="D854:D855"/>
    <mergeCell ref="E854:E855"/>
    <mergeCell ref="F854:F855"/>
    <mergeCell ref="E763:E764"/>
  </mergeCells>
  <printOptions gridLines="1"/>
  <pageMargins left="0.46" right="0.42" top="0.37" bottom="0.4" header="0.39" footer="0.38"/>
  <pageSetup paperSize="8" scale="80" orientation="portrait" horizontalDpi="1200" vertic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2629-CC36-4380-B310-4AA227BDE76F}">
  <sheetPr>
    <tabColor rgb="FFFFC000"/>
  </sheetPr>
  <dimension ref="A1:L115"/>
  <sheetViews>
    <sheetView topLeftCell="A6" zoomScaleNormal="100" workbookViewId="0">
      <selection activeCell="E14" sqref="E14"/>
    </sheetView>
  </sheetViews>
  <sheetFormatPr defaultColWidth="9.109375" defaultRowHeight="10.199999999999999" x14ac:dyDescent="0.2"/>
  <cols>
    <col min="1" max="1" width="8.109375" style="38" customWidth="1"/>
    <col min="2" max="2" width="79" style="38" customWidth="1"/>
    <col min="3" max="3" width="11.44140625" style="40" customWidth="1"/>
    <col min="4" max="4" width="10.44140625" style="40" customWidth="1"/>
    <col min="5" max="5" width="13.109375" style="41" customWidth="1"/>
    <col min="6" max="6" width="14.109375" style="41" customWidth="1"/>
    <col min="7" max="7" width="12.33203125" style="38" customWidth="1"/>
    <col min="8" max="8" width="9.109375" style="38"/>
    <col min="9" max="9" width="9.5546875" style="38" bestFit="1" customWidth="1"/>
    <col min="10" max="256" width="9.109375" style="38"/>
    <col min="257" max="257" width="8.109375" style="38" customWidth="1"/>
    <col min="258" max="258" width="70.44140625" style="38" bestFit="1" customWidth="1"/>
    <col min="259" max="259" width="11.44140625" style="38" customWidth="1"/>
    <col min="260" max="260" width="10.44140625" style="38" customWidth="1"/>
    <col min="261" max="261" width="13.109375" style="38" customWidth="1"/>
    <col min="262" max="262" width="14.109375" style="38" customWidth="1"/>
    <col min="263" max="263" width="12.33203125" style="38" customWidth="1"/>
    <col min="264" max="512" width="9.109375" style="38"/>
    <col min="513" max="513" width="8.109375" style="38" customWidth="1"/>
    <col min="514" max="514" width="70.44140625" style="38" bestFit="1" customWidth="1"/>
    <col min="515" max="515" width="11.44140625" style="38" customWidth="1"/>
    <col min="516" max="516" width="10.44140625" style="38" customWidth="1"/>
    <col min="517" max="517" width="13.109375" style="38" customWidth="1"/>
    <col min="518" max="518" width="14.109375" style="38" customWidth="1"/>
    <col min="519" max="519" width="12.33203125" style="38" customWidth="1"/>
    <col min="520" max="768" width="9.109375" style="38"/>
    <col min="769" max="769" width="8.109375" style="38" customWidth="1"/>
    <col min="770" max="770" width="70.44140625" style="38" bestFit="1" customWidth="1"/>
    <col min="771" max="771" width="11.44140625" style="38" customWidth="1"/>
    <col min="772" max="772" width="10.44140625" style="38" customWidth="1"/>
    <col min="773" max="773" width="13.109375" style="38" customWidth="1"/>
    <col min="774" max="774" width="14.109375" style="38" customWidth="1"/>
    <col min="775" max="775" width="12.33203125" style="38" customWidth="1"/>
    <col min="776" max="1024" width="9.109375" style="38"/>
    <col min="1025" max="1025" width="8.109375" style="38" customWidth="1"/>
    <col min="1026" max="1026" width="70.44140625" style="38" bestFit="1" customWidth="1"/>
    <col min="1027" max="1027" width="11.44140625" style="38" customWidth="1"/>
    <col min="1028" max="1028" width="10.44140625" style="38" customWidth="1"/>
    <col min="1029" max="1029" width="13.109375" style="38" customWidth="1"/>
    <col min="1030" max="1030" width="14.109375" style="38" customWidth="1"/>
    <col min="1031" max="1031" width="12.33203125" style="38" customWidth="1"/>
    <col min="1032" max="1280" width="9.109375" style="38"/>
    <col min="1281" max="1281" width="8.109375" style="38" customWidth="1"/>
    <col min="1282" max="1282" width="70.44140625" style="38" bestFit="1" customWidth="1"/>
    <col min="1283" max="1283" width="11.44140625" style="38" customWidth="1"/>
    <col min="1284" max="1284" width="10.44140625" style="38" customWidth="1"/>
    <col min="1285" max="1285" width="13.109375" style="38" customWidth="1"/>
    <col min="1286" max="1286" width="14.109375" style="38" customWidth="1"/>
    <col min="1287" max="1287" width="12.33203125" style="38" customWidth="1"/>
    <col min="1288" max="1536" width="9.109375" style="38"/>
    <col min="1537" max="1537" width="8.109375" style="38" customWidth="1"/>
    <col min="1538" max="1538" width="70.44140625" style="38" bestFit="1" customWidth="1"/>
    <col min="1539" max="1539" width="11.44140625" style="38" customWidth="1"/>
    <col min="1540" max="1540" width="10.44140625" style="38" customWidth="1"/>
    <col min="1541" max="1541" width="13.109375" style="38" customWidth="1"/>
    <col min="1542" max="1542" width="14.109375" style="38" customWidth="1"/>
    <col min="1543" max="1543" width="12.33203125" style="38" customWidth="1"/>
    <col min="1544" max="1792" width="9.109375" style="38"/>
    <col min="1793" max="1793" width="8.109375" style="38" customWidth="1"/>
    <col min="1794" max="1794" width="70.44140625" style="38" bestFit="1" customWidth="1"/>
    <col min="1795" max="1795" width="11.44140625" style="38" customWidth="1"/>
    <col min="1796" max="1796" width="10.44140625" style="38" customWidth="1"/>
    <col min="1797" max="1797" width="13.109375" style="38" customWidth="1"/>
    <col min="1798" max="1798" width="14.109375" style="38" customWidth="1"/>
    <col min="1799" max="1799" width="12.33203125" style="38" customWidth="1"/>
    <col min="1800" max="2048" width="9.109375" style="38"/>
    <col min="2049" max="2049" width="8.109375" style="38" customWidth="1"/>
    <col min="2050" max="2050" width="70.44140625" style="38" bestFit="1" customWidth="1"/>
    <col min="2051" max="2051" width="11.44140625" style="38" customWidth="1"/>
    <col min="2052" max="2052" width="10.44140625" style="38" customWidth="1"/>
    <col min="2053" max="2053" width="13.109375" style="38" customWidth="1"/>
    <col min="2054" max="2054" width="14.109375" style="38" customWidth="1"/>
    <col min="2055" max="2055" width="12.33203125" style="38" customWidth="1"/>
    <col min="2056" max="2304" width="9.109375" style="38"/>
    <col min="2305" max="2305" width="8.109375" style="38" customWidth="1"/>
    <col min="2306" max="2306" width="70.44140625" style="38" bestFit="1" customWidth="1"/>
    <col min="2307" max="2307" width="11.44140625" style="38" customWidth="1"/>
    <col min="2308" max="2308" width="10.44140625" style="38" customWidth="1"/>
    <col min="2309" max="2309" width="13.109375" style="38" customWidth="1"/>
    <col min="2310" max="2310" width="14.109375" style="38" customWidth="1"/>
    <col min="2311" max="2311" width="12.33203125" style="38" customWidth="1"/>
    <col min="2312" max="2560" width="9.109375" style="38"/>
    <col min="2561" max="2561" width="8.109375" style="38" customWidth="1"/>
    <col min="2562" max="2562" width="70.44140625" style="38" bestFit="1" customWidth="1"/>
    <col min="2563" max="2563" width="11.44140625" style="38" customWidth="1"/>
    <col min="2564" max="2564" width="10.44140625" style="38" customWidth="1"/>
    <col min="2565" max="2565" width="13.109375" style="38" customWidth="1"/>
    <col min="2566" max="2566" width="14.109375" style="38" customWidth="1"/>
    <col min="2567" max="2567" width="12.33203125" style="38" customWidth="1"/>
    <col min="2568" max="2816" width="9.109375" style="38"/>
    <col min="2817" max="2817" width="8.109375" style="38" customWidth="1"/>
    <col min="2818" max="2818" width="70.44140625" style="38" bestFit="1" customWidth="1"/>
    <col min="2819" max="2819" width="11.44140625" style="38" customWidth="1"/>
    <col min="2820" max="2820" width="10.44140625" style="38" customWidth="1"/>
    <col min="2821" max="2821" width="13.109375" style="38" customWidth="1"/>
    <col min="2822" max="2822" width="14.109375" style="38" customWidth="1"/>
    <col min="2823" max="2823" width="12.33203125" style="38" customWidth="1"/>
    <col min="2824" max="3072" width="9.109375" style="38"/>
    <col min="3073" max="3073" width="8.109375" style="38" customWidth="1"/>
    <col min="3074" max="3074" width="70.44140625" style="38" bestFit="1" customWidth="1"/>
    <col min="3075" max="3075" width="11.44140625" style="38" customWidth="1"/>
    <col min="3076" max="3076" width="10.44140625" style="38" customWidth="1"/>
    <col min="3077" max="3077" width="13.109375" style="38" customWidth="1"/>
    <col min="3078" max="3078" width="14.109375" style="38" customWidth="1"/>
    <col min="3079" max="3079" width="12.33203125" style="38" customWidth="1"/>
    <col min="3080" max="3328" width="9.109375" style="38"/>
    <col min="3329" max="3329" width="8.109375" style="38" customWidth="1"/>
    <col min="3330" max="3330" width="70.44140625" style="38" bestFit="1" customWidth="1"/>
    <col min="3331" max="3331" width="11.44140625" style="38" customWidth="1"/>
    <col min="3332" max="3332" width="10.44140625" style="38" customWidth="1"/>
    <col min="3333" max="3333" width="13.109375" style="38" customWidth="1"/>
    <col min="3334" max="3334" width="14.109375" style="38" customWidth="1"/>
    <col min="3335" max="3335" width="12.33203125" style="38" customWidth="1"/>
    <col min="3336" max="3584" width="9.109375" style="38"/>
    <col min="3585" max="3585" width="8.109375" style="38" customWidth="1"/>
    <col min="3586" max="3586" width="70.44140625" style="38" bestFit="1" customWidth="1"/>
    <col min="3587" max="3587" width="11.44140625" style="38" customWidth="1"/>
    <col min="3588" max="3588" width="10.44140625" style="38" customWidth="1"/>
    <col min="3589" max="3589" width="13.109375" style="38" customWidth="1"/>
    <col min="3590" max="3590" width="14.109375" style="38" customWidth="1"/>
    <col min="3591" max="3591" width="12.33203125" style="38" customWidth="1"/>
    <col min="3592" max="3840" width="9.109375" style="38"/>
    <col min="3841" max="3841" width="8.109375" style="38" customWidth="1"/>
    <col min="3842" max="3842" width="70.44140625" style="38" bestFit="1" customWidth="1"/>
    <col min="3843" max="3843" width="11.44140625" style="38" customWidth="1"/>
    <col min="3844" max="3844" width="10.44140625" style="38" customWidth="1"/>
    <col min="3845" max="3845" width="13.109375" style="38" customWidth="1"/>
    <col min="3846" max="3846" width="14.109375" style="38" customWidth="1"/>
    <col min="3847" max="3847" width="12.33203125" style="38" customWidth="1"/>
    <col min="3848" max="4096" width="9.109375" style="38"/>
    <col min="4097" max="4097" width="8.109375" style="38" customWidth="1"/>
    <col min="4098" max="4098" width="70.44140625" style="38" bestFit="1" customWidth="1"/>
    <col min="4099" max="4099" width="11.44140625" style="38" customWidth="1"/>
    <col min="4100" max="4100" width="10.44140625" style="38" customWidth="1"/>
    <col min="4101" max="4101" width="13.109375" style="38" customWidth="1"/>
    <col min="4102" max="4102" width="14.109375" style="38" customWidth="1"/>
    <col min="4103" max="4103" width="12.33203125" style="38" customWidth="1"/>
    <col min="4104" max="4352" width="9.109375" style="38"/>
    <col min="4353" max="4353" width="8.109375" style="38" customWidth="1"/>
    <col min="4354" max="4354" width="70.44140625" style="38" bestFit="1" customWidth="1"/>
    <col min="4355" max="4355" width="11.44140625" style="38" customWidth="1"/>
    <col min="4356" max="4356" width="10.44140625" style="38" customWidth="1"/>
    <col min="4357" max="4357" width="13.109375" style="38" customWidth="1"/>
    <col min="4358" max="4358" width="14.109375" style="38" customWidth="1"/>
    <col min="4359" max="4359" width="12.33203125" style="38" customWidth="1"/>
    <col min="4360" max="4608" width="9.109375" style="38"/>
    <col min="4609" max="4609" width="8.109375" style="38" customWidth="1"/>
    <col min="4610" max="4610" width="70.44140625" style="38" bestFit="1" customWidth="1"/>
    <col min="4611" max="4611" width="11.44140625" style="38" customWidth="1"/>
    <col min="4612" max="4612" width="10.44140625" style="38" customWidth="1"/>
    <col min="4613" max="4613" width="13.109375" style="38" customWidth="1"/>
    <col min="4614" max="4614" width="14.109375" style="38" customWidth="1"/>
    <col min="4615" max="4615" width="12.33203125" style="38" customWidth="1"/>
    <col min="4616" max="4864" width="9.109375" style="38"/>
    <col min="4865" max="4865" width="8.109375" style="38" customWidth="1"/>
    <col min="4866" max="4866" width="70.44140625" style="38" bestFit="1" customWidth="1"/>
    <col min="4867" max="4867" width="11.44140625" style="38" customWidth="1"/>
    <col min="4868" max="4868" width="10.44140625" style="38" customWidth="1"/>
    <col min="4869" max="4869" width="13.109375" style="38" customWidth="1"/>
    <col min="4870" max="4870" width="14.109375" style="38" customWidth="1"/>
    <col min="4871" max="4871" width="12.33203125" style="38" customWidth="1"/>
    <col min="4872" max="5120" width="9.109375" style="38"/>
    <col min="5121" max="5121" width="8.109375" style="38" customWidth="1"/>
    <col min="5122" max="5122" width="70.44140625" style="38" bestFit="1" customWidth="1"/>
    <col min="5123" max="5123" width="11.44140625" style="38" customWidth="1"/>
    <col min="5124" max="5124" width="10.44140625" style="38" customWidth="1"/>
    <col min="5125" max="5125" width="13.109375" style="38" customWidth="1"/>
    <col min="5126" max="5126" width="14.109375" style="38" customWidth="1"/>
    <col min="5127" max="5127" width="12.33203125" style="38" customWidth="1"/>
    <col min="5128" max="5376" width="9.109375" style="38"/>
    <col min="5377" max="5377" width="8.109375" style="38" customWidth="1"/>
    <col min="5378" max="5378" width="70.44140625" style="38" bestFit="1" customWidth="1"/>
    <col min="5379" max="5379" width="11.44140625" style="38" customWidth="1"/>
    <col min="5380" max="5380" width="10.44140625" style="38" customWidth="1"/>
    <col min="5381" max="5381" width="13.109375" style="38" customWidth="1"/>
    <col min="5382" max="5382" width="14.109375" style="38" customWidth="1"/>
    <col min="5383" max="5383" width="12.33203125" style="38" customWidth="1"/>
    <col min="5384" max="5632" width="9.109375" style="38"/>
    <col min="5633" max="5633" width="8.109375" style="38" customWidth="1"/>
    <col min="5634" max="5634" width="70.44140625" style="38" bestFit="1" customWidth="1"/>
    <col min="5635" max="5635" width="11.44140625" style="38" customWidth="1"/>
    <col min="5636" max="5636" width="10.44140625" style="38" customWidth="1"/>
    <col min="5637" max="5637" width="13.109375" style="38" customWidth="1"/>
    <col min="5638" max="5638" width="14.109375" style="38" customWidth="1"/>
    <col min="5639" max="5639" width="12.33203125" style="38" customWidth="1"/>
    <col min="5640" max="5888" width="9.109375" style="38"/>
    <col min="5889" max="5889" width="8.109375" style="38" customWidth="1"/>
    <col min="5890" max="5890" width="70.44140625" style="38" bestFit="1" customWidth="1"/>
    <col min="5891" max="5891" width="11.44140625" style="38" customWidth="1"/>
    <col min="5892" max="5892" width="10.44140625" style="38" customWidth="1"/>
    <col min="5893" max="5893" width="13.109375" style="38" customWidth="1"/>
    <col min="5894" max="5894" width="14.109375" style="38" customWidth="1"/>
    <col min="5895" max="5895" width="12.33203125" style="38" customWidth="1"/>
    <col min="5896" max="6144" width="9.109375" style="38"/>
    <col min="6145" max="6145" width="8.109375" style="38" customWidth="1"/>
    <col min="6146" max="6146" width="70.44140625" style="38" bestFit="1" customWidth="1"/>
    <col min="6147" max="6147" width="11.44140625" style="38" customWidth="1"/>
    <col min="6148" max="6148" width="10.44140625" style="38" customWidth="1"/>
    <col min="6149" max="6149" width="13.109375" style="38" customWidth="1"/>
    <col min="6150" max="6150" width="14.109375" style="38" customWidth="1"/>
    <col min="6151" max="6151" width="12.33203125" style="38" customWidth="1"/>
    <col min="6152" max="6400" width="9.109375" style="38"/>
    <col min="6401" max="6401" width="8.109375" style="38" customWidth="1"/>
    <col min="6402" max="6402" width="70.44140625" style="38" bestFit="1" customWidth="1"/>
    <col min="6403" max="6403" width="11.44140625" style="38" customWidth="1"/>
    <col min="6404" max="6404" width="10.44140625" style="38" customWidth="1"/>
    <col min="6405" max="6405" width="13.109375" style="38" customWidth="1"/>
    <col min="6406" max="6406" width="14.109375" style="38" customWidth="1"/>
    <col min="6407" max="6407" width="12.33203125" style="38" customWidth="1"/>
    <col min="6408" max="6656" width="9.109375" style="38"/>
    <col min="6657" max="6657" width="8.109375" style="38" customWidth="1"/>
    <col min="6658" max="6658" width="70.44140625" style="38" bestFit="1" customWidth="1"/>
    <col min="6659" max="6659" width="11.44140625" style="38" customWidth="1"/>
    <col min="6660" max="6660" width="10.44140625" style="38" customWidth="1"/>
    <col min="6661" max="6661" width="13.109375" style="38" customWidth="1"/>
    <col min="6662" max="6662" width="14.109375" style="38" customWidth="1"/>
    <col min="6663" max="6663" width="12.33203125" style="38" customWidth="1"/>
    <col min="6664" max="6912" width="9.109375" style="38"/>
    <col min="6913" max="6913" width="8.109375" style="38" customWidth="1"/>
    <col min="6914" max="6914" width="70.44140625" style="38" bestFit="1" customWidth="1"/>
    <col min="6915" max="6915" width="11.44140625" style="38" customWidth="1"/>
    <col min="6916" max="6916" width="10.44140625" style="38" customWidth="1"/>
    <col min="6917" max="6917" width="13.109375" style="38" customWidth="1"/>
    <col min="6918" max="6918" width="14.109375" style="38" customWidth="1"/>
    <col min="6919" max="6919" width="12.33203125" style="38" customWidth="1"/>
    <col min="6920" max="7168" width="9.109375" style="38"/>
    <col min="7169" max="7169" width="8.109375" style="38" customWidth="1"/>
    <col min="7170" max="7170" width="70.44140625" style="38" bestFit="1" customWidth="1"/>
    <col min="7171" max="7171" width="11.44140625" style="38" customWidth="1"/>
    <col min="7172" max="7172" width="10.44140625" style="38" customWidth="1"/>
    <col min="7173" max="7173" width="13.109375" style="38" customWidth="1"/>
    <col min="7174" max="7174" width="14.109375" style="38" customWidth="1"/>
    <col min="7175" max="7175" width="12.33203125" style="38" customWidth="1"/>
    <col min="7176" max="7424" width="9.109375" style="38"/>
    <col min="7425" max="7425" width="8.109375" style="38" customWidth="1"/>
    <col min="7426" max="7426" width="70.44140625" style="38" bestFit="1" customWidth="1"/>
    <col min="7427" max="7427" width="11.44140625" style="38" customWidth="1"/>
    <col min="7428" max="7428" width="10.44140625" style="38" customWidth="1"/>
    <col min="7429" max="7429" width="13.109375" style="38" customWidth="1"/>
    <col min="7430" max="7430" width="14.109375" style="38" customWidth="1"/>
    <col min="7431" max="7431" width="12.33203125" style="38" customWidth="1"/>
    <col min="7432" max="7680" width="9.109375" style="38"/>
    <col min="7681" max="7681" width="8.109375" style="38" customWidth="1"/>
    <col min="7682" max="7682" width="70.44140625" style="38" bestFit="1" customWidth="1"/>
    <col min="7683" max="7683" width="11.44140625" style="38" customWidth="1"/>
    <col min="7684" max="7684" width="10.44140625" style="38" customWidth="1"/>
    <col min="7685" max="7685" width="13.109375" style="38" customWidth="1"/>
    <col min="7686" max="7686" width="14.109375" style="38" customWidth="1"/>
    <col min="7687" max="7687" width="12.33203125" style="38" customWidth="1"/>
    <col min="7688" max="7936" width="9.109375" style="38"/>
    <col min="7937" max="7937" width="8.109375" style="38" customWidth="1"/>
    <col min="7938" max="7938" width="70.44140625" style="38" bestFit="1" customWidth="1"/>
    <col min="7939" max="7939" width="11.44140625" style="38" customWidth="1"/>
    <col min="7940" max="7940" width="10.44140625" style="38" customWidth="1"/>
    <col min="7941" max="7941" width="13.109375" style="38" customWidth="1"/>
    <col min="7942" max="7942" width="14.109375" style="38" customWidth="1"/>
    <col min="7943" max="7943" width="12.33203125" style="38" customWidth="1"/>
    <col min="7944" max="8192" width="9.109375" style="38"/>
    <col min="8193" max="8193" width="8.109375" style="38" customWidth="1"/>
    <col min="8194" max="8194" width="70.44140625" style="38" bestFit="1" customWidth="1"/>
    <col min="8195" max="8195" width="11.44140625" style="38" customWidth="1"/>
    <col min="8196" max="8196" width="10.44140625" style="38" customWidth="1"/>
    <col min="8197" max="8197" width="13.109375" style="38" customWidth="1"/>
    <col min="8198" max="8198" width="14.109375" style="38" customWidth="1"/>
    <col min="8199" max="8199" width="12.33203125" style="38" customWidth="1"/>
    <col min="8200" max="8448" width="9.109375" style="38"/>
    <col min="8449" max="8449" width="8.109375" style="38" customWidth="1"/>
    <col min="8450" max="8450" width="70.44140625" style="38" bestFit="1" customWidth="1"/>
    <col min="8451" max="8451" width="11.44140625" style="38" customWidth="1"/>
    <col min="8452" max="8452" width="10.44140625" style="38" customWidth="1"/>
    <col min="8453" max="8453" width="13.109375" style="38" customWidth="1"/>
    <col min="8454" max="8454" width="14.109375" style="38" customWidth="1"/>
    <col min="8455" max="8455" width="12.33203125" style="38" customWidth="1"/>
    <col min="8456" max="8704" width="9.109375" style="38"/>
    <col min="8705" max="8705" width="8.109375" style="38" customWidth="1"/>
    <col min="8706" max="8706" width="70.44140625" style="38" bestFit="1" customWidth="1"/>
    <col min="8707" max="8707" width="11.44140625" style="38" customWidth="1"/>
    <col min="8708" max="8708" width="10.44140625" style="38" customWidth="1"/>
    <col min="8709" max="8709" width="13.109375" style="38" customWidth="1"/>
    <col min="8710" max="8710" width="14.109375" style="38" customWidth="1"/>
    <col min="8711" max="8711" width="12.33203125" style="38" customWidth="1"/>
    <col min="8712" max="8960" width="9.109375" style="38"/>
    <col min="8961" max="8961" width="8.109375" style="38" customWidth="1"/>
    <col min="8962" max="8962" width="70.44140625" style="38" bestFit="1" customWidth="1"/>
    <col min="8963" max="8963" width="11.44140625" style="38" customWidth="1"/>
    <col min="8964" max="8964" width="10.44140625" style="38" customWidth="1"/>
    <col min="8965" max="8965" width="13.109375" style="38" customWidth="1"/>
    <col min="8966" max="8966" width="14.109375" style="38" customWidth="1"/>
    <col min="8967" max="8967" width="12.33203125" style="38" customWidth="1"/>
    <col min="8968" max="9216" width="9.109375" style="38"/>
    <col min="9217" max="9217" width="8.109375" style="38" customWidth="1"/>
    <col min="9218" max="9218" width="70.44140625" style="38" bestFit="1" customWidth="1"/>
    <col min="9219" max="9219" width="11.44140625" style="38" customWidth="1"/>
    <col min="9220" max="9220" width="10.44140625" style="38" customWidth="1"/>
    <col min="9221" max="9221" width="13.109375" style="38" customWidth="1"/>
    <col min="9222" max="9222" width="14.109375" style="38" customWidth="1"/>
    <col min="9223" max="9223" width="12.33203125" style="38" customWidth="1"/>
    <col min="9224" max="9472" width="9.109375" style="38"/>
    <col min="9473" max="9473" width="8.109375" style="38" customWidth="1"/>
    <col min="9474" max="9474" width="70.44140625" style="38" bestFit="1" customWidth="1"/>
    <col min="9475" max="9475" width="11.44140625" style="38" customWidth="1"/>
    <col min="9476" max="9476" width="10.44140625" style="38" customWidth="1"/>
    <col min="9477" max="9477" width="13.109375" style="38" customWidth="1"/>
    <col min="9478" max="9478" width="14.109375" style="38" customWidth="1"/>
    <col min="9479" max="9479" width="12.33203125" style="38" customWidth="1"/>
    <col min="9480" max="9728" width="9.109375" style="38"/>
    <col min="9729" max="9729" width="8.109375" style="38" customWidth="1"/>
    <col min="9730" max="9730" width="70.44140625" style="38" bestFit="1" customWidth="1"/>
    <col min="9731" max="9731" width="11.44140625" style="38" customWidth="1"/>
    <col min="9732" max="9732" width="10.44140625" style="38" customWidth="1"/>
    <col min="9733" max="9733" width="13.109375" style="38" customWidth="1"/>
    <col min="9734" max="9734" width="14.109375" style="38" customWidth="1"/>
    <col min="9735" max="9735" width="12.33203125" style="38" customWidth="1"/>
    <col min="9736" max="9984" width="9.109375" style="38"/>
    <col min="9985" max="9985" width="8.109375" style="38" customWidth="1"/>
    <col min="9986" max="9986" width="70.44140625" style="38" bestFit="1" customWidth="1"/>
    <col min="9987" max="9987" width="11.44140625" style="38" customWidth="1"/>
    <col min="9988" max="9988" width="10.44140625" style="38" customWidth="1"/>
    <col min="9989" max="9989" width="13.109375" style="38" customWidth="1"/>
    <col min="9990" max="9990" width="14.109375" style="38" customWidth="1"/>
    <col min="9991" max="9991" width="12.33203125" style="38" customWidth="1"/>
    <col min="9992" max="10240" width="9.109375" style="38"/>
    <col min="10241" max="10241" width="8.109375" style="38" customWidth="1"/>
    <col min="10242" max="10242" width="70.44140625" style="38" bestFit="1" customWidth="1"/>
    <col min="10243" max="10243" width="11.44140625" style="38" customWidth="1"/>
    <col min="10244" max="10244" width="10.44140625" style="38" customWidth="1"/>
    <col min="10245" max="10245" width="13.109375" style="38" customWidth="1"/>
    <col min="10246" max="10246" width="14.109375" style="38" customWidth="1"/>
    <col min="10247" max="10247" width="12.33203125" style="38" customWidth="1"/>
    <col min="10248" max="10496" width="9.109375" style="38"/>
    <col min="10497" max="10497" width="8.109375" style="38" customWidth="1"/>
    <col min="10498" max="10498" width="70.44140625" style="38" bestFit="1" customWidth="1"/>
    <col min="10499" max="10499" width="11.44140625" style="38" customWidth="1"/>
    <col min="10500" max="10500" width="10.44140625" style="38" customWidth="1"/>
    <col min="10501" max="10501" width="13.109375" style="38" customWidth="1"/>
    <col min="10502" max="10502" width="14.109375" style="38" customWidth="1"/>
    <col min="10503" max="10503" width="12.33203125" style="38" customWidth="1"/>
    <col min="10504" max="10752" width="9.109375" style="38"/>
    <col min="10753" max="10753" width="8.109375" style="38" customWidth="1"/>
    <col min="10754" max="10754" width="70.44140625" style="38" bestFit="1" customWidth="1"/>
    <col min="10755" max="10755" width="11.44140625" style="38" customWidth="1"/>
    <col min="10756" max="10756" width="10.44140625" style="38" customWidth="1"/>
    <col min="10757" max="10757" width="13.109375" style="38" customWidth="1"/>
    <col min="10758" max="10758" width="14.109375" style="38" customWidth="1"/>
    <col min="10759" max="10759" width="12.33203125" style="38" customWidth="1"/>
    <col min="10760" max="11008" width="9.109375" style="38"/>
    <col min="11009" max="11009" width="8.109375" style="38" customWidth="1"/>
    <col min="11010" max="11010" width="70.44140625" style="38" bestFit="1" customWidth="1"/>
    <col min="11011" max="11011" width="11.44140625" style="38" customWidth="1"/>
    <col min="11012" max="11012" width="10.44140625" style="38" customWidth="1"/>
    <col min="11013" max="11013" width="13.109375" style="38" customWidth="1"/>
    <col min="11014" max="11014" width="14.109375" style="38" customWidth="1"/>
    <col min="11015" max="11015" width="12.33203125" style="38" customWidth="1"/>
    <col min="11016" max="11264" width="9.109375" style="38"/>
    <col min="11265" max="11265" width="8.109375" style="38" customWidth="1"/>
    <col min="11266" max="11266" width="70.44140625" style="38" bestFit="1" customWidth="1"/>
    <col min="11267" max="11267" width="11.44140625" style="38" customWidth="1"/>
    <col min="11268" max="11268" width="10.44140625" style="38" customWidth="1"/>
    <col min="11269" max="11269" width="13.109375" style="38" customWidth="1"/>
    <col min="11270" max="11270" width="14.109375" style="38" customWidth="1"/>
    <col min="11271" max="11271" width="12.33203125" style="38" customWidth="1"/>
    <col min="11272" max="11520" width="9.109375" style="38"/>
    <col min="11521" max="11521" width="8.109375" style="38" customWidth="1"/>
    <col min="11522" max="11522" width="70.44140625" style="38" bestFit="1" customWidth="1"/>
    <col min="11523" max="11523" width="11.44140625" style="38" customWidth="1"/>
    <col min="11524" max="11524" width="10.44140625" style="38" customWidth="1"/>
    <col min="11525" max="11525" width="13.109375" style="38" customWidth="1"/>
    <col min="11526" max="11526" width="14.109375" style="38" customWidth="1"/>
    <col min="11527" max="11527" width="12.33203125" style="38" customWidth="1"/>
    <col min="11528" max="11776" width="9.109375" style="38"/>
    <col min="11777" max="11777" width="8.109375" style="38" customWidth="1"/>
    <col min="11778" max="11778" width="70.44140625" style="38" bestFit="1" customWidth="1"/>
    <col min="11779" max="11779" width="11.44140625" style="38" customWidth="1"/>
    <col min="11780" max="11780" width="10.44140625" style="38" customWidth="1"/>
    <col min="11781" max="11781" width="13.109375" style="38" customWidth="1"/>
    <col min="11782" max="11782" width="14.109375" style="38" customWidth="1"/>
    <col min="11783" max="11783" width="12.33203125" style="38" customWidth="1"/>
    <col min="11784" max="12032" width="9.109375" style="38"/>
    <col min="12033" max="12033" width="8.109375" style="38" customWidth="1"/>
    <col min="12034" max="12034" width="70.44140625" style="38" bestFit="1" customWidth="1"/>
    <col min="12035" max="12035" width="11.44140625" style="38" customWidth="1"/>
    <col min="12036" max="12036" width="10.44140625" style="38" customWidth="1"/>
    <col min="12037" max="12037" width="13.109375" style="38" customWidth="1"/>
    <col min="12038" max="12038" width="14.109375" style="38" customWidth="1"/>
    <col min="12039" max="12039" width="12.33203125" style="38" customWidth="1"/>
    <col min="12040" max="12288" width="9.109375" style="38"/>
    <col min="12289" max="12289" width="8.109375" style="38" customWidth="1"/>
    <col min="12290" max="12290" width="70.44140625" style="38" bestFit="1" customWidth="1"/>
    <col min="12291" max="12291" width="11.44140625" style="38" customWidth="1"/>
    <col min="12292" max="12292" width="10.44140625" style="38" customWidth="1"/>
    <col min="12293" max="12293" width="13.109375" style="38" customWidth="1"/>
    <col min="12294" max="12294" width="14.109375" style="38" customWidth="1"/>
    <col min="12295" max="12295" width="12.33203125" style="38" customWidth="1"/>
    <col min="12296" max="12544" width="9.109375" style="38"/>
    <col min="12545" max="12545" width="8.109375" style="38" customWidth="1"/>
    <col min="12546" max="12546" width="70.44140625" style="38" bestFit="1" customWidth="1"/>
    <col min="12547" max="12547" width="11.44140625" style="38" customWidth="1"/>
    <col min="12548" max="12548" width="10.44140625" style="38" customWidth="1"/>
    <col min="12549" max="12549" width="13.109375" style="38" customWidth="1"/>
    <col min="12550" max="12550" width="14.109375" style="38" customWidth="1"/>
    <col min="12551" max="12551" width="12.33203125" style="38" customWidth="1"/>
    <col min="12552" max="12800" width="9.109375" style="38"/>
    <col min="12801" max="12801" width="8.109375" style="38" customWidth="1"/>
    <col min="12802" max="12802" width="70.44140625" style="38" bestFit="1" customWidth="1"/>
    <col min="12803" max="12803" width="11.44140625" style="38" customWidth="1"/>
    <col min="12804" max="12804" width="10.44140625" style="38" customWidth="1"/>
    <col min="12805" max="12805" width="13.109375" style="38" customWidth="1"/>
    <col min="12806" max="12806" width="14.109375" style="38" customWidth="1"/>
    <col min="12807" max="12807" width="12.33203125" style="38" customWidth="1"/>
    <col min="12808" max="13056" width="9.109375" style="38"/>
    <col min="13057" max="13057" width="8.109375" style="38" customWidth="1"/>
    <col min="13058" max="13058" width="70.44140625" style="38" bestFit="1" customWidth="1"/>
    <col min="13059" max="13059" width="11.44140625" style="38" customWidth="1"/>
    <col min="13060" max="13060" width="10.44140625" style="38" customWidth="1"/>
    <col min="13061" max="13061" width="13.109375" style="38" customWidth="1"/>
    <col min="13062" max="13062" width="14.109375" style="38" customWidth="1"/>
    <col min="13063" max="13063" width="12.33203125" style="38" customWidth="1"/>
    <col min="13064" max="13312" width="9.109375" style="38"/>
    <col min="13313" max="13313" width="8.109375" style="38" customWidth="1"/>
    <col min="13314" max="13314" width="70.44140625" style="38" bestFit="1" customWidth="1"/>
    <col min="13315" max="13315" width="11.44140625" style="38" customWidth="1"/>
    <col min="13316" max="13316" width="10.44140625" style="38" customWidth="1"/>
    <col min="13317" max="13317" width="13.109375" style="38" customWidth="1"/>
    <col min="13318" max="13318" width="14.109375" style="38" customWidth="1"/>
    <col min="13319" max="13319" width="12.33203125" style="38" customWidth="1"/>
    <col min="13320" max="13568" width="9.109375" style="38"/>
    <col min="13569" max="13569" width="8.109375" style="38" customWidth="1"/>
    <col min="13570" max="13570" width="70.44140625" style="38" bestFit="1" customWidth="1"/>
    <col min="13571" max="13571" width="11.44140625" style="38" customWidth="1"/>
    <col min="13572" max="13572" width="10.44140625" style="38" customWidth="1"/>
    <col min="13573" max="13573" width="13.109375" style="38" customWidth="1"/>
    <col min="13574" max="13574" width="14.109375" style="38" customWidth="1"/>
    <col min="13575" max="13575" width="12.33203125" style="38" customWidth="1"/>
    <col min="13576" max="13824" width="9.109375" style="38"/>
    <col min="13825" max="13825" width="8.109375" style="38" customWidth="1"/>
    <col min="13826" max="13826" width="70.44140625" style="38" bestFit="1" customWidth="1"/>
    <col min="13827" max="13827" width="11.44140625" style="38" customWidth="1"/>
    <col min="13828" max="13828" width="10.44140625" style="38" customWidth="1"/>
    <col min="13829" max="13829" width="13.109375" style="38" customWidth="1"/>
    <col min="13830" max="13830" width="14.109375" style="38" customWidth="1"/>
    <col min="13831" max="13831" width="12.33203125" style="38" customWidth="1"/>
    <col min="13832" max="14080" width="9.109375" style="38"/>
    <col min="14081" max="14081" width="8.109375" style="38" customWidth="1"/>
    <col min="14082" max="14082" width="70.44140625" style="38" bestFit="1" customWidth="1"/>
    <col min="14083" max="14083" width="11.44140625" style="38" customWidth="1"/>
    <col min="14084" max="14084" width="10.44140625" style="38" customWidth="1"/>
    <col min="14085" max="14085" width="13.109375" style="38" customWidth="1"/>
    <col min="14086" max="14086" width="14.109375" style="38" customWidth="1"/>
    <col min="14087" max="14087" width="12.33203125" style="38" customWidth="1"/>
    <col min="14088" max="14336" width="9.109375" style="38"/>
    <col min="14337" max="14337" width="8.109375" style="38" customWidth="1"/>
    <col min="14338" max="14338" width="70.44140625" style="38" bestFit="1" customWidth="1"/>
    <col min="14339" max="14339" width="11.44140625" style="38" customWidth="1"/>
    <col min="14340" max="14340" width="10.44140625" style="38" customWidth="1"/>
    <col min="14341" max="14341" width="13.109375" style="38" customWidth="1"/>
    <col min="14342" max="14342" width="14.109375" style="38" customWidth="1"/>
    <col min="14343" max="14343" width="12.33203125" style="38" customWidth="1"/>
    <col min="14344" max="14592" width="9.109375" style="38"/>
    <col min="14593" max="14593" width="8.109375" style="38" customWidth="1"/>
    <col min="14594" max="14594" width="70.44140625" style="38" bestFit="1" customWidth="1"/>
    <col min="14595" max="14595" width="11.44140625" style="38" customWidth="1"/>
    <col min="14596" max="14596" width="10.44140625" style="38" customWidth="1"/>
    <col min="14597" max="14597" width="13.109375" style="38" customWidth="1"/>
    <col min="14598" max="14598" width="14.109375" style="38" customWidth="1"/>
    <col min="14599" max="14599" width="12.33203125" style="38" customWidth="1"/>
    <col min="14600" max="14848" width="9.109375" style="38"/>
    <col min="14849" max="14849" width="8.109375" style="38" customWidth="1"/>
    <col min="14850" max="14850" width="70.44140625" style="38" bestFit="1" customWidth="1"/>
    <col min="14851" max="14851" width="11.44140625" style="38" customWidth="1"/>
    <col min="14852" max="14852" width="10.44140625" style="38" customWidth="1"/>
    <col min="14853" max="14853" width="13.109375" style="38" customWidth="1"/>
    <col min="14854" max="14854" width="14.109375" style="38" customWidth="1"/>
    <col min="14855" max="14855" width="12.33203125" style="38" customWidth="1"/>
    <col min="14856" max="15104" width="9.109375" style="38"/>
    <col min="15105" max="15105" width="8.109375" style="38" customWidth="1"/>
    <col min="15106" max="15106" width="70.44140625" style="38" bestFit="1" customWidth="1"/>
    <col min="15107" max="15107" width="11.44140625" style="38" customWidth="1"/>
    <col min="15108" max="15108" width="10.44140625" style="38" customWidth="1"/>
    <col min="15109" max="15109" width="13.109375" style="38" customWidth="1"/>
    <col min="15110" max="15110" width="14.109375" style="38" customWidth="1"/>
    <col min="15111" max="15111" width="12.33203125" style="38" customWidth="1"/>
    <col min="15112" max="15360" width="9.109375" style="38"/>
    <col min="15361" max="15361" width="8.109375" style="38" customWidth="1"/>
    <col min="15362" max="15362" width="70.44140625" style="38" bestFit="1" customWidth="1"/>
    <col min="15363" max="15363" width="11.44140625" style="38" customWidth="1"/>
    <col min="15364" max="15364" width="10.44140625" style="38" customWidth="1"/>
    <col min="15365" max="15365" width="13.109375" style="38" customWidth="1"/>
    <col min="15366" max="15366" width="14.109375" style="38" customWidth="1"/>
    <col min="15367" max="15367" width="12.33203125" style="38" customWidth="1"/>
    <col min="15368" max="15616" width="9.109375" style="38"/>
    <col min="15617" max="15617" width="8.109375" style="38" customWidth="1"/>
    <col min="15618" max="15618" width="70.44140625" style="38" bestFit="1" customWidth="1"/>
    <col min="15619" max="15619" width="11.44140625" style="38" customWidth="1"/>
    <col min="15620" max="15620" width="10.44140625" style="38" customWidth="1"/>
    <col min="15621" max="15621" width="13.109375" style="38" customWidth="1"/>
    <col min="15622" max="15622" width="14.109375" style="38" customWidth="1"/>
    <col min="15623" max="15623" width="12.33203125" style="38" customWidth="1"/>
    <col min="15624" max="15872" width="9.109375" style="38"/>
    <col min="15873" max="15873" width="8.109375" style="38" customWidth="1"/>
    <col min="15874" max="15874" width="70.44140625" style="38" bestFit="1" customWidth="1"/>
    <col min="15875" max="15875" width="11.44140625" style="38" customWidth="1"/>
    <col min="15876" max="15876" width="10.44140625" style="38" customWidth="1"/>
    <col min="15877" max="15877" width="13.109375" style="38" customWidth="1"/>
    <col min="15878" max="15878" width="14.109375" style="38" customWidth="1"/>
    <col min="15879" max="15879" width="12.33203125" style="38" customWidth="1"/>
    <col min="15880" max="16128" width="9.109375" style="38"/>
    <col min="16129" max="16129" width="8.109375" style="38" customWidth="1"/>
    <col min="16130" max="16130" width="70.44140625" style="38" bestFit="1" customWidth="1"/>
    <col min="16131" max="16131" width="11.44140625" style="38" customWidth="1"/>
    <col min="16132" max="16132" width="10.44140625" style="38" customWidth="1"/>
    <col min="16133" max="16133" width="13.109375" style="38" customWidth="1"/>
    <col min="16134" max="16134" width="14.109375" style="38" customWidth="1"/>
    <col min="16135" max="16135" width="12.33203125" style="38" customWidth="1"/>
    <col min="16136" max="16384" width="9.109375" style="38"/>
  </cols>
  <sheetData>
    <row r="1" spans="1:9" x14ac:dyDescent="0.2">
      <c r="B1" s="39" t="s">
        <v>86</v>
      </c>
    </row>
    <row r="2" spans="1:9" x14ac:dyDescent="0.2">
      <c r="B2" s="39" t="s">
        <v>87</v>
      </c>
    </row>
    <row r="3" spans="1:9" x14ac:dyDescent="0.2">
      <c r="B3" s="38" t="s">
        <v>88</v>
      </c>
    </row>
    <row r="4" spans="1:9" ht="13.8" x14ac:dyDescent="0.25">
      <c r="A4" s="42" t="s">
        <v>89</v>
      </c>
      <c r="B4" s="43"/>
    </row>
    <row r="5" spans="1:9" ht="10.8" thickBot="1" x14ac:dyDescent="0.25">
      <c r="A5" s="42"/>
      <c r="C5" s="42"/>
      <c r="D5" s="42"/>
      <c r="E5" s="44"/>
      <c r="F5" s="44"/>
    </row>
    <row r="6" spans="1:9" x14ac:dyDescent="0.2">
      <c r="A6" s="42"/>
      <c r="B6" s="150" t="s">
        <v>1149</v>
      </c>
      <c r="C6" s="151"/>
      <c r="D6" s="42"/>
      <c r="E6" s="44"/>
      <c r="F6" s="44"/>
    </row>
    <row r="7" spans="1:9" x14ac:dyDescent="0.2">
      <c r="A7" s="42"/>
      <c r="B7" s="100" t="str">
        <f>'[2]Staff Costs_Lead Hand'!$B$193</f>
        <v>Work ROSTER Example #3 - 6-Day Week, 10Hr Days, Stay @ Rocky for W/E, Return Every 2nd W/E. (FLY)</v>
      </c>
      <c r="C7" s="152"/>
      <c r="D7" s="42"/>
      <c r="E7" s="44"/>
      <c r="F7" s="44"/>
    </row>
    <row r="8" spans="1:9" x14ac:dyDescent="0.2">
      <c r="A8" s="42"/>
      <c r="B8" s="246" t="str">
        <f>'[2]Staff Costs_Lead Hand'!$E$212</f>
        <v>Working Days/Month</v>
      </c>
      <c r="C8" s="158">
        <f>'[2]Staff Costs_Lead Hand'!$F$212</f>
        <v>21</v>
      </c>
      <c r="D8" s="42"/>
      <c r="E8" s="44"/>
      <c r="F8" s="44"/>
    </row>
    <row r="9" spans="1:9" x14ac:dyDescent="0.2">
      <c r="A9" s="42"/>
      <c r="B9" s="246" t="str">
        <f>'[2]Staff Costs_Lead Hand'!$E$213</f>
        <v>No-Work Days/Month</v>
      </c>
      <c r="C9" s="158">
        <f>'[2]Staff Costs_Lead Hand'!$F$213</f>
        <v>7</v>
      </c>
      <c r="D9" s="42"/>
      <c r="E9" s="44"/>
      <c r="F9" s="44"/>
    </row>
    <row r="10" spans="1:9" ht="10.8" thickBot="1" x14ac:dyDescent="0.25">
      <c r="A10" s="42"/>
      <c r="B10" s="153" t="str">
        <f>'[2]Staff Costs_Lead Hand'!$E$214</f>
        <v>Avrg Hours / Month</v>
      </c>
      <c r="C10" s="158">
        <f>'[2]Staff Costs_Lead Hand'!$F$214</f>
        <v>210</v>
      </c>
      <c r="D10" s="42"/>
      <c r="E10" s="44"/>
      <c r="F10" s="44"/>
    </row>
    <row r="11" spans="1:9" ht="10.8" thickBot="1" x14ac:dyDescent="0.25">
      <c r="A11" s="42"/>
      <c r="C11" s="42"/>
      <c r="D11" s="42"/>
      <c r="E11" s="44"/>
      <c r="F11" s="44"/>
    </row>
    <row r="12" spans="1:9" ht="18" thickBot="1" x14ac:dyDescent="0.35">
      <c r="A12" s="42"/>
      <c r="B12" s="557" t="s">
        <v>1150</v>
      </c>
      <c r="C12" s="558"/>
      <c r="D12" s="558"/>
      <c r="E12" s="558"/>
      <c r="F12" s="559"/>
    </row>
    <row r="13" spans="1:9" ht="10.8" thickBot="1" x14ac:dyDescent="0.25">
      <c r="A13" s="42"/>
      <c r="C13" s="42" t="s">
        <v>102</v>
      </c>
      <c r="D13" s="42" t="s">
        <v>103</v>
      </c>
      <c r="E13" s="44" t="s">
        <v>104</v>
      </c>
      <c r="F13" s="44" t="s">
        <v>105</v>
      </c>
    </row>
    <row r="14" spans="1:9" ht="10.8" thickBot="1" x14ac:dyDescent="0.25">
      <c r="A14" s="42"/>
      <c r="B14" s="46" t="str">
        <f>'[2]Staff Costs_Lead Hand'!$B$4</f>
        <v>TRADESMAN_LEADING HAND</v>
      </c>
      <c r="C14" s="136" t="s">
        <v>146</v>
      </c>
      <c r="D14" s="136">
        <v>1</v>
      </c>
      <c r="E14" s="140">
        <f>E17/$C$10</f>
        <v>123.11428571428571</v>
      </c>
      <c r="F14" s="142">
        <f>D14*E14</f>
        <v>123.11428571428571</v>
      </c>
      <c r="I14" s="45"/>
    </row>
    <row r="15" spans="1:9" x14ac:dyDescent="0.2">
      <c r="A15" s="42"/>
      <c r="B15" s="167" t="s">
        <v>1151</v>
      </c>
      <c r="C15" s="139" t="s">
        <v>139</v>
      </c>
      <c r="D15" s="133">
        <v>1</v>
      </c>
      <c r="E15" s="134">
        <f>E17/$C$8</f>
        <v>1231.1428571428571</v>
      </c>
      <c r="F15" s="143">
        <f t="shared" ref="F15:F17" si="0">D15*E15</f>
        <v>1231.1428571428571</v>
      </c>
      <c r="I15" s="45"/>
    </row>
    <row r="16" spans="1:9" x14ac:dyDescent="0.2">
      <c r="A16" s="42"/>
      <c r="B16" s="168" t="str">
        <f>B14</f>
        <v>TRADESMAN_LEADING HAND</v>
      </c>
      <c r="C16" s="139" t="s">
        <v>416</v>
      </c>
      <c r="D16" s="133">
        <v>1</v>
      </c>
      <c r="E16" s="134">
        <f>E17/4</f>
        <v>6463.5</v>
      </c>
      <c r="F16" s="143">
        <f t="shared" si="0"/>
        <v>6463.5</v>
      </c>
      <c r="I16" s="45"/>
    </row>
    <row r="17" spans="1:9" ht="10.8" thickBot="1" x14ac:dyDescent="0.25">
      <c r="A17" s="42"/>
      <c r="B17" s="168"/>
      <c r="C17" s="139" t="s">
        <v>1152</v>
      </c>
      <c r="D17" s="138">
        <v>1</v>
      </c>
      <c r="E17" s="141">
        <f>'[2]Staff Costs_Lead Hand'!$F$211</f>
        <v>25854</v>
      </c>
      <c r="F17" s="143">
        <f t="shared" si="0"/>
        <v>25854</v>
      </c>
      <c r="I17" s="45"/>
    </row>
    <row r="18" spans="1:9" x14ac:dyDescent="0.2">
      <c r="A18" s="42"/>
      <c r="B18" s="100"/>
      <c r="C18" s="53"/>
      <c r="E18" s="144"/>
      <c r="F18" s="169"/>
      <c r="I18" s="45"/>
    </row>
    <row r="19" spans="1:9" ht="10.8" thickBot="1" x14ac:dyDescent="0.25">
      <c r="A19" s="42"/>
      <c r="B19" s="153" t="s">
        <v>1153</v>
      </c>
      <c r="C19" s="172">
        <f>COUNTA(B16,B17,B18)</f>
        <v>1</v>
      </c>
      <c r="D19" s="170"/>
      <c r="E19" s="52"/>
      <c r="F19" s="171"/>
      <c r="I19" s="45"/>
    </row>
    <row r="20" spans="1:9" ht="10.8" thickBot="1" x14ac:dyDescent="0.25">
      <c r="A20" s="42"/>
      <c r="B20" s="39"/>
      <c r="E20" s="144"/>
      <c r="F20" s="45"/>
      <c r="I20" s="45"/>
    </row>
    <row r="21" spans="1:9" ht="10.8" thickBot="1" x14ac:dyDescent="0.25">
      <c r="A21" s="42"/>
      <c r="B21" s="46" t="str">
        <f>'[2]Staff Costs_Tradesman'!$B$4</f>
        <v>TRADESMAN_PLUMBER_OPERATOR</v>
      </c>
      <c r="C21" s="136" t="s">
        <v>146</v>
      </c>
      <c r="D21" s="136">
        <v>1</v>
      </c>
      <c r="E21" s="140">
        <f>E24/$C$10</f>
        <v>94.116472848788632</v>
      </c>
      <c r="F21" s="142">
        <f>D21*E21</f>
        <v>94.116472848788632</v>
      </c>
      <c r="I21" s="45"/>
    </row>
    <row r="22" spans="1:9" x14ac:dyDescent="0.2">
      <c r="A22" s="42"/>
      <c r="B22" s="167" t="s">
        <v>1151</v>
      </c>
      <c r="C22" s="139" t="s">
        <v>139</v>
      </c>
      <c r="D22" s="133">
        <v>1</v>
      </c>
      <c r="E22" s="134">
        <f>E24/$C$8</f>
        <v>941.16472848788635</v>
      </c>
      <c r="F22" s="143">
        <f t="shared" ref="F22:F24" si="1">D22*E22</f>
        <v>941.16472848788635</v>
      </c>
      <c r="I22" s="45"/>
    </row>
    <row r="23" spans="1:9" x14ac:dyDescent="0.2">
      <c r="A23" s="42"/>
      <c r="B23" s="168" t="str">
        <f>B21</f>
        <v>TRADESMAN_PLUMBER_OPERATOR</v>
      </c>
      <c r="C23" s="139" t="s">
        <v>416</v>
      </c>
      <c r="D23" s="133">
        <v>1</v>
      </c>
      <c r="E23" s="134">
        <f>E24/4</f>
        <v>4941.1148245614031</v>
      </c>
      <c r="F23" s="143">
        <f t="shared" si="1"/>
        <v>4941.1148245614031</v>
      </c>
      <c r="I23" s="45"/>
    </row>
    <row r="24" spans="1:9" ht="10.8" thickBot="1" x14ac:dyDescent="0.25">
      <c r="A24" s="42"/>
      <c r="B24" s="168"/>
      <c r="C24" s="137" t="s">
        <v>1152</v>
      </c>
      <c r="D24" s="138">
        <v>1</v>
      </c>
      <c r="E24" s="141">
        <f>'[2]Staff Costs_Tradesman'!$F$121</f>
        <v>19764.459298245612</v>
      </c>
      <c r="F24" s="143">
        <f t="shared" si="1"/>
        <v>19764.459298245612</v>
      </c>
      <c r="I24" s="45"/>
    </row>
    <row r="25" spans="1:9" x14ac:dyDescent="0.2">
      <c r="A25" s="42"/>
      <c r="B25" s="100"/>
      <c r="E25" s="144"/>
      <c r="F25" s="169"/>
      <c r="I25" s="45"/>
    </row>
    <row r="26" spans="1:9" ht="10.8" thickBot="1" x14ac:dyDescent="0.25">
      <c r="A26" s="42"/>
      <c r="B26" s="153" t="s">
        <v>1153</v>
      </c>
      <c r="C26" s="172">
        <f>COUNTA(B23,B24,B25)</f>
        <v>1</v>
      </c>
      <c r="D26" s="170"/>
      <c r="E26" s="52"/>
      <c r="F26" s="171"/>
      <c r="I26" s="45"/>
    </row>
    <row r="27" spans="1:9" ht="10.8" thickBot="1" x14ac:dyDescent="0.25">
      <c r="A27" s="42"/>
      <c r="B27" s="159"/>
      <c r="E27" s="45"/>
      <c r="F27" s="45"/>
      <c r="I27" s="45"/>
    </row>
    <row r="28" spans="1:9" ht="10.8" thickBot="1" x14ac:dyDescent="0.25">
      <c r="A28" s="42"/>
      <c r="B28" s="46" t="str">
        <f>'[2]Staff Costs_TA'!$B$4</f>
        <v>T/A &amp; Apprentice</v>
      </c>
      <c r="C28" s="136" t="s">
        <v>146</v>
      </c>
      <c r="D28" s="136">
        <v>1</v>
      </c>
      <c r="E28" s="140">
        <f>E31/$C$10</f>
        <v>76.806507936507941</v>
      </c>
      <c r="F28" s="142">
        <f>D28*E28</f>
        <v>76.806507936507941</v>
      </c>
      <c r="I28" s="45"/>
    </row>
    <row r="29" spans="1:9" x14ac:dyDescent="0.2">
      <c r="A29" s="42"/>
      <c r="B29" s="167" t="s">
        <v>1151</v>
      </c>
      <c r="C29" s="139" t="s">
        <v>139</v>
      </c>
      <c r="D29" s="133">
        <v>1</v>
      </c>
      <c r="E29" s="134">
        <f>E31/$C$8</f>
        <v>768.06507936507944</v>
      </c>
      <c r="F29" s="143">
        <f t="shared" ref="F29:F31" si="2">D29*E29</f>
        <v>768.06507936507944</v>
      </c>
      <c r="I29" s="45"/>
    </row>
    <row r="30" spans="1:9" x14ac:dyDescent="0.2">
      <c r="A30" s="42"/>
      <c r="B30" s="168" t="str">
        <f>B28</f>
        <v>T/A &amp; Apprentice</v>
      </c>
      <c r="C30" s="139" t="s">
        <v>416</v>
      </c>
      <c r="D30" s="133">
        <v>1</v>
      </c>
      <c r="E30" s="134">
        <f>E31/4</f>
        <v>4032.3416666666672</v>
      </c>
      <c r="F30" s="143">
        <f t="shared" si="2"/>
        <v>4032.3416666666672</v>
      </c>
      <c r="I30" s="45"/>
    </row>
    <row r="31" spans="1:9" ht="10.8" thickBot="1" x14ac:dyDescent="0.25">
      <c r="A31" s="42"/>
      <c r="B31" s="168"/>
      <c r="C31" s="137" t="s">
        <v>1152</v>
      </c>
      <c r="D31" s="138">
        <v>1</v>
      </c>
      <c r="E31" s="141">
        <f>'[2]Staff Costs_TA'!$F$122</f>
        <v>16129.366666666669</v>
      </c>
      <c r="F31" s="143">
        <f t="shared" si="2"/>
        <v>16129.366666666669</v>
      </c>
      <c r="I31" s="45"/>
    </row>
    <row r="32" spans="1:9" x14ac:dyDescent="0.2">
      <c r="A32" s="42"/>
      <c r="B32" s="100"/>
      <c r="E32" s="144"/>
      <c r="F32" s="169"/>
      <c r="I32" s="45"/>
    </row>
    <row r="33" spans="1:9" ht="10.8" thickBot="1" x14ac:dyDescent="0.25">
      <c r="A33" s="42"/>
      <c r="B33" s="153" t="s">
        <v>1153</v>
      </c>
      <c r="C33" s="172">
        <f>COUNTA(B30,B31,B32)</f>
        <v>1</v>
      </c>
      <c r="D33" s="170"/>
      <c r="E33" s="52"/>
      <c r="F33" s="171"/>
      <c r="I33" s="45"/>
    </row>
    <row r="34" spans="1:9" ht="6" customHeight="1" x14ac:dyDescent="0.2">
      <c r="A34" s="42"/>
      <c r="B34" s="145"/>
      <c r="C34" s="146"/>
      <c r="D34" s="146"/>
      <c r="E34" s="147"/>
      <c r="F34" s="148"/>
      <c r="I34" s="45"/>
    </row>
    <row r="35" spans="1:9" ht="10.8" thickBot="1" x14ac:dyDescent="0.25">
      <c r="A35" s="42"/>
      <c r="B35" s="39"/>
      <c r="E35" s="144"/>
      <c r="F35" s="45"/>
      <c r="I35" s="45"/>
    </row>
    <row r="36" spans="1:9" ht="10.8" thickBot="1" x14ac:dyDescent="0.25">
      <c r="A36" s="42"/>
      <c r="B36" s="46" t="s">
        <v>1227</v>
      </c>
      <c r="C36" s="136" t="s">
        <v>146</v>
      </c>
      <c r="D36" s="136">
        <v>1</v>
      </c>
      <c r="E36" s="276">
        <f>E39/$C$10</f>
        <v>265.03945363408519</v>
      </c>
      <c r="F36" s="142">
        <f>D36*E36</f>
        <v>265.03945363408519</v>
      </c>
      <c r="I36" s="45"/>
    </row>
    <row r="37" spans="1:9" x14ac:dyDescent="0.2">
      <c r="A37" s="42"/>
      <c r="B37" s="167" t="s">
        <v>1151</v>
      </c>
      <c r="C37" s="139" t="s">
        <v>139</v>
      </c>
      <c r="D37" s="133">
        <v>1</v>
      </c>
      <c r="E37" s="144">
        <f>E39/$C$8</f>
        <v>2650.394536340852</v>
      </c>
      <c r="F37" s="143">
        <f t="shared" ref="F37:F39" si="3">D37*E37</f>
        <v>2650.394536340852</v>
      </c>
      <c r="I37" s="45"/>
    </row>
    <row r="38" spans="1:9" x14ac:dyDescent="0.2">
      <c r="A38" s="42"/>
      <c r="B38" s="168" t="str">
        <f>B21</f>
        <v>TRADESMAN_PLUMBER_OPERATOR</v>
      </c>
      <c r="C38" s="139" t="s">
        <v>416</v>
      </c>
      <c r="D38" s="133">
        <v>1</v>
      </c>
      <c r="E38" s="144">
        <f>E39/4</f>
        <v>13914.571315789473</v>
      </c>
      <c r="F38" s="143">
        <f t="shared" si="3"/>
        <v>13914.571315789473</v>
      </c>
      <c r="I38" s="45"/>
    </row>
    <row r="39" spans="1:9" ht="10.8" thickBot="1" x14ac:dyDescent="0.25">
      <c r="A39" s="42"/>
      <c r="B39" s="168" t="str">
        <f>B21</f>
        <v>TRADESMAN_PLUMBER_OPERATOR</v>
      </c>
      <c r="C39" s="139" t="s">
        <v>1152</v>
      </c>
      <c r="D39" s="138">
        <v>1</v>
      </c>
      <c r="E39" s="277">
        <f>(E24*2)+E31</f>
        <v>55658.285263157893</v>
      </c>
      <c r="F39" s="143">
        <f t="shared" si="3"/>
        <v>55658.285263157893</v>
      </c>
      <c r="I39" s="45"/>
    </row>
    <row r="40" spans="1:9" x14ac:dyDescent="0.2">
      <c r="A40" s="42"/>
      <c r="B40" s="100" t="str">
        <f>B28</f>
        <v>T/A &amp; Apprentice</v>
      </c>
      <c r="C40" s="53"/>
      <c r="E40" s="45"/>
      <c r="F40" s="169"/>
      <c r="I40" s="45"/>
    </row>
    <row r="41" spans="1:9" ht="10.8" thickBot="1" x14ac:dyDescent="0.25">
      <c r="A41" s="42"/>
      <c r="B41" s="153" t="s">
        <v>1153</v>
      </c>
      <c r="C41" s="172">
        <f>COUNTA(B38,B39,B40)</f>
        <v>3</v>
      </c>
      <c r="D41" s="170"/>
      <c r="E41" s="52"/>
      <c r="F41" s="171"/>
      <c r="I41" s="45"/>
    </row>
    <row r="42" spans="1:9" ht="10.8" thickBot="1" x14ac:dyDescent="0.25">
      <c r="A42" s="42"/>
      <c r="B42" s="159"/>
      <c r="E42" s="45"/>
      <c r="F42" s="45"/>
      <c r="I42" s="45"/>
    </row>
    <row r="43" spans="1:9" ht="10.8" thickBot="1" x14ac:dyDescent="0.25">
      <c r="A43" s="42"/>
      <c r="B43" s="46" t="s">
        <v>1228</v>
      </c>
      <c r="C43" s="136" t="s">
        <v>146</v>
      </c>
      <c r="D43" s="136">
        <v>1</v>
      </c>
      <c r="E43" s="276">
        <f>E46/$C$10</f>
        <v>265.03945363408519</v>
      </c>
      <c r="F43" s="142">
        <f>D43*E43</f>
        <v>265.03945363408519</v>
      </c>
      <c r="I43" s="45"/>
    </row>
    <row r="44" spans="1:9" x14ac:dyDescent="0.2">
      <c r="A44" s="42"/>
      <c r="B44" s="167" t="s">
        <v>1151</v>
      </c>
      <c r="C44" s="139" t="s">
        <v>139</v>
      </c>
      <c r="D44" s="133">
        <v>1</v>
      </c>
      <c r="E44" s="144">
        <f>E46/$C$8</f>
        <v>2650.394536340852</v>
      </c>
      <c r="F44" s="143">
        <f t="shared" ref="F44:F46" si="4">D44*E44</f>
        <v>2650.394536340852</v>
      </c>
      <c r="I44" s="45"/>
    </row>
    <row r="45" spans="1:9" x14ac:dyDescent="0.2">
      <c r="A45" s="42"/>
      <c r="B45" s="168" t="str">
        <f>B21</f>
        <v>TRADESMAN_PLUMBER_OPERATOR</v>
      </c>
      <c r="C45" s="139" t="s">
        <v>416</v>
      </c>
      <c r="D45" s="133">
        <v>1</v>
      </c>
      <c r="E45" s="144">
        <f>E46/4</f>
        <v>13914.571315789473</v>
      </c>
      <c r="F45" s="143">
        <f t="shared" si="4"/>
        <v>13914.571315789473</v>
      </c>
      <c r="I45" s="45"/>
    </row>
    <row r="46" spans="1:9" ht="10.8" thickBot="1" x14ac:dyDescent="0.25">
      <c r="A46" s="42"/>
      <c r="B46" s="168" t="str">
        <f>B21</f>
        <v>TRADESMAN_PLUMBER_OPERATOR</v>
      </c>
      <c r="C46" s="139" t="s">
        <v>1152</v>
      </c>
      <c r="D46" s="138">
        <v>1</v>
      </c>
      <c r="E46" s="277">
        <f>(E24*2)+E31</f>
        <v>55658.285263157893</v>
      </c>
      <c r="F46" s="143">
        <f t="shared" si="4"/>
        <v>55658.285263157893</v>
      </c>
      <c r="I46" s="45"/>
    </row>
    <row r="47" spans="1:9" x14ac:dyDescent="0.2">
      <c r="A47" s="42"/>
      <c r="B47" s="100" t="str">
        <f>B28</f>
        <v>T/A &amp; Apprentice</v>
      </c>
      <c r="C47" s="53"/>
      <c r="E47" s="45"/>
      <c r="F47" s="169"/>
      <c r="I47" s="45"/>
    </row>
    <row r="48" spans="1:9" ht="10.8" thickBot="1" x14ac:dyDescent="0.25">
      <c r="A48" s="42"/>
      <c r="B48" s="153" t="s">
        <v>1153</v>
      </c>
      <c r="C48" s="172">
        <f>COUNTA(B45,B46,B47)</f>
        <v>3</v>
      </c>
      <c r="D48" s="170"/>
      <c r="E48" s="52"/>
      <c r="F48" s="171"/>
      <c r="I48" s="45"/>
    </row>
    <row r="49" spans="1:9" x14ac:dyDescent="0.2">
      <c r="A49" s="42"/>
      <c r="B49" s="159"/>
      <c r="C49" s="512"/>
      <c r="E49" s="45"/>
      <c r="F49" s="45"/>
      <c r="I49" s="45"/>
    </row>
    <row r="50" spans="1:9" ht="10.8" thickBot="1" x14ac:dyDescent="0.25">
      <c r="A50" s="42"/>
      <c r="B50" s="159"/>
      <c r="E50" s="45"/>
      <c r="F50" s="45"/>
      <c r="I50" s="45"/>
    </row>
    <row r="51" spans="1:9" ht="10.8" thickBot="1" x14ac:dyDescent="0.25">
      <c r="A51" s="42"/>
      <c r="B51" s="46" t="s">
        <v>1229</v>
      </c>
      <c r="C51" s="136" t="s">
        <v>146</v>
      </c>
      <c r="D51" s="136">
        <v>1</v>
      </c>
      <c r="E51" s="276">
        <f>E43</f>
        <v>265.03945363408519</v>
      </c>
      <c r="F51" s="142">
        <f>D51*E51</f>
        <v>265.03945363408519</v>
      </c>
      <c r="I51" s="45"/>
    </row>
    <row r="52" spans="1:9" ht="10.8" thickBot="1" x14ac:dyDescent="0.25">
      <c r="A52" s="42"/>
      <c r="B52" s="167" t="str">
        <f>B44</f>
        <v>** for Roster Examples # 3</v>
      </c>
      <c r="C52" s="139" t="s">
        <v>139</v>
      </c>
      <c r="D52" s="133">
        <v>1</v>
      </c>
      <c r="E52" s="276">
        <f>E44</f>
        <v>2650.394536340852</v>
      </c>
      <c r="F52" s="143">
        <f t="shared" ref="F52:F54" si="5">D52*E52</f>
        <v>2650.394536340852</v>
      </c>
      <c r="I52" s="45"/>
    </row>
    <row r="53" spans="1:9" ht="10.8" thickBot="1" x14ac:dyDescent="0.25">
      <c r="A53" s="42"/>
      <c r="B53" s="513" t="str">
        <f>B45</f>
        <v>TRADESMAN_PLUMBER_OPERATOR</v>
      </c>
      <c r="C53" s="139" t="s">
        <v>416</v>
      </c>
      <c r="D53" s="133">
        <v>1</v>
      </c>
      <c r="E53" s="276">
        <f>E45</f>
        <v>13914.571315789473</v>
      </c>
      <c r="F53" s="143">
        <f t="shared" si="5"/>
        <v>13914.571315789473</v>
      </c>
      <c r="I53" s="45"/>
    </row>
    <row r="54" spans="1:9" ht="10.8" thickBot="1" x14ac:dyDescent="0.25">
      <c r="A54" s="42"/>
      <c r="B54" s="513" t="str">
        <f>B46</f>
        <v>TRADESMAN_PLUMBER_OPERATOR</v>
      </c>
      <c r="C54" s="139" t="s">
        <v>1152</v>
      </c>
      <c r="D54" s="138">
        <v>1</v>
      </c>
      <c r="E54" s="276">
        <f>E46</f>
        <v>55658.285263157893</v>
      </c>
      <c r="F54" s="143">
        <f t="shared" si="5"/>
        <v>55658.285263157893</v>
      </c>
      <c r="I54" s="45"/>
    </row>
    <row r="55" spans="1:9" x14ac:dyDescent="0.2">
      <c r="A55" s="42"/>
      <c r="B55" s="513" t="str">
        <f>B47</f>
        <v>T/A &amp; Apprentice</v>
      </c>
      <c r="C55" s="53"/>
      <c r="E55" s="45"/>
      <c r="F55" s="169"/>
      <c r="I55" s="45"/>
    </row>
    <row r="56" spans="1:9" ht="10.8" thickBot="1" x14ac:dyDescent="0.25">
      <c r="A56" s="42"/>
      <c r="B56" s="153" t="s">
        <v>1153</v>
      </c>
      <c r="C56" s="172">
        <f>COUNTA(B53,B54,B55)</f>
        <v>3</v>
      </c>
      <c r="D56" s="170"/>
      <c r="E56" s="52"/>
      <c r="F56" s="171"/>
      <c r="I56" s="45"/>
    </row>
    <row r="57" spans="1:9" x14ac:dyDescent="0.2">
      <c r="A57" s="42"/>
      <c r="B57" s="159"/>
      <c r="C57" s="512"/>
      <c r="E57" s="45"/>
      <c r="F57" s="45"/>
      <c r="I57" s="45"/>
    </row>
    <row r="58" spans="1:9" ht="10.8" thickBot="1" x14ac:dyDescent="0.25">
      <c r="A58" s="42"/>
      <c r="B58" s="159"/>
      <c r="E58" s="45"/>
      <c r="F58" s="45"/>
      <c r="I58" s="45"/>
    </row>
    <row r="59" spans="1:9" ht="10.8" thickBot="1" x14ac:dyDescent="0.25">
      <c r="A59" s="42"/>
      <c r="B59" s="46" t="s">
        <v>1230</v>
      </c>
      <c r="C59" s="136" t="s">
        <v>146</v>
      </c>
      <c r="D59" s="136">
        <v>1</v>
      </c>
      <c r="E59" s="276">
        <f>E51</f>
        <v>265.03945363408519</v>
      </c>
      <c r="F59" s="142">
        <f>D59*E59</f>
        <v>265.03945363408519</v>
      </c>
      <c r="I59" s="45"/>
    </row>
    <row r="60" spans="1:9" ht="10.8" thickBot="1" x14ac:dyDescent="0.25">
      <c r="A60" s="42"/>
      <c r="B60" s="167" t="str">
        <f>B52</f>
        <v>** for Roster Examples # 3</v>
      </c>
      <c r="C60" s="139" t="s">
        <v>139</v>
      </c>
      <c r="D60" s="133">
        <v>1</v>
      </c>
      <c r="E60" s="276">
        <f>E52</f>
        <v>2650.394536340852</v>
      </c>
      <c r="F60" s="143">
        <f t="shared" ref="F60:F62" si="6">D60*E60</f>
        <v>2650.394536340852</v>
      </c>
      <c r="I60" s="45"/>
    </row>
    <row r="61" spans="1:9" ht="10.8" thickBot="1" x14ac:dyDescent="0.25">
      <c r="A61" s="42"/>
      <c r="B61" s="513" t="str">
        <f>B53</f>
        <v>TRADESMAN_PLUMBER_OPERATOR</v>
      </c>
      <c r="C61" s="139" t="s">
        <v>416</v>
      </c>
      <c r="D61" s="133">
        <v>1</v>
      </c>
      <c r="E61" s="276">
        <f>E53</f>
        <v>13914.571315789473</v>
      </c>
      <c r="F61" s="143">
        <f t="shared" si="6"/>
        <v>13914.571315789473</v>
      </c>
      <c r="I61" s="45"/>
    </row>
    <row r="62" spans="1:9" ht="10.8" thickBot="1" x14ac:dyDescent="0.25">
      <c r="A62" s="42"/>
      <c r="B62" s="513" t="str">
        <f>B54</f>
        <v>TRADESMAN_PLUMBER_OPERATOR</v>
      </c>
      <c r="C62" s="139" t="s">
        <v>1152</v>
      </c>
      <c r="D62" s="138">
        <v>1</v>
      </c>
      <c r="E62" s="276">
        <f>E54</f>
        <v>55658.285263157893</v>
      </c>
      <c r="F62" s="143">
        <f t="shared" si="6"/>
        <v>55658.285263157893</v>
      </c>
      <c r="I62" s="45"/>
    </row>
    <row r="63" spans="1:9" x14ac:dyDescent="0.2">
      <c r="A63" s="42"/>
      <c r="B63" s="513" t="str">
        <f>B55</f>
        <v>T/A &amp; Apprentice</v>
      </c>
      <c r="C63" s="53"/>
      <c r="E63" s="45"/>
      <c r="F63" s="169"/>
      <c r="I63" s="45"/>
    </row>
    <row r="64" spans="1:9" ht="10.8" thickBot="1" x14ac:dyDescent="0.25">
      <c r="A64" s="42"/>
      <c r="B64" s="153" t="s">
        <v>1153</v>
      </c>
      <c r="C64" s="172">
        <f>COUNTA(B61,B62,B63)</f>
        <v>3</v>
      </c>
      <c r="D64" s="170"/>
      <c r="E64" s="52"/>
      <c r="F64" s="171"/>
      <c r="I64" s="45"/>
    </row>
    <row r="65" spans="1:9" x14ac:dyDescent="0.2">
      <c r="A65" s="42"/>
      <c r="B65" s="159"/>
      <c r="C65" s="512"/>
      <c r="E65" s="45"/>
      <c r="F65" s="45"/>
      <c r="I65" s="45"/>
    </row>
    <row r="66" spans="1:9" ht="10.8" thickBot="1" x14ac:dyDescent="0.25">
      <c r="A66" s="42"/>
      <c r="B66" s="159"/>
      <c r="E66" s="45"/>
      <c r="F66" s="45"/>
      <c r="I66" s="45"/>
    </row>
    <row r="67" spans="1:9" ht="10.8" thickBot="1" x14ac:dyDescent="0.25">
      <c r="A67" s="42"/>
      <c r="B67" s="46" t="s">
        <v>1231</v>
      </c>
      <c r="C67" s="136" t="s">
        <v>146</v>
      </c>
      <c r="D67" s="136">
        <v>1</v>
      </c>
      <c r="E67" s="276">
        <f>E59</f>
        <v>265.03945363408519</v>
      </c>
      <c r="F67" s="142">
        <f>D67*E67</f>
        <v>265.03945363408519</v>
      </c>
      <c r="I67" s="45"/>
    </row>
    <row r="68" spans="1:9" ht="10.8" thickBot="1" x14ac:dyDescent="0.25">
      <c r="A68" s="42"/>
      <c r="B68" s="167" t="str">
        <f>B60</f>
        <v>** for Roster Examples # 3</v>
      </c>
      <c r="C68" s="139" t="s">
        <v>139</v>
      </c>
      <c r="D68" s="133">
        <v>1</v>
      </c>
      <c r="E68" s="276">
        <f>E60</f>
        <v>2650.394536340852</v>
      </c>
      <c r="F68" s="143">
        <f t="shared" ref="F68:F70" si="7">D68*E68</f>
        <v>2650.394536340852</v>
      </c>
      <c r="I68" s="45"/>
    </row>
    <row r="69" spans="1:9" ht="10.8" thickBot="1" x14ac:dyDescent="0.25">
      <c r="A69" s="42"/>
      <c r="B69" s="513" t="str">
        <f>B61</f>
        <v>TRADESMAN_PLUMBER_OPERATOR</v>
      </c>
      <c r="C69" s="139" t="s">
        <v>416</v>
      </c>
      <c r="D69" s="133">
        <v>1</v>
      </c>
      <c r="E69" s="276">
        <f>E61</f>
        <v>13914.571315789473</v>
      </c>
      <c r="F69" s="143">
        <f t="shared" si="7"/>
        <v>13914.571315789473</v>
      </c>
      <c r="I69" s="45"/>
    </row>
    <row r="70" spans="1:9" ht="10.8" thickBot="1" x14ac:dyDescent="0.25">
      <c r="A70" s="42"/>
      <c r="B70" s="513" t="str">
        <f>B62</f>
        <v>TRADESMAN_PLUMBER_OPERATOR</v>
      </c>
      <c r="C70" s="139" t="s">
        <v>1152</v>
      </c>
      <c r="D70" s="138">
        <v>1</v>
      </c>
      <c r="E70" s="276">
        <f>E62</f>
        <v>55658.285263157893</v>
      </c>
      <c r="F70" s="143">
        <f t="shared" si="7"/>
        <v>55658.285263157893</v>
      </c>
      <c r="I70" s="45"/>
    </row>
    <row r="71" spans="1:9" x14ac:dyDescent="0.2">
      <c r="A71" s="42"/>
      <c r="B71" s="513" t="str">
        <f>B63</f>
        <v>T/A &amp; Apprentice</v>
      </c>
      <c r="C71" s="53"/>
      <c r="E71" s="45"/>
      <c r="F71" s="169"/>
      <c r="I71" s="45"/>
    </row>
    <row r="72" spans="1:9" ht="10.8" thickBot="1" x14ac:dyDescent="0.25">
      <c r="A72" s="42"/>
      <c r="B72" s="153" t="s">
        <v>1153</v>
      </c>
      <c r="C72" s="172">
        <f>COUNTA(B69,B70,B71)</f>
        <v>3</v>
      </c>
      <c r="D72" s="170"/>
      <c r="E72" s="52"/>
      <c r="F72" s="171"/>
      <c r="I72" s="45"/>
    </row>
    <row r="73" spans="1:9" x14ac:dyDescent="0.2">
      <c r="A73" s="42"/>
      <c r="B73" s="159"/>
      <c r="C73" s="512"/>
      <c r="E73" s="45"/>
      <c r="F73" s="45"/>
      <c r="I73" s="45"/>
    </row>
    <row r="74" spans="1:9" ht="10.8" thickBot="1" x14ac:dyDescent="0.25">
      <c r="A74" s="42"/>
      <c r="B74" s="159"/>
      <c r="E74" s="45"/>
      <c r="F74" s="45"/>
      <c r="I74" s="45"/>
    </row>
    <row r="75" spans="1:9" ht="10.8" thickBot="1" x14ac:dyDescent="0.25">
      <c r="A75" s="42"/>
      <c r="B75" s="46" t="s">
        <v>1232</v>
      </c>
      <c r="C75" s="136" t="s">
        <v>146</v>
      </c>
      <c r="D75" s="136">
        <v>1</v>
      </c>
      <c r="E75" s="276">
        <f>E78/$C$10</f>
        <v>170.92298078529655</v>
      </c>
      <c r="F75" s="142">
        <f>D75*E75</f>
        <v>170.92298078529655</v>
      </c>
      <c r="I75" s="45"/>
    </row>
    <row r="76" spans="1:9" ht="10.8" thickBot="1" x14ac:dyDescent="0.25">
      <c r="A76" s="42"/>
      <c r="B76" s="167" t="str">
        <f>B68</f>
        <v>** for Roster Examples # 3</v>
      </c>
      <c r="C76" s="139" t="s">
        <v>139</v>
      </c>
      <c r="D76" s="133">
        <v>1</v>
      </c>
      <c r="E76" s="144">
        <f>E78/$C$8</f>
        <v>1709.2298078529657</v>
      </c>
      <c r="F76" s="143">
        <f t="shared" ref="F76:F78" si="8">D76*E76</f>
        <v>1709.2298078529657</v>
      </c>
      <c r="I76" s="45"/>
    </row>
    <row r="77" spans="1:9" ht="10.8" thickBot="1" x14ac:dyDescent="0.25">
      <c r="A77" s="42"/>
      <c r="B77" s="513" t="str">
        <f>B69</f>
        <v>TRADESMAN_PLUMBER_OPERATOR</v>
      </c>
      <c r="C77" s="139" t="s">
        <v>416</v>
      </c>
      <c r="D77" s="133">
        <v>1</v>
      </c>
      <c r="E77" s="144">
        <f>E78/4</f>
        <v>8973.4564912280694</v>
      </c>
      <c r="F77" s="143">
        <f t="shared" si="8"/>
        <v>8973.4564912280694</v>
      </c>
      <c r="I77" s="45"/>
    </row>
    <row r="78" spans="1:9" ht="10.8" thickBot="1" x14ac:dyDescent="0.25">
      <c r="A78" s="42"/>
      <c r="B78" s="513" t="str">
        <f>B71</f>
        <v>T/A &amp; Apprentice</v>
      </c>
      <c r="C78" s="139" t="s">
        <v>1152</v>
      </c>
      <c r="D78" s="138">
        <v>1</v>
      </c>
      <c r="E78" s="276">
        <f>(E24)+E31</f>
        <v>35893.825964912277</v>
      </c>
      <c r="F78" s="143">
        <f t="shared" si="8"/>
        <v>35893.825964912277</v>
      </c>
      <c r="I78" s="45"/>
    </row>
    <row r="79" spans="1:9" x14ac:dyDescent="0.2">
      <c r="A79" s="42"/>
      <c r="C79" s="53"/>
      <c r="E79" s="45"/>
      <c r="F79" s="169"/>
      <c r="I79" s="45"/>
    </row>
    <row r="80" spans="1:9" ht="10.8" thickBot="1" x14ac:dyDescent="0.25">
      <c r="A80" s="42"/>
      <c r="B80" s="153" t="s">
        <v>1153</v>
      </c>
      <c r="C80" s="172">
        <f>COUNTA(B77,B78)</f>
        <v>2</v>
      </c>
      <c r="D80" s="170"/>
      <c r="E80" s="52"/>
      <c r="F80" s="171"/>
      <c r="I80" s="45"/>
    </row>
    <row r="81" spans="1:9" x14ac:dyDescent="0.2">
      <c r="A81" s="42"/>
      <c r="B81" s="159"/>
      <c r="C81" s="512"/>
      <c r="E81" s="45"/>
      <c r="F81" s="45"/>
      <c r="I81" s="45"/>
    </row>
    <row r="82" spans="1:9" x14ac:dyDescent="0.2">
      <c r="A82" s="42"/>
      <c r="B82" s="159"/>
      <c r="C82" s="512"/>
      <c r="E82" s="45"/>
      <c r="F82" s="45"/>
      <c r="I82" s="45"/>
    </row>
    <row r="83" spans="1:9" x14ac:dyDescent="0.2">
      <c r="A83" s="42"/>
      <c r="B83" s="159"/>
      <c r="C83" s="512"/>
      <c r="E83" s="45"/>
      <c r="F83" s="45"/>
      <c r="I83" s="45"/>
    </row>
    <row r="84" spans="1:9" x14ac:dyDescent="0.2">
      <c r="A84" s="42"/>
      <c r="B84" s="159"/>
      <c r="C84" s="512"/>
      <c r="E84" s="45"/>
      <c r="F84" s="45"/>
      <c r="I84" s="45"/>
    </row>
    <row r="85" spans="1:9" ht="6" customHeight="1" x14ac:dyDescent="0.2">
      <c r="A85" s="42" t="s">
        <v>1154</v>
      </c>
      <c r="B85" s="145"/>
      <c r="C85" s="146"/>
      <c r="D85" s="146"/>
      <c r="E85" s="147"/>
      <c r="F85" s="148"/>
      <c r="I85" s="45"/>
    </row>
    <row r="86" spans="1:9" x14ac:dyDescent="0.2">
      <c r="A86" s="42"/>
      <c r="B86" s="39"/>
      <c r="E86" s="45"/>
      <c r="F86" s="45"/>
      <c r="I86" s="45"/>
    </row>
    <row r="87" spans="1:9" ht="10.8" hidden="1" thickBot="1" x14ac:dyDescent="0.25">
      <c r="A87" s="42"/>
      <c r="B87" s="154" t="s">
        <v>1155</v>
      </c>
      <c r="C87" s="136" t="s">
        <v>146</v>
      </c>
      <c r="D87" s="136">
        <v>0</v>
      </c>
      <c r="E87" s="140">
        <f>E90/$C$10</f>
        <v>653.19319298245603</v>
      </c>
      <c r="F87" s="142">
        <f>D87*E87</f>
        <v>0</v>
      </c>
      <c r="I87" s="45"/>
    </row>
    <row r="88" spans="1:9" hidden="1" x14ac:dyDescent="0.2">
      <c r="A88" s="42"/>
      <c r="B88" s="167" t="s">
        <v>1151</v>
      </c>
      <c r="C88" s="139" t="s">
        <v>139</v>
      </c>
      <c r="D88" s="133">
        <v>0</v>
      </c>
      <c r="E88" s="134">
        <f>E90/$C$8</f>
        <v>6531.9319298245609</v>
      </c>
      <c r="F88" s="143">
        <f t="shared" ref="F88:F90" si="9">D88*E88</f>
        <v>0</v>
      </c>
      <c r="I88" s="45"/>
    </row>
    <row r="89" spans="1:9" hidden="1" x14ac:dyDescent="0.2">
      <c r="A89" s="42"/>
      <c r="B89" s="168" t="str">
        <f>B36</f>
        <v>Crew #1 - InGround Drainage</v>
      </c>
      <c r="C89" s="139" t="s">
        <v>416</v>
      </c>
      <c r="D89" s="133">
        <v>0</v>
      </c>
      <c r="E89" s="134">
        <f>E90/4</f>
        <v>34292.642631578943</v>
      </c>
      <c r="F89" s="143">
        <f t="shared" si="9"/>
        <v>0</v>
      </c>
      <c r="I89" s="45"/>
    </row>
    <row r="90" spans="1:9" ht="10.8" hidden="1" thickBot="1" x14ac:dyDescent="0.25">
      <c r="A90" s="42"/>
      <c r="B90" s="168" t="str">
        <f>B43</f>
        <v>Crew #2 - InGround Water/Fire</v>
      </c>
      <c r="C90" s="139" t="s">
        <v>1152</v>
      </c>
      <c r="D90" s="138">
        <v>4</v>
      </c>
      <c r="E90" s="141">
        <f>E46+E39+E17</f>
        <v>137170.57052631577</v>
      </c>
      <c r="F90" s="143">
        <f t="shared" si="9"/>
        <v>548682.28210526309</v>
      </c>
      <c r="I90" s="45"/>
    </row>
    <row r="91" spans="1:9" hidden="1" x14ac:dyDescent="0.2">
      <c r="A91" s="42"/>
      <c r="B91" s="100" t="str">
        <f>B14</f>
        <v>TRADESMAN_LEADING HAND</v>
      </c>
      <c r="C91" s="53"/>
      <c r="E91" s="45"/>
      <c r="F91" s="169"/>
      <c r="I91" s="45"/>
    </row>
    <row r="92" spans="1:9" ht="10.8" hidden="1" thickBot="1" x14ac:dyDescent="0.25">
      <c r="A92" s="42"/>
      <c r="B92" s="153" t="s">
        <v>1153</v>
      </c>
      <c r="C92" s="172">
        <f>C48+C41+C19</f>
        <v>7</v>
      </c>
      <c r="D92" s="170"/>
      <c r="E92" s="52"/>
      <c r="F92" s="171"/>
      <c r="I92" s="45"/>
    </row>
    <row r="93" spans="1:9" x14ac:dyDescent="0.2">
      <c r="A93" s="42"/>
      <c r="B93" s="39"/>
      <c r="E93" s="45"/>
      <c r="F93" s="45"/>
      <c r="I93" s="45"/>
    </row>
    <row r="94" spans="1:9" ht="6" customHeight="1" x14ac:dyDescent="0.2">
      <c r="A94" s="42" t="s">
        <v>1154</v>
      </c>
      <c r="B94" s="145"/>
      <c r="C94" s="146"/>
      <c r="D94" s="146"/>
      <c r="E94" s="147"/>
      <c r="F94" s="148"/>
      <c r="I94" s="45"/>
    </row>
    <row r="95" spans="1:9" x14ac:dyDescent="0.2">
      <c r="A95" s="42"/>
      <c r="B95" s="39"/>
      <c r="E95" s="45"/>
      <c r="F95" s="45"/>
      <c r="I95" s="45"/>
    </row>
    <row r="96" spans="1:9" ht="10.8" thickBot="1" x14ac:dyDescent="0.25">
      <c r="A96" s="42"/>
      <c r="B96" s="39"/>
      <c r="E96" s="45"/>
      <c r="F96" s="45"/>
      <c r="I96" s="45"/>
    </row>
    <row r="97" spans="1:12" ht="18" thickBot="1" x14ac:dyDescent="0.35">
      <c r="A97" s="42"/>
      <c r="B97" s="557" t="s">
        <v>1156</v>
      </c>
      <c r="C97" s="558"/>
      <c r="D97" s="558"/>
      <c r="E97" s="558"/>
      <c r="F97" s="559"/>
    </row>
    <row r="98" spans="1:12" x14ac:dyDescent="0.2">
      <c r="A98" s="42"/>
      <c r="C98" s="42" t="s">
        <v>102</v>
      </c>
      <c r="D98" s="42" t="s">
        <v>103</v>
      </c>
      <c r="E98" s="44" t="s">
        <v>9</v>
      </c>
      <c r="F98" s="223" t="s">
        <v>1135</v>
      </c>
      <c r="G98" s="222"/>
    </row>
    <row r="99" spans="1:12" ht="10.8" thickBot="1" x14ac:dyDescent="0.25">
      <c r="A99" s="42"/>
      <c r="B99" s="39"/>
      <c r="E99" s="45"/>
      <c r="F99" s="45"/>
      <c r="I99" s="45"/>
    </row>
    <row r="100" spans="1:12" ht="10.8" thickBot="1" x14ac:dyDescent="0.25">
      <c r="A100" s="42"/>
      <c r="B100" s="46" t="str">
        <f>Accomodation_Master!B266</f>
        <v>Full Apartment / TownHouse / Unit - VIA AGENT</v>
      </c>
      <c r="C100" s="136"/>
      <c r="D100" s="136"/>
      <c r="E100" s="221" t="s">
        <v>1157</v>
      </c>
      <c r="F100" s="142"/>
      <c r="G100" s="243">
        <v>11</v>
      </c>
      <c r="I100" s="45"/>
    </row>
    <row r="101" spans="1:12" x14ac:dyDescent="0.2">
      <c r="A101" s="42"/>
      <c r="B101" s="167" t="s">
        <v>1151</v>
      </c>
      <c r="C101" s="139" t="s">
        <v>1158</v>
      </c>
      <c r="D101" s="133">
        <v>0</v>
      </c>
      <c r="E101" s="134">
        <f>E102/7</f>
        <v>164.5021645021645</v>
      </c>
      <c r="F101" s="143">
        <f t="shared" ref="F101:F103" si="10">D101*E101</f>
        <v>0</v>
      </c>
      <c r="I101" s="45"/>
    </row>
    <row r="102" spans="1:12" x14ac:dyDescent="0.2">
      <c r="A102" s="42"/>
      <c r="B102" s="168"/>
      <c r="C102" s="139" t="s">
        <v>416</v>
      </c>
      <c r="D102" s="133">
        <v>0</v>
      </c>
      <c r="E102" s="134">
        <f>E103/4</f>
        <v>1151.5151515151515</v>
      </c>
      <c r="F102" s="143">
        <f t="shared" si="10"/>
        <v>0</v>
      </c>
      <c r="I102" s="45"/>
    </row>
    <row r="103" spans="1:12" ht="10.8" thickBot="1" x14ac:dyDescent="0.25">
      <c r="A103" s="42"/>
      <c r="B103" s="168" t="str">
        <f>B21</f>
        <v>TRADESMAN_PLUMBER_OPERATOR</v>
      </c>
      <c r="C103" s="139" t="s">
        <v>1152</v>
      </c>
      <c r="D103" s="138">
        <v>0</v>
      </c>
      <c r="E103" s="141">
        <f>(Accomodation_Master!E308)-(Accomodation_Master!E308/G100)</f>
        <v>4606.060606060606</v>
      </c>
      <c r="F103" s="143">
        <f t="shared" si="10"/>
        <v>0</v>
      </c>
      <c r="I103" s="45"/>
      <c r="K103" s="190"/>
      <c r="L103" s="190"/>
    </row>
    <row r="104" spans="1:12" x14ac:dyDescent="0.2">
      <c r="A104" s="42"/>
      <c r="B104" s="100" t="str">
        <f>B21</f>
        <v>TRADESMAN_PLUMBER_OPERATOR</v>
      </c>
      <c r="C104" s="53"/>
      <c r="E104" s="45"/>
      <c r="F104" s="169"/>
      <c r="I104" s="45"/>
    </row>
    <row r="105" spans="1:12" x14ac:dyDescent="0.2">
      <c r="A105" s="152"/>
      <c r="B105" s="100" t="str">
        <f>B28</f>
        <v>T/A &amp; Apprentice</v>
      </c>
      <c r="E105" s="45"/>
      <c r="F105" s="210"/>
      <c r="I105" s="45"/>
    </row>
    <row r="106" spans="1:12" ht="10.8" thickBot="1" x14ac:dyDescent="0.25">
      <c r="A106" s="42"/>
      <c r="B106" s="153" t="s">
        <v>1153</v>
      </c>
      <c r="C106" s="172">
        <f>COUNTA(B103,B104,B105)</f>
        <v>3</v>
      </c>
      <c r="D106" s="170"/>
      <c r="E106" s="52"/>
      <c r="F106" s="171"/>
      <c r="I106" s="45"/>
    </row>
    <row r="107" spans="1:12" ht="10.8" thickBot="1" x14ac:dyDescent="0.25">
      <c r="A107" s="42"/>
      <c r="B107" s="39"/>
      <c r="E107" s="45"/>
      <c r="F107" s="45"/>
      <c r="I107" s="45"/>
    </row>
    <row r="108" spans="1:12" ht="10.8" thickBot="1" x14ac:dyDescent="0.25">
      <c r="A108" s="42"/>
      <c r="B108" s="46" t="s">
        <v>1159</v>
      </c>
      <c r="C108" s="136"/>
      <c r="D108" s="136"/>
      <c r="E108" s="221" t="s">
        <v>1157</v>
      </c>
      <c r="F108" s="142"/>
      <c r="G108" s="243">
        <v>11</v>
      </c>
      <c r="I108" s="45"/>
    </row>
    <row r="109" spans="1:12" x14ac:dyDescent="0.2">
      <c r="A109" s="42"/>
      <c r="B109" s="167" t="s">
        <v>1151</v>
      </c>
      <c r="C109" s="139" t="s">
        <v>1158</v>
      </c>
      <c r="D109" s="133">
        <v>0</v>
      </c>
      <c r="E109" s="134">
        <f>(Accomodation_Master!F364)-(Accomodation_Master!F364/G108)</f>
        <v>103.24675324675326</v>
      </c>
      <c r="F109" s="143">
        <f t="shared" ref="F109:F111" si="11">D109*E109</f>
        <v>0</v>
      </c>
      <c r="I109" s="45"/>
    </row>
    <row r="110" spans="1:12" x14ac:dyDescent="0.2">
      <c r="A110" s="42"/>
      <c r="B110" s="211" t="str">
        <f>Accomodation_Master!$B$364</f>
        <v>TCS Cost Per Person - Private Unit - NO SHARE - Nightly Booking (average allowance)</v>
      </c>
      <c r="C110" s="139" t="s">
        <v>416</v>
      </c>
      <c r="D110" s="133">
        <v>0</v>
      </c>
      <c r="E110" s="134">
        <f>E109*7</f>
        <v>722.72727272727275</v>
      </c>
      <c r="F110" s="143">
        <f t="shared" si="11"/>
        <v>0</v>
      </c>
      <c r="I110" s="45"/>
    </row>
    <row r="111" spans="1:12" ht="10.8" thickBot="1" x14ac:dyDescent="0.25">
      <c r="A111" s="42"/>
      <c r="B111" s="168"/>
      <c r="C111" s="139" t="s">
        <v>1152</v>
      </c>
      <c r="D111" s="138">
        <v>0</v>
      </c>
      <c r="E111" s="141">
        <f>E110*4</f>
        <v>2890.909090909091</v>
      </c>
      <c r="F111" s="143">
        <f t="shared" si="11"/>
        <v>0</v>
      </c>
      <c r="I111" s="45"/>
    </row>
    <row r="112" spans="1:12" x14ac:dyDescent="0.2">
      <c r="A112" s="42"/>
      <c r="B112" s="100"/>
      <c r="C112" s="53"/>
      <c r="E112" s="45"/>
      <c r="F112" s="169"/>
      <c r="I112" s="45"/>
    </row>
    <row r="113" spans="1:9" ht="10.8" thickBot="1" x14ac:dyDescent="0.25">
      <c r="A113" s="152"/>
      <c r="B113" s="132"/>
      <c r="C113" s="170"/>
      <c r="D113" s="170"/>
      <c r="E113" s="52"/>
      <c r="F113" s="171"/>
      <c r="I113" s="45"/>
    </row>
    <row r="114" spans="1:9" x14ac:dyDescent="0.2">
      <c r="A114" s="42"/>
      <c r="B114" s="39"/>
      <c r="E114" s="45"/>
      <c r="F114" s="45"/>
      <c r="I114" s="45"/>
    </row>
    <row r="115" spans="1:9" x14ac:dyDescent="0.2">
      <c r="A115" s="42"/>
      <c r="B115" s="39"/>
      <c r="E115" s="45"/>
      <c r="F115" s="45"/>
      <c r="I115" s="45"/>
    </row>
  </sheetData>
  <mergeCells count="2">
    <mergeCell ref="B97:F97"/>
    <mergeCell ref="B12:F12"/>
  </mergeCells>
  <printOptions gridLines="1"/>
  <pageMargins left="0.46" right="0.42" top="0.37" bottom="0.4" header="0.39" footer="0.38"/>
  <pageSetup paperSize="8" scale="80"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1E36F-5267-4CF2-A78E-BF24FDE75EF9}">
  <sheetPr>
    <tabColor rgb="FF92D050"/>
  </sheetPr>
  <dimension ref="A2:M257"/>
  <sheetViews>
    <sheetView topLeftCell="A137" zoomScale="95" zoomScaleNormal="95" workbookViewId="0">
      <selection activeCell="D156" sqref="D156"/>
    </sheetView>
  </sheetViews>
  <sheetFormatPr defaultColWidth="8.88671875" defaultRowHeight="14.4" x14ac:dyDescent="0.3"/>
  <cols>
    <col min="1" max="1" width="49.109375" style="120" customWidth="1"/>
    <col min="2" max="2" width="12" style="120" bestFit="1" customWidth="1"/>
    <col min="3" max="3" width="5.6640625" style="125" customWidth="1"/>
    <col min="4" max="4" width="11.88671875" style="125" customWidth="1"/>
    <col min="5" max="5" width="8.33203125" style="125" bestFit="1" customWidth="1"/>
    <col min="6" max="6" width="11.5546875" style="125" customWidth="1"/>
    <col min="7" max="7" width="13.88671875" style="124" customWidth="1"/>
    <col min="8" max="9" width="8.88671875" style="120"/>
    <col min="10" max="10" width="11" style="120" customWidth="1"/>
    <col min="11" max="11" width="10.33203125" style="120" bestFit="1" customWidth="1"/>
    <col min="12" max="12" width="11.33203125" style="120" customWidth="1"/>
    <col min="13" max="16384" width="8.88671875" style="120"/>
  </cols>
  <sheetData>
    <row r="2" spans="1:12" x14ac:dyDescent="0.3">
      <c r="A2" s="196"/>
      <c r="B2" s="196"/>
      <c r="I2" s="196"/>
    </row>
    <row r="3" spans="1:12" x14ac:dyDescent="0.3">
      <c r="A3" s="251" t="s">
        <v>1074</v>
      </c>
      <c r="B3" s="252"/>
      <c r="I3" s="252"/>
    </row>
    <row r="4" spans="1:12" x14ac:dyDescent="0.3">
      <c r="A4" s="255" t="s">
        <v>354</v>
      </c>
      <c r="B4" s="258" t="s">
        <v>102</v>
      </c>
      <c r="C4" s="257"/>
      <c r="D4" s="258" t="s">
        <v>939</v>
      </c>
      <c r="E4" s="257"/>
      <c r="F4" s="258" t="s">
        <v>940</v>
      </c>
      <c r="I4" s="258" t="s">
        <v>914</v>
      </c>
    </row>
    <row r="5" spans="1:12" x14ac:dyDescent="0.3">
      <c r="A5" s="248" t="s">
        <v>256</v>
      </c>
      <c r="B5" s="247" t="s">
        <v>149</v>
      </c>
      <c r="D5" s="437">
        <f>'[3]240522_Supplier RFQ'!F16</f>
        <v>33.920833333333334</v>
      </c>
      <c r="F5" s="125">
        <f>I5*D5</f>
        <v>16282</v>
      </c>
      <c r="G5" s="560" t="s">
        <v>1075</v>
      </c>
      <c r="H5" s="260"/>
      <c r="I5" s="247">
        <v>480</v>
      </c>
      <c r="J5" s="260"/>
      <c r="K5" s="260"/>
      <c r="L5" s="260"/>
    </row>
    <row r="6" spans="1:12" x14ac:dyDescent="0.3">
      <c r="A6" s="248" t="s">
        <v>257</v>
      </c>
      <c r="B6" s="247" t="s">
        <v>149</v>
      </c>
      <c r="D6" s="437">
        <f>'[3]240522_Supplier RFQ'!F17</f>
        <v>25.466666666666669</v>
      </c>
      <c r="F6" s="125">
        <f>I6*D6</f>
        <v>128657.60000000001</v>
      </c>
      <c r="G6" s="561"/>
      <c r="I6" s="247">
        <v>5052</v>
      </c>
    </row>
    <row r="7" spans="1:12" x14ac:dyDescent="0.3">
      <c r="A7" s="248" t="s">
        <v>258</v>
      </c>
      <c r="B7" s="247" t="s">
        <v>149</v>
      </c>
      <c r="D7" s="437">
        <f>'[3]240522_Supplier RFQ'!F18</f>
        <v>12.314166666666667</v>
      </c>
      <c r="F7" s="125">
        <f>I7*D7</f>
        <v>13151.53</v>
      </c>
      <c r="G7" s="561"/>
      <c r="I7" s="247">
        <v>1068</v>
      </c>
    </row>
    <row r="8" spans="1:12" x14ac:dyDescent="0.3">
      <c r="A8" s="248" t="s">
        <v>260</v>
      </c>
      <c r="B8" s="247" t="s">
        <v>149</v>
      </c>
      <c r="D8" s="437">
        <f>'[3]240522_Supplier RFQ'!F19</f>
        <v>1.2159</v>
      </c>
      <c r="F8" s="125">
        <f>I8*D8</f>
        <v>121.59</v>
      </c>
      <c r="G8" s="561"/>
      <c r="I8" s="247">
        <v>100</v>
      </c>
    </row>
    <row r="9" spans="1:12" ht="7.95" customHeight="1" x14ac:dyDescent="0.3">
      <c r="A9" s="248"/>
      <c r="B9" s="248"/>
      <c r="D9" s="437"/>
      <c r="G9" s="561"/>
      <c r="I9" s="248"/>
    </row>
    <row r="10" spans="1:12" x14ac:dyDescent="0.3">
      <c r="A10" s="248" t="s">
        <v>261</v>
      </c>
      <c r="B10" s="247" t="s">
        <v>115</v>
      </c>
      <c r="D10" s="437">
        <f>'[3]240522_Supplier RFQ'!F21</f>
        <v>44.06</v>
      </c>
      <c r="F10" s="125">
        <f t="shared" ref="F10:F31" si="0">I10*D10</f>
        <v>1321.8000000000002</v>
      </c>
      <c r="G10" s="560" t="s">
        <v>1075</v>
      </c>
      <c r="I10" s="247">
        <v>30</v>
      </c>
    </row>
    <row r="11" spans="1:12" x14ac:dyDescent="0.3">
      <c r="A11" s="248" t="s">
        <v>262</v>
      </c>
      <c r="B11" s="247" t="s">
        <v>115</v>
      </c>
      <c r="D11" s="437">
        <f>'[3]240522_Supplier RFQ'!F22</f>
        <v>25.72</v>
      </c>
      <c r="F11" s="125">
        <f t="shared" si="0"/>
        <v>5144</v>
      </c>
      <c r="G11" s="561"/>
      <c r="I11" s="247">
        <v>200</v>
      </c>
    </row>
    <row r="12" spans="1:12" x14ac:dyDescent="0.3">
      <c r="A12" s="248" t="s">
        <v>263</v>
      </c>
      <c r="B12" s="247" t="s">
        <v>115</v>
      </c>
      <c r="D12" s="437">
        <f>'[3]240522_Supplier RFQ'!F23</f>
        <v>14.11</v>
      </c>
      <c r="F12" s="125">
        <f t="shared" si="0"/>
        <v>1411</v>
      </c>
      <c r="G12" s="561"/>
      <c r="I12" s="247">
        <v>100</v>
      </c>
    </row>
    <row r="13" spans="1:12" x14ac:dyDescent="0.3">
      <c r="A13" s="248" t="s">
        <v>264</v>
      </c>
      <c r="B13" s="247" t="s">
        <v>115</v>
      </c>
      <c r="D13" s="437">
        <f>'[3]240522_Supplier RFQ'!F24</f>
        <v>109.16</v>
      </c>
      <c r="F13" s="125">
        <f t="shared" si="0"/>
        <v>218.32</v>
      </c>
      <c r="G13" s="561"/>
      <c r="I13" s="247">
        <v>2</v>
      </c>
    </row>
    <row r="14" spans="1:12" x14ac:dyDescent="0.3">
      <c r="A14" s="248" t="s">
        <v>265</v>
      </c>
      <c r="B14" s="247" t="s">
        <v>115</v>
      </c>
      <c r="D14" s="437">
        <f>'[3]240522_Supplier RFQ'!F25</f>
        <v>97.97</v>
      </c>
      <c r="F14" s="125">
        <f t="shared" si="0"/>
        <v>12736.1</v>
      </c>
      <c r="G14" s="561"/>
      <c r="I14" s="247">
        <v>130</v>
      </c>
    </row>
    <row r="15" spans="1:12" x14ac:dyDescent="0.3">
      <c r="A15" s="248" t="s">
        <v>266</v>
      </c>
      <c r="B15" s="247" t="s">
        <v>115</v>
      </c>
      <c r="D15" s="437">
        <f>'[3]240522_Supplier RFQ'!F26</f>
        <v>44.69</v>
      </c>
      <c r="F15" s="125">
        <f t="shared" si="0"/>
        <v>1117.25</v>
      </c>
      <c r="G15" s="560" t="s">
        <v>1075</v>
      </c>
      <c r="I15" s="247">
        <v>25</v>
      </c>
    </row>
    <row r="16" spans="1:12" x14ac:dyDescent="0.3">
      <c r="A16" s="248" t="s">
        <v>267</v>
      </c>
      <c r="B16" s="247" t="s">
        <v>115</v>
      </c>
      <c r="D16" s="437">
        <f>'[3]240522_Supplier RFQ'!F27</f>
        <v>109.16</v>
      </c>
      <c r="F16" s="125">
        <f t="shared" si="0"/>
        <v>654.96</v>
      </c>
      <c r="G16" s="561"/>
      <c r="I16" s="247">
        <v>6</v>
      </c>
    </row>
    <row r="17" spans="1:9" x14ac:dyDescent="0.3">
      <c r="A17" s="248" t="s">
        <v>268</v>
      </c>
      <c r="B17" s="247" t="s">
        <v>115</v>
      </c>
      <c r="D17" s="437">
        <f>'[3]240522_Supplier RFQ'!F28</f>
        <v>97.81</v>
      </c>
      <c r="F17" s="125">
        <f t="shared" si="0"/>
        <v>7824.8</v>
      </c>
      <c r="G17" s="561"/>
      <c r="I17" s="247">
        <v>80</v>
      </c>
    </row>
    <row r="18" spans="1:9" x14ac:dyDescent="0.3">
      <c r="A18" s="248" t="s">
        <v>269</v>
      </c>
      <c r="B18" s="247" t="s">
        <v>115</v>
      </c>
      <c r="D18" s="437">
        <f>'[3]240522_Supplier RFQ'!F29</f>
        <v>44.65</v>
      </c>
      <c r="F18" s="125">
        <f t="shared" si="0"/>
        <v>3572</v>
      </c>
      <c r="G18" s="561"/>
      <c r="I18" s="247">
        <v>80</v>
      </c>
    </row>
    <row r="19" spans="1:9" x14ac:dyDescent="0.3">
      <c r="A19" s="248" t="s">
        <v>270</v>
      </c>
      <c r="B19" s="247" t="s">
        <v>115</v>
      </c>
      <c r="D19" s="437">
        <f>'[3]240522_Supplier RFQ'!F30</f>
        <v>109.75</v>
      </c>
      <c r="F19" s="125">
        <f t="shared" si="0"/>
        <v>329.25</v>
      </c>
      <c r="G19" s="561"/>
      <c r="I19" s="247">
        <v>3</v>
      </c>
    </row>
    <row r="20" spans="1:9" x14ac:dyDescent="0.3">
      <c r="A20" s="248" t="s">
        <v>271</v>
      </c>
      <c r="B20" s="247" t="s">
        <v>115</v>
      </c>
      <c r="D20" s="437">
        <f>'[3]240522_Supplier RFQ'!F31</f>
        <v>114.28</v>
      </c>
      <c r="F20" s="125">
        <f t="shared" si="0"/>
        <v>4571.2</v>
      </c>
      <c r="G20" s="560" t="s">
        <v>1075</v>
      </c>
      <c r="I20" s="247">
        <v>40</v>
      </c>
    </row>
    <row r="21" spans="1:9" x14ac:dyDescent="0.3">
      <c r="A21" s="248" t="s">
        <v>272</v>
      </c>
      <c r="B21" s="247" t="s">
        <v>115</v>
      </c>
      <c r="D21" s="437">
        <f>'[3]240522_Supplier RFQ'!F32</f>
        <v>49.25</v>
      </c>
      <c r="F21" s="125">
        <f t="shared" si="0"/>
        <v>49.25</v>
      </c>
      <c r="G21" s="561"/>
      <c r="I21" s="247">
        <v>1</v>
      </c>
    </row>
    <row r="22" spans="1:9" x14ac:dyDescent="0.3">
      <c r="A22" s="248" t="s">
        <v>273</v>
      </c>
      <c r="B22" s="247" t="s">
        <v>115</v>
      </c>
      <c r="D22" s="437">
        <f>'[3]240522_Supplier RFQ'!F33</f>
        <v>209.47</v>
      </c>
      <c r="F22" s="125">
        <f t="shared" si="0"/>
        <v>418.94</v>
      </c>
      <c r="G22" s="561"/>
      <c r="I22" s="247">
        <v>2</v>
      </c>
    </row>
    <row r="23" spans="1:9" x14ac:dyDescent="0.3">
      <c r="A23" s="248" t="s">
        <v>274</v>
      </c>
      <c r="B23" s="247" t="s">
        <v>115</v>
      </c>
      <c r="D23" s="437">
        <f>'[3]240522_Supplier RFQ'!F34</f>
        <v>218.42000000000002</v>
      </c>
      <c r="F23" s="125">
        <f t="shared" si="0"/>
        <v>436.84000000000003</v>
      </c>
      <c r="G23" s="561"/>
      <c r="I23" s="247">
        <v>2</v>
      </c>
    </row>
    <row r="24" spans="1:9" x14ac:dyDescent="0.3">
      <c r="A24" s="248" t="s">
        <v>275</v>
      </c>
      <c r="B24" s="247" t="s">
        <v>115</v>
      </c>
      <c r="D24" s="437">
        <f>'[3]240522_Supplier RFQ'!F35</f>
        <v>122.13</v>
      </c>
      <c r="F24" s="125">
        <f t="shared" si="0"/>
        <v>4885.2</v>
      </c>
      <c r="G24" s="561"/>
      <c r="I24" s="247">
        <v>40</v>
      </c>
    </row>
    <row r="25" spans="1:9" x14ac:dyDescent="0.3">
      <c r="A25" s="248" t="s">
        <v>276</v>
      </c>
      <c r="B25" s="247" t="s">
        <v>115</v>
      </c>
      <c r="D25" s="437">
        <f>'[3]240522_Supplier RFQ'!F36</f>
        <v>125.62</v>
      </c>
      <c r="F25" s="125">
        <f t="shared" si="0"/>
        <v>502.48</v>
      </c>
      <c r="G25" s="560" t="s">
        <v>1075</v>
      </c>
      <c r="I25" s="247">
        <v>4</v>
      </c>
    </row>
    <row r="26" spans="1:9" x14ac:dyDescent="0.3">
      <c r="A26" s="248" t="s">
        <v>277</v>
      </c>
      <c r="B26" s="247" t="s">
        <v>115</v>
      </c>
      <c r="D26" s="437">
        <f>'[3]240522_Supplier RFQ'!F37</f>
        <v>60.1</v>
      </c>
      <c r="F26" s="125">
        <f t="shared" si="0"/>
        <v>1202</v>
      </c>
      <c r="G26" s="561"/>
      <c r="I26" s="247">
        <v>20</v>
      </c>
    </row>
    <row r="27" spans="1:9" x14ac:dyDescent="0.3">
      <c r="A27" s="248" t="s">
        <v>279</v>
      </c>
      <c r="B27" s="247" t="s">
        <v>115</v>
      </c>
      <c r="D27" s="437">
        <f>'[3]240522_Supplier RFQ'!F38</f>
        <v>342.35</v>
      </c>
      <c r="F27" s="125">
        <f t="shared" si="0"/>
        <v>3423.5</v>
      </c>
      <c r="G27" s="561"/>
      <c r="I27" s="247">
        <v>10</v>
      </c>
    </row>
    <row r="28" spans="1:9" x14ac:dyDescent="0.3">
      <c r="A28" s="248" t="s">
        <v>280</v>
      </c>
      <c r="B28" s="247" t="s">
        <v>115</v>
      </c>
      <c r="D28" s="437">
        <f>'[3]240522_Supplier RFQ'!F39</f>
        <v>129.77000000000001</v>
      </c>
      <c r="F28" s="125">
        <f t="shared" si="0"/>
        <v>7786.2000000000007</v>
      </c>
      <c r="G28" s="561"/>
      <c r="I28" s="247">
        <v>60</v>
      </c>
    </row>
    <row r="29" spans="1:9" x14ac:dyDescent="0.3">
      <c r="A29" s="248" t="s">
        <v>281</v>
      </c>
      <c r="B29" s="247" t="s">
        <v>115</v>
      </c>
      <c r="D29" s="437">
        <f>'[3]240522_Supplier RFQ'!F40</f>
        <v>92.67</v>
      </c>
      <c r="F29" s="125">
        <f t="shared" si="0"/>
        <v>1853.4</v>
      </c>
      <c r="G29" s="561"/>
      <c r="I29" s="247">
        <v>20</v>
      </c>
    </row>
    <row r="30" spans="1:9" x14ac:dyDescent="0.3">
      <c r="A30" s="248" t="s">
        <v>282</v>
      </c>
      <c r="B30" s="247" t="s">
        <v>115</v>
      </c>
      <c r="D30" s="297">
        <f>'[3]240522_Supplier RFQ'!$L$41</f>
        <v>313.19</v>
      </c>
      <c r="F30" s="125">
        <f t="shared" si="0"/>
        <v>3131.9</v>
      </c>
      <c r="G30" s="560" t="s">
        <v>1075</v>
      </c>
      <c r="I30" s="247">
        <v>10</v>
      </c>
    </row>
    <row r="31" spans="1:9" x14ac:dyDescent="0.3">
      <c r="A31" s="248" t="s">
        <v>283</v>
      </c>
      <c r="B31" s="247" t="s">
        <v>115</v>
      </c>
      <c r="D31" s="297">
        <f>'[3]240522_Supplier RFQ'!$L$42</f>
        <v>204.11</v>
      </c>
      <c r="F31" s="125">
        <f t="shared" si="0"/>
        <v>10205.5</v>
      </c>
      <c r="G31" s="561"/>
      <c r="I31" s="247">
        <v>50</v>
      </c>
    </row>
    <row r="32" spans="1:9" ht="6.6" customHeight="1" x14ac:dyDescent="0.3">
      <c r="A32" s="248"/>
      <c r="B32" s="248"/>
      <c r="G32" s="561"/>
      <c r="I32" s="248"/>
    </row>
    <row r="33" spans="1:9" x14ac:dyDescent="0.3">
      <c r="A33" t="s">
        <v>284</v>
      </c>
      <c r="B33" s="292" t="s">
        <v>115</v>
      </c>
      <c r="D33" s="297">
        <f>'[3]240522_Supplier RFQ'!F44</f>
        <v>315.70999999999998</v>
      </c>
      <c r="F33" s="125">
        <f t="shared" ref="F33:F48" si="1">I33*D33</f>
        <v>3157.1</v>
      </c>
      <c r="G33" s="561"/>
      <c r="I33" s="292">
        <v>10</v>
      </c>
    </row>
    <row r="34" spans="1:9" x14ac:dyDescent="0.3">
      <c r="A34" t="s">
        <v>285</v>
      </c>
      <c r="B34" s="292" t="s">
        <v>115</v>
      </c>
      <c r="D34" s="297">
        <f>'[3]240522_Supplier RFQ'!F45</f>
        <v>201.43</v>
      </c>
      <c r="F34" s="125">
        <f t="shared" si="1"/>
        <v>10071.5</v>
      </c>
      <c r="G34" s="561"/>
      <c r="I34" s="292">
        <v>50</v>
      </c>
    </row>
    <row r="35" spans="1:9" x14ac:dyDescent="0.3">
      <c r="A35" s="248" t="s">
        <v>286</v>
      </c>
      <c r="B35" s="247" t="s">
        <v>115</v>
      </c>
      <c r="D35" s="297">
        <f>'[3]240522_Supplier RFQ'!F46</f>
        <v>68.540000000000006</v>
      </c>
      <c r="F35" s="125">
        <f t="shared" si="1"/>
        <v>137.08000000000001</v>
      </c>
      <c r="G35" s="560" t="s">
        <v>1075</v>
      </c>
      <c r="I35" s="247">
        <v>2</v>
      </c>
    </row>
    <row r="36" spans="1:9" x14ac:dyDescent="0.3">
      <c r="A36" s="248" t="s">
        <v>287</v>
      </c>
      <c r="B36" s="247" t="s">
        <v>115</v>
      </c>
      <c r="D36" s="297">
        <f>'[3]240522_Supplier RFQ'!F47</f>
        <v>64.459999999999994</v>
      </c>
      <c r="F36" s="125">
        <f t="shared" si="1"/>
        <v>8379.7999999999993</v>
      </c>
      <c r="G36" s="561"/>
      <c r="I36" s="247">
        <v>130</v>
      </c>
    </row>
    <row r="37" spans="1:9" x14ac:dyDescent="0.3">
      <c r="A37" s="248" t="s">
        <v>288</v>
      </c>
      <c r="B37" s="247" t="s">
        <v>115</v>
      </c>
      <c r="D37" s="297">
        <f>'[3]240522_Supplier RFQ'!F48</f>
        <v>38.76</v>
      </c>
      <c r="F37" s="125">
        <f t="shared" si="1"/>
        <v>969</v>
      </c>
      <c r="G37" s="561"/>
      <c r="I37" s="247">
        <v>25</v>
      </c>
    </row>
    <row r="38" spans="1:9" x14ac:dyDescent="0.3">
      <c r="A38" s="248" t="s">
        <v>289</v>
      </c>
      <c r="B38" s="247" t="s">
        <v>115</v>
      </c>
      <c r="D38" s="297">
        <f>'[3]240522_Supplier RFQ'!F49</f>
        <v>86.17</v>
      </c>
      <c r="F38" s="125">
        <f t="shared" si="1"/>
        <v>517.02</v>
      </c>
      <c r="G38" s="561"/>
      <c r="I38" s="247">
        <v>6</v>
      </c>
    </row>
    <row r="39" spans="1:9" x14ac:dyDescent="0.3">
      <c r="A39" s="248" t="s">
        <v>290</v>
      </c>
      <c r="B39" s="247" t="s">
        <v>115</v>
      </c>
      <c r="D39" s="297">
        <f>'[3]240522_Supplier RFQ'!F50</f>
        <v>68.11</v>
      </c>
      <c r="F39" s="125">
        <f t="shared" si="1"/>
        <v>5448.8</v>
      </c>
      <c r="G39" s="561"/>
      <c r="I39" s="247">
        <v>80</v>
      </c>
    </row>
    <row r="40" spans="1:9" x14ac:dyDescent="0.3">
      <c r="A40" s="248" t="s">
        <v>291</v>
      </c>
      <c r="B40" s="247" t="s">
        <v>115</v>
      </c>
      <c r="D40" s="297">
        <f>'[3]240522_Supplier RFQ'!F51</f>
        <v>31.65</v>
      </c>
      <c r="F40" s="125">
        <f t="shared" si="1"/>
        <v>2532</v>
      </c>
      <c r="G40" s="560" t="s">
        <v>1075</v>
      </c>
      <c r="I40" s="247">
        <v>80</v>
      </c>
    </row>
    <row r="41" spans="1:9" x14ac:dyDescent="0.3">
      <c r="A41" s="248" t="s">
        <v>292</v>
      </c>
      <c r="B41" s="247" t="s">
        <v>115</v>
      </c>
      <c r="D41" s="297">
        <f>'[3]240522_Supplier RFQ'!F52</f>
        <v>127.64</v>
      </c>
      <c r="F41" s="125">
        <f t="shared" si="1"/>
        <v>382.92</v>
      </c>
      <c r="G41" s="561"/>
      <c r="I41" s="247">
        <v>3</v>
      </c>
    </row>
    <row r="42" spans="1:9" x14ac:dyDescent="0.3">
      <c r="A42" s="248" t="s">
        <v>293</v>
      </c>
      <c r="B42" s="247" t="s">
        <v>115</v>
      </c>
      <c r="D42" s="297">
        <f>'[3]240522_Supplier RFQ'!F53</f>
        <v>114.22</v>
      </c>
      <c r="F42" s="125">
        <f t="shared" si="1"/>
        <v>4568.8</v>
      </c>
      <c r="G42" s="561"/>
      <c r="I42" s="247">
        <v>40</v>
      </c>
    </row>
    <row r="43" spans="1:9" x14ac:dyDescent="0.3">
      <c r="A43" s="248" t="s">
        <v>294</v>
      </c>
      <c r="B43" s="247" t="s">
        <v>115</v>
      </c>
      <c r="D43" s="297">
        <f>'[3]240522_Supplier RFQ'!F54</f>
        <v>38.26</v>
      </c>
      <c r="F43" s="125">
        <f t="shared" si="1"/>
        <v>38.26</v>
      </c>
      <c r="G43" s="561"/>
      <c r="I43" s="247">
        <v>1</v>
      </c>
    </row>
    <row r="44" spans="1:9" x14ac:dyDescent="0.3">
      <c r="A44" s="248" t="s">
        <v>295</v>
      </c>
      <c r="B44" s="247" t="s">
        <v>115</v>
      </c>
      <c r="D44" s="297">
        <f>'[3]240522_Supplier RFQ'!F55</f>
        <v>183.48</v>
      </c>
      <c r="F44" s="125">
        <f t="shared" si="1"/>
        <v>366.96</v>
      </c>
      <c r="G44" s="561"/>
      <c r="I44" s="247">
        <v>2</v>
      </c>
    </row>
    <row r="45" spans="1:9" x14ac:dyDescent="0.3">
      <c r="A45" s="248" t="s">
        <v>296</v>
      </c>
      <c r="B45" s="247" t="s">
        <v>115</v>
      </c>
      <c r="D45" s="297">
        <f>'[3]240522_Supplier RFQ'!F56</f>
        <v>192.43</v>
      </c>
      <c r="F45" s="125">
        <f t="shared" si="1"/>
        <v>384.86</v>
      </c>
      <c r="G45" s="560" t="s">
        <v>1075</v>
      </c>
      <c r="I45" s="247">
        <v>2</v>
      </c>
    </row>
    <row r="46" spans="1:9" x14ac:dyDescent="0.3">
      <c r="A46" s="248" t="s">
        <v>297</v>
      </c>
      <c r="B46" s="247" t="s">
        <v>115</v>
      </c>
      <c r="D46" s="297">
        <f>'[3]240522_Supplier RFQ'!F57</f>
        <v>185.71</v>
      </c>
      <c r="F46" s="125">
        <f t="shared" si="1"/>
        <v>7428.4000000000005</v>
      </c>
      <c r="G46" s="561"/>
      <c r="I46" s="247">
        <v>40</v>
      </c>
    </row>
    <row r="47" spans="1:9" x14ac:dyDescent="0.3">
      <c r="A47" s="248" t="s">
        <v>298</v>
      </c>
      <c r="B47" s="247" t="s">
        <v>115</v>
      </c>
      <c r="D47" s="297">
        <f>'[3]240522_Supplier RFQ'!F58</f>
        <v>55.84</v>
      </c>
      <c r="F47" s="125">
        <f t="shared" si="1"/>
        <v>223.36</v>
      </c>
      <c r="G47" s="561"/>
      <c r="I47" s="247">
        <v>4</v>
      </c>
    </row>
    <row r="48" spans="1:9" x14ac:dyDescent="0.3">
      <c r="A48" s="248" t="s">
        <v>299</v>
      </c>
      <c r="B48" s="247" t="s">
        <v>115</v>
      </c>
      <c r="D48" s="297">
        <f>'[3]240522_Supplier RFQ'!F59</f>
        <v>39.83</v>
      </c>
      <c r="F48" s="125">
        <f t="shared" si="1"/>
        <v>796.59999999999991</v>
      </c>
      <c r="G48" s="561"/>
      <c r="I48" s="247">
        <v>20</v>
      </c>
    </row>
    <row r="49" spans="1:9" ht="7.2" customHeight="1" x14ac:dyDescent="0.3">
      <c r="A49" s="248"/>
      <c r="B49" s="248"/>
      <c r="D49" s="297">
        <f>'[3]240522_Supplier RFQ'!F60</f>
        <v>0</v>
      </c>
      <c r="G49" s="561"/>
      <c r="I49" s="248"/>
    </row>
    <row r="50" spans="1:9" x14ac:dyDescent="0.3">
      <c r="A50" s="248" t="s">
        <v>302</v>
      </c>
      <c r="B50" s="247" t="s">
        <v>115</v>
      </c>
      <c r="D50" s="297">
        <f>'[3]240522_Supplier RFQ'!F61</f>
        <v>679.41</v>
      </c>
      <c r="F50" s="125">
        <f t="shared" ref="F50:F55" si="2">I50*D50</f>
        <v>4076.46</v>
      </c>
      <c r="G50" s="560" t="s">
        <v>1075</v>
      </c>
      <c r="I50" s="247">
        <v>6</v>
      </c>
    </row>
    <row r="51" spans="1:9" x14ac:dyDescent="0.3">
      <c r="A51" s="248" t="s">
        <v>303</v>
      </c>
      <c r="B51" s="247" t="s">
        <v>115</v>
      </c>
      <c r="D51" s="297">
        <f>'[3]240522_Supplier RFQ'!F62</f>
        <v>323.52999999999997</v>
      </c>
      <c r="F51" s="125">
        <f t="shared" si="2"/>
        <v>19411.8</v>
      </c>
      <c r="G51" s="561"/>
      <c r="I51" s="247">
        <v>60</v>
      </c>
    </row>
    <row r="52" spans="1:9" x14ac:dyDescent="0.3">
      <c r="A52" s="248" t="s">
        <v>304</v>
      </c>
      <c r="B52" s="247" t="s">
        <v>115</v>
      </c>
      <c r="D52" s="297">
        <f>'[3]240522_Supplier RFQ'!F63</f>
        <v>202.94</v>
      </c>
      <c r="F52" s="125">
        <f t="shared" si="2"/>
        <v>6088.2</v>
      </c>
      <c r="G52" s="561"/>
      <c r="I52" s="247">
        <v>30</v>
      </c>
    </row>
    <row r="53" spans="1:9" x14ac:dyDescent="0.3">
      <c r="A53" s="248" t="s">
        <v>305</v>
      </c>
      <c r="B53" s="247" t="s">
        <v>115</v>
      </c>
      <c r="D53" s="297">
        <f>'[3]240522_Supplier RFQ'!F64</f>
        <v>136.94</v>
      </c>
      <c r="F53" s="125">
        <f t="shared" si="2"/>
        <v>13146.24</v>
      </c>
      <c r="G53" s="561"/>
      <c r="I53" s="247">
        <v>96</v>
      </c>
    </row>
    <row r="54" spans="1:9" x14ac:dyDescent="0.3">
      <c r="A54" s="248" t="s">
        <v>306</v>
      </c>
      <c r="B54" s="247" t="s">
        <v>115</v>
      </c>
      <c r="D54" s="297">
        <f>'[3]240522_Supplier RFQ'!F65</f>
        <v>123.53</v>
      </c>
      <c r="F54" s="125">
        <f t="shared" si="2"/>
        <v>8647.1</v>
      </c>
      <c r="G54" s="561"/>
      <c r="I54" s="247">
        <v>70</v>
      </c>
    </row>
    <row r="55" spans="1:9" x14ac:dyDescent="0.3">
      <c r="A55" s="248" t="s">
        <v>307</v>
      </c>
      <c r="B55" s="247" t="s">
        <v>115</v>
      </c>
      <c r="D55" s="297">
        <f>'[3]240522_Supplier RFQ'!F66</f>
        <v>98.82</v>
      </c>
      <c r="F55" s="125">
        <f t="shared" si="2"/>
        <v>2964.6</v>
      </c>
      <c r="G55" s="560" t="s">
        <v>1075</v>
      </c>
      <c r="I55" s="247">
        <v>30</v>
      </c>
    </row>
    <row r="56" spans="1:9" ht="6.6" customHeight="1" x14ac:dyDescent="0.3">
      <c r="A56" s="248"/>
      <c r="B56" s="248"/>
      <c r="D56" s="297"/>
      <c r="G56" s="561"/>
      <c r="I56" s="248"/>
    </row>
    <row r="57" spans="1:9" x14ac:dyDescent="0.3">
      <c r="A57" s="248" t="s">
        <v>308</v>
      </c>
      <c r="B57" s="247" t="s">
        <v>115</v>
      </c>
      <c r="D57" s="297">
        <f>'[3]240522_Supplier RFQ'!F68</f>
        <v>291.18</v>
      </c>
      <c r="F57" s="125">
        <f t="shared" ref="F57:F83" si="3">I57*D57</f>
        <v>582.36</v>
      </c>
      <c r="G57" s="561"/>
      <c r="I57" s="247">
        <v>2</v>
      </c>
    </row>
    <row r="58" spans="1:9" x14ac:dyDescent="0.3">
      <c r="A58" s="248" t="s">
        <v>309</v>
      </c>
      <c r="B58" s="247" t="s">
        <v>115</v>
      </c>
      <c r="D58" s="297">
        <f>'[3]240522_Supplier RFQ'!F69</f>
        <v>330</v>
      </c>
      <c r="F58" s="125">
        <f t="shared" si="3"/>
        <v>660</v>
      </c>
      <c r="G58" s="561"/>
      <c r="I58" s="247">
        <v>2</v>
      </c>
    </row>
    <row r="59" spans="1:9" x14ac:dyDescent="0.3">
      <c r="A59" s="248" t="s">
        <v>310</v>
      </c>
      <c r="B59" s="247" t="s">
        <v>115</v>
      </c>
      <c r="D59" s="297">
        <f>'[3]240522_Supplier RFQ'!F70</f>
        <v>156</v>
      </c>
      <c r="F59" s="125">
        <f t="shared" si="3"/>
        <v>936</v>
      </c>
      <c r="G59" s="561"/>
      <c r="I59" s="247">
        <v>6</v>
      </c>
    </row>
    <row r="60" spans="1:9" x14ac:dyDescent="0.3">
      <c r="A60" s="248" t="s">
        <v>311</v>
      </c>
      <c r="B60" s="247" t="s">
        <v>115</v>
      </c>
      <c r="D60" s="297">
        <f>'[3]240522_Supplier RFQ'!F71</f>
        <v>106.24</v>
      </c>
      <c r="F60" s="125">
        <f t="shared" si="3"/>
        <v>1274.8799999999999</v>
      </c>
      <c r="G60" s="560" t="s">
        <v>1075</v>
      </c>
      <c r="I60" s="247">
        <v>12</v>
      </c>
    </row>
    <row r="61" spans="1:9" x14ac:dyDescent="0.3">
      <c r="A61" s="248" t="s">
        <v>312</v>
      </c>
      <c r="B61" s="247" t="s">
        <v>115</v>
      </c>
      <c r="D61" s="297">
        <f>'[3]240522_Supplier RFQ'!F72</f>
        <v>70.59</v>
      </c>
      <c r="F61" s="125">
        <f t="shared" si="3"/>
        <v>564.72</v>
      </c>
      <c r="G61" s="561"/>
      <c r="I61" s="247">
        <v>8</v>
      </c>
    </row>
    <row r="62" spans="1:9" x14ac:dyDescent="0.3">
      <c r="A62" s="248" t="s">
        <v>313</v>
      </c>
      <c r="B62" s="247" t="s">
        <v>115</v>
      </c>
      <c r="D62" s="297">
        <f>'[3]240522_Supplier RFQ'!F73</f>
        <v>516.35</v>
      </c>
      <c r="F62" s="125">
        <f t="shared" si="3"/>
        <v>1032.7</v>
      </c>
      <c r="G62" s="561"/>
      <c r="I62" s="247">
        <v>2</v>
      </c>
    </row>
    <row r="63" spans="1:9" x14ac:dyDescent="0.3">
      <c r="A63" s="248" t="s">
        <v>314</v>
      </c>
      <c r="B63" s="247" t="s">
        <v>115</v>
      </c>
      <c r="D63" s="297">
        <f>'[3]240522_Supplier RFQ'!F74</f>
        <v>198.88</v>
      </c>
      <c r="F63" s="125">
        <f t="shared" si="3"/>
        <v>1591.04</v>
      </c>
      <c r="G63" s="561"/>
      <c r="I63" s="247">
        <v>8</v>
      </c>
    </row>
    <row r="64" spans="1:9" x14ac:dyDescent="0.3">
      <c r="A64" s="248" t="s">
        <v>315</v>
      </c>
      <c r="B64" s="247" t="s">
        <v>115</v>
      </c>
      <c r="D64" s="297">
        <f>'[3]240522_Supplier RFQ'!F75</f>
        <v>108.71</v>
      </c>
      <c r="F64" s="125">
        <f t="shared" si="3"/>
        <v>434.84</v>
      </c>
      <c r="G64" s="561"/>
      <c r="I64" s="247">
        <v>4</v>
      </c>
    </row>
    <row r="65" spans="1:9" x14ac:dyDescent="0.3">
      <c r="A65" s="248" t="s">
        <v>316</v>
      </c>
      <c r="B65" s="247" t="s">
        <v>115</v>
      </c>
      <c r="D65" s="297">
        <f>'[3]240522_Supplier RFQ'!F76</f>
        <v>672.65</v>
      </c>
      <c r="F65" s="125">
        <f t="shared" si="3"/>
        <v>1345.3</v>
      </c>
      <c r="G65" s="560" t="s">
        <v>1075</v>
      </c>
      <c r="I65" s="247">
        <v>2</v>
      </c>
    </row>
    <row r="66" spans="1:9" x14ac:dyDescent="0.3">
      <c r="A66" s="248" t="s">
        <v>317</v>
      </c>
      <c r="B66" s="247" t="s">
        <v>115</v>
      </c>
      <c r="D66" s="297">
        <f>'[3]240522_Supplier RFQ'!F77</f>
        <v>228.24</v>
      </c>
      <c r="F66" s="125">
        <f t="shared" si="3"/>
        <v>3423.6000000000004</v>
      </c>
      <c r="G66" s="561"/>
      <c r="I66" s="247">
        <v>15</v>
      </c>
    </row>
    <row r="67" spans="1:9" x14ac:dyDescent="0.3">
      <c r="A67" s="248" t="s">
        <v>318</v>
      </c>
      <c r="B67" s="247" t="s">
        <v>115</v>
      </c>
      <c r="D67" s="297">
        <f>'[3]240522_Supplier RFQ'!F78</f>
        <v>128.24</v>
      </c>
      <c r="F67" s="125">
        <f t="shared" si="3"/>
        <v>256.48</v>
      </c>
      <c r="G67" s="561"/>
      <c r="I67" s="247">
        <v>2</v>
      </c>
    </row>
    <row r="68" spans="1:9" x14ac:dyDescent="0.3">
      <c r="A68" s="248" t="s">
        <v>319</v>
      </c>
      <c r="B68" s="247" t="s">
        <v>115</v>
      </c>
      <c r="D68" s="297">
        <f>'[3]240522_Supplier RFQ'!F79</f>
        <v>536.76</v>
      </c>
      <c r="F68" s="125">
        <f t="shared" si="3"/>
        <v>1073.52</v>
      </c>
      <c r="G68" s="561"/>
      <c r="I68" s="247">
        <v>2</v>
      </c>
    </row>
    <row r="69" spans="1:9" x14ac:dyDescent="0.3">
      <c r="A69" s="248" t="s">
        <v>320</v>
      </c>
      <c r="B69" s="247" t="s">
        <v>115</v>
      </c>
      <c r="D69" s="297">
        <f>'[3]240522_Supplier RFQ'!F80</f>
        <v>576.47</v>
      </c>
      <c r="F69" s="125">
        <f t="shared" si="3"/>
        <v>576.47</v>
      </c>
      <c r="G69" s="561"/>
      <c r="I69" s="247">
        <v>1</v>
      </c>
    </row>
    <row r="70" spans="1:9" x14ac:dyDescent="0.3">
      <c r="A70" s="248" t="s">
        <v>321</v>
      </c>
      <c r="B70" s="247" t="s">
        <v>115</v>
      </c>
      <c r="D70" s="297">
        <f>'[3]240522_Supplier RFQ'!F81</f>
        <v>198.82</v>
      </c>
      <c r="F70" s="125">
        <f t="shared" si="3"/>
        <v>1192.92</v>
      </c>
      <c r="G70" s="560" t="s">
        <v>1075</v>
      </c>
      <c r="I70" s="247">
        <v>6</v>
      </c>
    </row>
    <row r="71" spans="1:9" x14ac:dyDescent="0.3">
      <c r="A71" s="248" t="s">
        <v>322</v>
      </c>
      <c r="B71" s="247" t="s">
        <v>115</v>
      </c>
      <c r="D71" s="297">
        <f>'[3]240522_Supplier RFQ'!F82</f>
        <v>898.82</v>
      </c>
      <c r="F71" s="125">
        <f t="shared" si="3"/>
        <v>898.82</v>
      </c>
      <c r="G71" s="561"/>
      <c r="I71" s="247">
        <v>1</v>
      </c>
    </row>
    <row r="72" spans="1:9" x14ac:dyDescent="0.3">
      <c r="A72" s="248" t="s">
        <v>323</v>
      </c>
      <c r="B72" s="247" t="s">
        <v>115</v>
      </c>
      <c r="D72" s="297">
        <f>'[3]240522_Supplier RFQ'!F83</f>
        <v>640</v>
      </c>
      <c r="F72" s="125">
        <f t="shared" si="3"/>
        <v>640</v>
      </c>
      <c r="G72" s="561"/>
      <c r="I72" s="247">
        <v>1</v>
      </c>
    </row>
    <row r="73" spans="1:9" x14ac:dyDescent="0.3">
      <c r="A73" s="248" t="s">
        <v>324</v>
      </c>
      <c r="B73" s="247" t="s">
        <v>115</v>
      </c>
      <c r="D73" s="297">
        <f>'[3]240522_Supplier RFQ'!F84</f>
        <v>355.29</v>
      </c>
      <c r="F73" s="125">
        <f t="shared" si="3"/>
        <v>355.29</v>
      </c>
      <c r="G73" s="561"/>
      <c r="I73" s="247">
        <v>1</v>
      </c>
    </row>
    <row r="74" spans="1:9" x14ac:dyDescent="0.3">
      <c r="A74" s="248" t="s">
        <v>325</v>
      </c>
      <c r="B74" s="247" t="s">
        <v>115</v>
      </c>
      <c r="D74" s="297">
        <f>'[3]240522_Supplier RFQ'!F85</f>
        <v>534.41</v>
      </c>
      <c r="F74" s="125">
        <f t="shared" si="3"/>
        <v>534.41</v>
      </c>
      <c r="G74" s="561"/>
      <c r="I74" s="247">
        <v>1</v>
      </c>
    </row>
    <row r="75" spans="1:9" x14ac:dyDescent="0.3">
      <c r="A75" s="248" t="s">
        <v>326</v>
      </c>
      <c r="B75" s="247" t="s">
        <v>115</v>
      </c>
      <c r="D75" s="297">
        <f>'[3]240522_Supplier RFQ'!F86</f>
        <v>280</v>
      </c>
      <c r="F75" s="125">
        <f t="shared" si="3"/>
        <v>280</v>
      </c>
      <c r="G75" s="560" t="s">
        <v>1075</v>
      </c>
      <c r="I75" s="247">
        <v>1</v>
      </c>
    </row>
    <row r="76" spans="1:9" x14ac:dyDescent="0.3">
      <c r="A76" s="248" t="s">
        <v>327</v>
      </c>
      <c r="B76" s="247" t="s">
        <v>115</v>
      </c>
      <c r="D76" s="297">
        <f>'[3]240522_Supplier RFQ'!F87</f>
        <v>236.47</v>
      </c>
      <c r="F76" s="125">
        <f t="shared" si="3"/>
        <v>236.47</v>
      </c>
      <c r="G76" s="561"/>
      <c r="I76" s="247">
        <v>1</v>
      </c>
    </row>
    <row r="77" spans="1:9" x14ac:dyDescent="0.3">
      <c r="A77" s="248" t="s">
        <v>328</v>
      </c>
      <c r="B77" s="247" t="s">
        <v>115</v>
      </c>
      <c r="D77" s="297">
        <f>'[3]240522_Supplier RFQ'!F88</f>
        <v>178.8</v>
      </c>
      <c r="F77" s="125">
        <f t="shared" si="3"/>
        <v>1430.4</v>
      </c>
      <c r="G77" s="561"/>
      <c r="I77" s="247">
        <v>8</v>
      </c>
    </row>
    <row r="78" spans="1:9" x14ac:dyDescent="0.3">
      <c r="A78" s="248" t="s">
        <v>329</v>
      </c>
      <c r="B78" s="247" t="s">
        <v>115</v>
      </c>
      <c r="D78" s="297">
        <f>'[3]240522_Supplier RFQ'!F89</f>
        <v>362.35</v>
      </c>
      <c r="F78" s="125">
        <f t="shared" si="3"/>
        <v>362.35</v>
      </c>
      <c r="G78" s="561"/>
      <c r="I78" s="247">
        <v>1</v>
      </c>
    </row>
    <row r="79" spans="1:9" x14ac:dyDescent="0.3">
      <c r="A79" s="248" t="s">
        <v>330</v>
      </c>
      <c r="B79" s="247" t="s">
        <v>115</v>
      </c>
      <c r="D79" s="297">
        <f>'[3]240522_Supplier RFQ'!F90</f>
        <v>144.71</v>
      </c>
      <c r="F79" s="125">
        <f t="shared" si="3"/>
        <v>144.71</v>
      </c>
      <c r="G79" s="561"/>
      <c r="I79" s="247">
        <v>1</v>
      </c>
    </row>
    <row r="80" spans="1:9" x14ac:dyDescent="0.3">
      <c r="A80" s="248" t="s">
        <v>331</v>
      </c>
      <c r="B80" s="247" t="s">
        <v>115</v>
      </c>
      <c r="D80" s="297">
        <f>'[3]240522_Supplier RFQ'!F91</f>
        <v>135.88</v>
      </c>
      <c r="F80" s="125">
        <f t="shared" si="3"/>
        <v>135.88</v>
      </c>
      <c r="G80" s="560" t="s">
        <v>1075</v>
      </c>
      <c r="I80" s="247">
        <v>1</v>
      </c>
    </row>
    <row r="81" spans="1:9" x14ac:dyDescent="0.3">
      <c r="A81" s="248" t="s">
        <v>332</v>
      </c>
      <c r="B81" s="247" t="s">
        <v>115</v>
      </c>
      <c r="D81" s="297">
        <f>'[3]240522_Supplier RFQ'!F92</f>
        <v>76.47</v>
      </c>
      <c r="F81" s="125">
        <f t="shared" si="3"/>
        <v>305.88</v>
      </c>
      <c r="G81" s="561"/>
      <c r="I81" s="247">
        <v>4</v>
      </c>
    </row>
    <row r="82" spans="1:9" x14ac:dyDescent="0.3">
      <c r="A82" s="248" t="s">
        <v>333</v>
      </c>
      <c r="B82" s="247" t="s">
        <v>115</v>
      </c>
      <c r="D82" s="297">
        <f>'[3]240522_Supplier RFQ'!F93</f>
        <v>67.650000000000006</v>
      </c>
      <c r="F82" s="125">
        <f t="shared" si="3"/>
        <v>1691.2500000000002</v>
      </c>
      <c r="G82" s="561"/>
      <c r="I82" s="247">
        <v>25</v>
      </c>
    </row>
    <row r="83" spans="1:9" x14ac:dyDescent="0.3">
      <c r="A83" s="248" t="s">
        <v>334</v>
      </c>
      <c r="B83" s="247" t="s">
        <v>115</v>
      </c>
      <c r="D83" s="297">
        <f>'[3]240522_Supplier RFQ'!F94</f>
        <v>43.53</v>
      </c>
      <c r="F83" s="125">
        <f t="shared" si="3"/>
        <v>1958.8500000000001</v>
      </c>
      <c r="G83" s="561"/>
      <c r="I83" s="247">
        <v>45</v>
      </c>
    </row>
    <row r="84" spans="1:9" ht="7.95" customHeight="1" x14ac:dyDescent="0.3">
      <c r="A84" s="248"/>
      <c r="B84" s="248"/>
      <c r="D84" s="297"/>
      <c r="G84" s="561"/>
      <c r="I84" s="248"/>
    </row>
    <row r="85" spans="1:9" x14ac:dyDescent="0.3">
      <c r="A85" s="248" t="s">
        <v>335</v>
      </c>
      <c r="B85" s="247" t="s">
        <v>115</v>
      </c>
      <c r="D85" s="297">
        <f>'[3]240522_Supplier RFQ'!F96</f>
        <v>67.06</v>
      </c>
      <c r="F85" s="125">
        <f t="shared" ref="F85:F90" si="4">I85*D85</f>
        <v>804.72</v>
      </c>
      <c r="G85" s="560" t="s">
        <v>1075</v>
      </c>
      <c r="I85" s="247">
        <v>12</v>
      </c>
    </row>
    <row r="86" spans="1:9" x14ac:dyDescent="0.3">
      <c r="A86" s="248" t="s">
        <v>336</v>
      </c>
      <c r="B86" s="247" t="s">
        <v>115</v>
      </c>
      <c r="D86" s="297">
        <f>'[3]240522_Supplier RFQ'!F97</f>
        <v>46.71</v>
      </c>
      <c r="F86" s="125">
        <f t="shared" si="4"/>
        <v>560.52</v>
      </c>
      <c r="G86" s="561"/>
      <c r="I86" s="247">
        <v>12</v>
      </c>
    </row>
    <row r="87" spans="1:9" x14ac:dyDescent="0.3">
      <c r="A87" s="248" t="s">
        <v>337</v>
      </c>
      <c r="B87" s="247" t="s">
        <v>115</v>
      </c>
      <c r="D87" s="297">
        <f>'[3]240522_Supplier RFQ'!F98</f>
        <v>60</v>
      </c>
      <c r="F87" s="125">
        <f t="shared" si="4"/>
        <v>3600</v>
      </c>
      <c r="G87" s="561"/>
      <c r="I87" s="247">
        <v>60</v>
      </c>
    </row>
    <row r="88" spans="1:9" x14ac:dyDescent="0.3">
      <c r="A88" s="248" t="s">
        <v>338</v>
      </c>
      <c r="B88" s="247" t="s">
        <v>115</v>
      </c>
      <c r="D88" s="297">
        <f>'[3]240522_Supplier RFQ'!F99</f>
        <v>42.35</v>
      </c>
      <c r="F88" s="125">
        <f t="shared" si="4"/>
        <v>2541</v>
      </c>
      <c r="G88" s="561"/>
      <c r="I88" s="247">
        <v>60</v>
      </c>
    </row>
    <row r="89" spans="1:9" x14ac:dyDescent="0.3">
      <c r="A89" s="248" t="s">
        <v>339</v>
      </c>
      <c r="B89" s="247" t="s">
        <v>115</v>
      </c>
      <c r="D89" s="297">
        <f>'[3]240522_Supplier RFQ'!F100</f>
        <v>24.71</v>
      </c>
      <c r="F89" s="125">
        <f t="shared" si="4"/>
        <v>741.30000000000007</v>
      </c>
      <c r="G89" s="561"/>
      <c r="I89" s="247">
        <v>30</v>
      </c>
    </row>
    <row r="90" spans="1:9" x14ac:dyDescent="0.3">
      <c r="A90" s="248" t="s">
        <v>340</v>
      </c>
      <c r="B90" s="247" t="s">
        <v>115</v>
      </c>
      <c r="D90" s="297">
        <f>'[3]240522_Supplier RFQ'!F101</f>
        <v>20</v>
      </c>
      <c r="F90" s="125">
        <f t="shared" si="4"/>
        <v>600</v>
      </c>
      <c r="G90" s="560" t="s">
        <v>1075</v>
      </c>
      <c r="I90" s="247">
        <v>30</v>
      </c>
    </row>
    <row r="91" spans="1:9" ht="9.6" customHeight="1" x14ac:dyDescent="0.3">
      <c r="A91" s="248"/>
      <c r="B91" s="248"/>
      <c r="D91" s="297"/>
      <c r="G91" s="561"/>
      <c r="I91" s="248"/>
    </row>
    <row r="92" spans="1:9" x14ac:dyDescent="0.3">
      <c r="A92" s="248" t="s">
        <v>341</v>
      </c>
      <c r="B92" s="247" t="s">
        <v>115</v>
      </c>
      <c r="D92" s="297">
        <f>'[3]240522_Supplier RFQ'!F103</f>
        <v>108.71</v>
      </c>
      <c r="F92" s="125">
        <f t="shared" ref="F92:F99" si="5">I92*D92</f>
        <v>2174.1999999999998</v>
      </c>
      <c r="G92" s="561"/>
      <c r="I92" s="247">
        <v>20</v>
      </c>
    </row>
    <row r="93" spans="1:9" x14ac:dyDescent="0.3">
      <c r="A93" s="248" t="s">
        <v>342</v>
      </c>
      <c r="B93" s="247" t="s">
        <v>115</v>
      </c>
      <c r="D93" s="297">
        <f>'[3]240522_Supplier RFQ'!F104</f>
        <v>87.06</v>
      </c>
      <c r="F93" s="125">
        <f t="shared" si="5"/>
        <v>1218.8400000000001</v>
      </c>
      <c r="G93" s="561"/>
      <c r="I93" s="247">
        <v>14</v>
      </c>
    </row>
    <row r="94" spans="1:9" x14ac:dyDescent="0.3">
      <c r="A94" s="248" t="s">
        <v>343</v>
      </c>
      <c r="B94" s="247" t="s">
        <v>115</v>
      </c>
      <c r="D94" s="297">
        <f>'[3]240522_Supplier RFQ'!F105</f>
        <v>305.88</v>
      </c>
      <c r="F94" s="125">
        <f t="shared" si="5"/>
        <v>3670.56</v>
      </c>
      <c r="G94" s="561"/>
      <c r="I94" s="247">
        <v>12</v>
      </c>
    </row>
    <row r="95" spans="1:9" x14ac:dyDescent="0.3">
      <c r="A95" s="248" t="s">
        <v>344</v>
      </c>
      <c r="B95" s="247" t="s">
        <v>115</v>
      </c>
      <c r="D95" s="297">
        <f>'[3]240522_Supplier RFQ'!F106</f>
        <v>182.35</v>
      </c>
      <c r="F95" s="125">
        <f t="shared" si="5"/>
        <v>1458.8</v>
      </c>
      <c r="G95" s="560" t="s">
        <v>1075</v>
      </c>
      <c r="I95" s="247">
        <v>8</v>
      </c>
    </row>
    <row r="96" spans="1:9" x14ac:dyDescent="0.3">
      <c r="A96" s="248" t="s">
        <v>345</v>
      </c>
      <c r="B96" s="247" t="s">
        <v>115</v>
      </c>
      <c r="D96" s="297">
        <f>'[3]240522_Supplier RFQ'!F107</f>
        <v>229.41</v>
      </c>
      <c r="F96" s="125">
        <f t="shared" si="5"/>
        <v>917.64</v>
      </c>
      <c r="G96" s="561"/>
      <c r="I96" s="247">
        <v>4</v>
      </c>
    </row>
    <row r="97" spans="1:9" x14ac:dyDescent="0.3">
      <c r="A97" s="248" t="s">
        <v>346</v>
      </c>
      <c r="B97" s="247" t="s">
        <v>115</v>
      </c>
      <c r="D97" s="297">
        <f>'[3]240522_Supplier RFQ'!F108</f>
        <v>152.94</v>
      </c>
      <c r="F97" s="125">
        <f t="shared" si="5"/>
        <v>611.76</v>
      </c>
      <c r="G97" s="561"/>
      <c r="I97" s="247">
        <v>4</v>
      </c>
    </row>
    <row r="98" spans="1:9" x14ac:dyDescent="0.3">
      <c r="A98" s="248" t="s">
        <v>347</v>
      </c>
      <c r="B98" s="247" t="s">
        <v>115</v>
      </c>
      <c r="D98" s="297">
        <f>'[3]240522_Supplier RFQ'!F109</f>
        <v>690</v>
      </c>
      <c r="F98" s="125">
        <f t="shared" si="5"/>
        <v>13800</v>
      </c>
      <c r="G98" s="561"/>
      <c r="I98" s="247">
        <v>20</v>
      </c>
    </row>
    <row r="99" spans="1:9" x14ac:dyDescent="0.3">
      <c r="A99" s="248" t="s">
        <v>348</v>
      </c>
      <c r="B99" s="247" t="s">
        <v>115</v>
      </c>
      <c r="D99" s="297">
        <f>'[3]240522_Supplier RFQ'!F110</f>
        <v>408.47</v>
      </c>
      <c r="F99" s="125">
        <f t="shared" si="5"/>
        <v>8169.4000000000005</v>
      </c>
      <c r="G99" s="561"/>
      <c r="I99" s="247">
        <v>20</v>
      </c>
    </row>
    <row r="100" spans="1:9" ht="10.199999999999999" customHeight="1" x14ac:dyDescent="0.3">
      <c r="A100" s="248"/>
      <c r="B100" s="248"/>
      <c r="D100" s="297"/>
      <c r="G100" s="560" t="s">
        <v>1075</v>
      </c>
      <c r="I100" s="248"/>
    </row>
    <row r="101" spans="1:9" x14ac:dyDescent="0.3">
      <c r="A101" s="248" t="s">
        <v>349</v>
      </c>
      <c r="B101" s="247" t="s">
        <v>115</v>
      </c>
      <c r="D101" s="297">
        <f>'[3]240522_Supplier RFQ'!F112</f>
        <v>90</v>
      </c>
      <c r="F101" s="125">
        <f>I101*D101</f>
        <v>2520</v>
      </c>
      <c r="G101" s="561"/>
      <c r="I101" s="247">
        <v>28</v>
      </c>
    </row>
    <row r="102" spans="1:9" x14ac:dyDescent="0.3">
      <c r="A102" s="248" t="s">
        <v>350</v>
      </c>
      <c r="B102" s="247" t="s">
        <v>115</v>
      </c>
      <c r="D102" s="297">
        <f>'[3]240522_Supplier RFQ'!F113</f>
        <v>13.5</v>
      </c>
      <c r="F102" s="125">
        <f>I102*D102</f>
        <v>2025</v>
      </c>
      <c r="G102" s="561"/>
      <c r="I102" s="247">
        <v>150</v>
      </c>
    </row>
    <row r="103" spans="1:9" x14ac:dyDescent="0.3">
      <c r="A103" s="248" t="s">
        <v>351</v>
      </c>
      <c r="B103" s="247" t="s">
        <v>115</v>
      </c>
      <c r="D103" s="297">
        <f>'[3]240522_Supplier RFQ'!F114</f>
        <v>27.14</v>
      </c>
      <c r="F103" s="125">
        <f>I103*D103</f>
        <v>4071</v>
      </c>
      <c r="G103" s="561"/>
      <c r="I103" s="247">
        <v>150</v>
      </c>
    </row>
    <row r="104" spans="1:9" x14ac:dyDescent="0.3">
      <c r="A104" s="248" t="s">
        <v>352</v>
      </c>
      <c r="B104" s="247" t="s">
        <v>115</v>
      </c>
      <c r="D104" s="297">
        <f>'[3]240522_Supplier RFQ'!F115</f>
        <v>27.14</v>
      </c>
      <c r="F104" s="125">
        <f>I104*D104</f>
        <v>4071</v>
      </c>
      <c r="G104" s="561"/>
      <c r="I104" s="247">
        <v>150</v>
      </c>
    </row>
    <row r="105" spans="1:9" x14ac:dyDescent="0.3">
      <c r="A105" s="248"/>
      <c r="B105" s="248"/>
      <c r="I105" s="248"/>
    </row>
    <row r="106" spans="1:9" x14ac:dyDescent="0.3">
      <c r="A106" s="251" t="s">
        <v>353</v>
      </c>
      <c r="B106" s="253"/>
      <c r="I106" s="253"/>
    </row>
    <row r="107" spans="1:9" x14ac:dyDescent="0.3">
      <c r="A107" s="255" t="s">
        <v>354</v>
      </c>
      <c r="B107" s="256" t="s">
        <v>102</v>
      </c>
      <c r="C107" s="257"/>
      <c r="D107" s="258" t="s">
        <v>939</v>
      </c>
      <c r="E107" s="257"/>
      <c r="F107" s="258" t="s">
        <v>940</v>
      </c>
      <c r="G107" s="560" t="s">
        <v>1075</v>
      </c>
      <c r="I107" s="256" t="s">
        <v>914</v>
      </c>
    </row>
    <row r="108" spans="1:9" x14ac:dyDescent="0.3">
      <c r="A108" s="248" t="s">
        <v>355</v>
      </c>
      <c r="B108" s="250" t="s">
        <v>149</v>
      </c>
      <c r="D108" s="297">
        <f>'[3]240522_Supplier RFQ'!$I$120</f>
        <v>43.846153846153847</v>
      </c>
      <c r="F108" s="125">
        <f>I108*D108</f>
        <v>3946.1538461538462</v>
      </c>
      <c r="G108" s="561"/>
      <c r="I108" s="250">
        <v>90</v>
      </c>
    </row>
    <row r="109" spans="1:9" x14ac:dyDescent="0.3">
      <c r="A109" s="248" t="s">
        <v>356</v>
      </c>
      <c r="B109" s="250" t="s">
        <v>149</v>
      </c>
      <c r="D109" s="297">
        <f>'[3]240522_Supplier RFQ'!$I$121</f>
        <v>28.46153846153846</v>
      </c>
      <c r="F109" s="125">
        <f>I109*D109</f>
        <v>341.53846153846155</v>
      </c>
      <c r="G109" s="561"/>
      <c r="I109" s="250">
        <v>12</v>
      </c>
    </row>
    <row r="110" spans="1:9" x14ac:dyDescent="0.3">
      <c r="A110" s="248" t="s">
        <v>357</v>
      </c>
      <c r="B110" s="250" t="s">
        <v>149</v>
      </c>
      <c r="D110" s="297">
        <f>'[3]240522_Supplier RFQ'!$L$122</f>
        <v>106.24166666666667</v>
      </c>
      <c r="F110" s="125">
        <f>I110*D110</f>
        <v>1274.9000000000001</v>
      </c>
      <c r="G110" s="561"/>
      <c r="I110" s="250">
        <v>12</v>
      </c>
    </row>
    <row r="111" spans="1:9" x14ac:dyDescent="0.3">
      <c r="A111" s="248" t="s">
        <v>358</v>
      </c>
      <c r="B111" s="250" t="s">
        <v>149</v>
      </c>
      <c r="D111" s="297">
        <f>'[3]240522_Supplier RFQ'!$L$123</f>
        <v>59.82</v>
      </c>
      <c r="F111" s="125">
        <f>I111*D111</f>
        <v>717.84</v>
      </c>
      <c r="G111" s="561"/>
      <c r="I111" s="250">
        <v>12</v>
      </c>
    </row>
    <row r="112" spans="1:9" ht="7.95" customHeight="1" x14ac:dyDescent="0.3">
      <c r="A112" s="248"/>
      <c r="B112" s="250"/>
      <c r="G112" s="560" t="s">
        <v>1075</v>
      </c>
      <c r="I112" s="250"/>
    </row>
    <row r="113" spans="1:9" x14ac:dyDescent="0.3">
      <c r="A113" s="248" t="s">
        <v>359</v>
      </c>
      <c r="B113" s="250" t="s">
        <v>115</v>
      </c>
      <c r="D113" s="297">
        <f>'[3]240522_Supplier RFQ'!I125</f>
        <v>12.83</v>
      </c>
      <c r="F113" s="125">
        <f t="shared" ref="F113:F124" si="6">I113*D113</f>
        <v>384.9</v>
      </c>
      <c r="G113" s="561"/>
      <c r="I113" s="250">
        <v>30</v>
      </c>
    </row>
    <row r="114" spans="1:9" x14ac:dyDescent="0.3">
      <c r="A114" s="248" t="s">
        <v>360</v>
      </c>
      <c r="B114" s="250" t="s">
        <v>115</v>
      </c>
      <c r="D114" s="297">
        <f>'[3]240522_Supplier RFQ'!I126</f>
        <v>7.55</v>
      </c>
      <c r="F114" s="125">
        <f t="shared" si="6"/>
        <v>75.5</v>
      </c>
      <c r="G114" s="561"/>
      <c r="I114" s="250">
        <v>10</v>
      </c>
    </row>
    <row r="115" spans="1:9" x14ac:dyDescent="0.3">
      <c r="A115" s="248" t="s">
        <v>361</v>
      </c>
      <c r="B115" s="250" t="s">
        <v>115</v>
      </c>
      <c r="D115" s="297">
        <f>'[3]240522_Supplier RFQ'!I127</f>
        <v>35.5</v>
      </c>
      <c r="F115" s="125">
        <f t="shared" si="6"/>
        <v>106.5</v>
      </c>
      <c r="G115" s="561"/>
      <c r="I115" s="250">
        <v>3</v>
      </c>
    </row>
    <row r="116" spans="1:9" x14ac:dyDescent="0.3">
      <c r="A116" s="248" t="s">
        <v>362</v>
      </c>
      <c r="B116" s="250" t="s">
        <v>115</v>
      </c>
      <c r="D116" s="297">
        <f>'[3]240522_Supplier RFQ'!I128</f>
        <v>16.93</v>
      </c>
      <c r="F116" s="125">
        <f t="shared" si="6"/>
        <v>33.86</v>
      </c>
      <c r="G116" s="561"/>
      <c r="I116" s="250">
        <v>2</v>
      </c>
    </row>
    <row r="117" spans="1:9" x14ac:dyDescent="0.3">
      <c r="A117" s="248" t="s">
        <v>363</v>
      </c>
      <c r="B117" s="250" t="s">
        <v>115</v>
      </c>
      <c r="D117" s="297">
        <f>'[3]240522_Supplier RFQ'!I129</f>
        <v>22.85</v>
      </c>
      <c r="F117" s="125">
        <f t="shared" si="6"/>
        <v>457</v>
      </c>
      <c r="G117" s="560" t="s">
        <v>1075</v>
      </c>
      <c r="I117" s="250">
        <v>20</v>
      </c>
    </row>
    <row r="118" spans="1:9" x14ac:dyDescent="0.3">
      <c r="A118" s="248" t="s">
        <v>364</v>
      </c>
      <c r="B118" s="250" t="s">
        <v>115</v>
      </c>
      <c r="D118" s="297">
        <f>'[3]240522_Supplier RFQ'!I130</f>
        <v>10.62</v>
      </c>
      <c r="F118" s="125">
        <f t="shared" si="6"/>
        <v>63.72</v>
      </c>
      <c r="G118" s="561"/>
      <c r="I118" s="250">
        <v>6</v>
      </c>
    </row>
    <row r="119" spans="1:9" x14ac:dyDescent="0.3">
      <c r="A119" s="248" t="s">
        <v>365</v>
      </c>
      <c r="B119" s="250" t="s">
        <v>115</v>
      </c>
      <c r="D119" s="297">
        <f>'[3]240522_Supplier RFQ'!I131</f>
        <v>23.5</v>
      </c>
      <c r="F119" s="125">
        <f t="shared" si="6"/>
        <v>188</v>
      </c>
      <c r="G119" s="561"/>
      <c r="I119" s="250">
        <v>8</v>
      </c>
    </row>
    <row r="120" spans="1:9" x14ac:dyDescent="0.3">
      <c r="A120" s="248" t="s">
        <v>366</v>
      </c>
      <c r="B120" s="250" t="s">
        <v>115</v>
      </c>
      <c r="D120" s="297">
        <f>'[3]240522_Supplier RFQ'!I132</f>
        <v>11.4</v>
      </c>
      <c r="F120" s="125">
        <f t="shared" si="6"/>
        <v>68.400000000000006</v>
      </c>
      <c r="G120" s="561"/>
      <c r="I120" s="250">
        <v>6</v>
      </c>
    </row>
    <row r="121" spans="1:9" x14ac:dyDescent="0.3">
      <c r="A121" s="248" t="s">
        <v>367</v>
      </c>
      <c r="B121" s="250" t="s">
        <v>115</v>
      </c>
      <c r="D121" s="297">
        <f>'[3]240522_Supplier RFQ'!I133</f>
        <v>30.75</v>
      </c>
      <c r="F121" s="125">
        <f t="shared" si="6"/>
        <v>307.5</v>
      </c>
      <c r="G121" s="561"/>
      <c r="I121" s="250">
        <v>10</v>
      </c>
    </row>
    <row r="122" spans="1:9" x14ac:dyDescent="0.3">
      <c r="A122" s="248" t="s">
        <v>368</v>
      </c>
      <c r="B122" s="250" t="s">
        <v>115</v>
      </c>
      <c r="D122" s="297">
        <f>'[3]240522_Supplier RFQ'!I134</f>
        <v>23.21</v>
      </c>
      <c r="F122" s="125">
        <f t="shared" si="6"/>
        <v>185.68</v>
      </c>
      <c r="G122" s="560" t="s">
        <v>1075</v>
      </c>
      <c r="I122" s="250">
        <v>8</v>
      </c>
    </row>
    <row r="123" spans="1:9" x14ac:dyDescent="0.3">
      <c r="A123" s="248" t="s">
        <v>369</v>
      </c>
      <c r="B123" s="250" t="s">
        <v>115</v>
      </c>
      <c r="D123" s="297">
        <f>'[3]240522_Supplier RFQ'!I135</f>
        <v>217.8</v>
      </c>
      <c r="F123" s="125">
        <f t="shared" si="6"/>
        <v>1306.8000000000002</v>
      </c>
      <c r="G123" s="561"/>
      <c r="I123" s="250">
        <v>6</v>
      </c>
    </row>
    <row r="124" spans="1:9" x14ac:dyDescent="0.3">
      <c r="A124" s="248" t="s">
        <v>370</v>
      </c>
      <c r="B124" s="250" t="s">
        <v>115</v>
      </c>
      <c r="D124" s="297">
        <f>'[3]240522_Supplier RFQ'!I136</f>
        <v>169.4</v>
      </c>
      <c r="F124" s="125">
        <f t="shared" si="6"/>
        <v>1016.4000000000001</v>
      </c>
      <c r="G124" s="561"/>
      <c r="I124" s="250">
        <v>6</v>
      </c>
    </row>
    <row r="125" spans="1:9" ht="10.199999999999999" customHeight="1" x14ac:dyDescent="0.3">
      <c r="A125" s="248"/>
      <c r="B125" s="250"/>
      <c r="D125" s="297"/>
      <c r="G125" s="561"/>
      <c r="I125" s="250"/>
    </row>
    <row r="126" spans="1:9" x14ac:dyDescent="0.3">
      <c r="A126" s="248" t="s">
        <v>371</v>
      </c>
      <c r="B126" s="250" t="s">
        <v>115</v>
      </c>
      <c r="D126" s="297">
        <f>'[3]240522_Supplier RFQ'!I138</f>
        <v>2350</v>
      </c>
      <c r="F126" s="125">
        <f>I126*D126</f>
        <v>2350</v>
      </c>
      <c r="G126" s="561"/>
      <c r="I126" s="250">
        <v>1</v>
      </c>
    </row>
    <row r="127" spans="1:9" x14ac:dyDescent="0.3">
      <c r="A127" s="248" t="s">
        <v>372</v>
      </c>
      <c r="B127" s="250" t="s">
        <v>115</v>
      </c>
      <c r="D127" s="297">
        <f>'[3]240522_Supplier RFQ'!I139</f>
        <v>1155</v>
      </c>
      <c r="F127" s="125">
        <f>I127*D127</f>
        <v>1155</v>
      </c>
      <c r="G127" s="560" t="s">
        <v>1075</v>
      </c>
      <c r="I127" s="250">
        <v>1</v>
      </c>
    </row>
    <row r="128" spans="1:9" ht="9" customHeight="1" x14ac:dyDescent="0.3">
      <c r="A128" s="248"/>
      <c r="B128" s="250"/>
      <c r="D128" s="297"/>
      <c r="G128" s="561"/>
      <c r="I128" s="250"/>
    </row>
    <row r="129" spans="1:9" x14ac:dyDescent="0.3">
      <c r="A129" s="248" t="s">
        <v>373</v>
      </c>
      <c r="B129" s="247" t="s">
        <v>115</v>
      </c>
      <c r="D129" s="297">
        <f>'[3]240522_Supplier RFQ'!I141</f>
        <v>365</v>
      </c>
      <c r="F129" s="125">
        <f t="shared" ref="F129:F134" si="7">I129*D129</f>
        <v>19345</v>
      </c>
      <c r="G129" s="561"/>
      <c r="I129" s="247">
        <v>53</v>
      </c>
    </row>
    <row r="130" spans="1:9" x14ac:dyDescent="0.3">
      <c r="A130" s="248" t="s">
        <v>374</v>
      </c>
      <c r="B130" s="247" t="s">
        <v>115</v>
      </c>
      <c r="D130" s="297">
        <f>'[3]240522_Supplier RFQ'!I142</f>
        <v>365</v>
      </c>
      <c r="F130" s="125">
        <f t="shared" si="7"/>
        <v>19345</v>
      </c>
      <c r="G130" s="561"/>
      <c r="I130" s="247">
        <v>53</v>
      </c>
    </row>
    <row r="131" spans="1:9" x14ac:dyDescent="0.3">
      <c r="A131" s="248" t="s">
        <v>375</v>
      </c>
      <c r="B131" s="247" t="s">
        <v>115</v>
      </c>
      <c r="D131" s="297">
        <f>'[3]240522_Supplier RFQ'!I143</f>
        <v>90</v>
      </c>
      <c r="F131" s="125">
        <f t="shared" si="7"/>
        <v>540</v>
      </c>
      <c r="G131" s="561"/>
      <c r="I131" s="247">
        <v>6</v>
      </c>
    </row>
    <row r="132" spans="1:9" x14ac:dyDescent="0.3">
      <c r="A132" s="248" t="s">
        <v>376</v>
      </c>
      <c r="B132" s="247" t="s">
        <v>115</v>
      </c>
      <c r="D132" s="297">
        <f>'[3]240522_Supplier RFQ'!I144</f>
        <v>5</v>
      </c>
      <c r="F132" s="125">
        <f t="shared" si="7"/>
        <v>30</v>
      </c>
      <c r="G132" s="560" t="s">
        <v>1075</v>
      </c>
      <c r="I132" s="247">
        <v>6</v>
      </c>
    </row>
    <row r="133" spans="1:9" x14ac:dyDescent="0.3">
      <c r="A133" s="248" t="s">
        <v>377</v>
      </c>
      <c r="B133" s="250" t="s">
        <v>115</v>
      </c>
      <c r="D133" s="297">
        <f>'[3]240522_Supplier RFQ'!I145</f>
        <v>125</v>
      </c>
      <c r="F133" s="125">
        <f t="shared" si="7"/>
        <v>625</v>
      </c>
      <c r="G133" s="561"/>
      <c r="I133" s="250">
        <v>5</v>
      </c>
    </row>
    <row r="134" spans="1:9" x14ac:dyDescent="0.3">
      <c r="A134" s="248" t="s">
        <v>378</v>
      </c>
      <c r="B134" s="250" t="s">
        <v>115</v>
      </c>
      <c r="D134" s="297">
        <f>'[3]240522_Supplier RFQ'!I146</f>
        <v>39</v>
      </c>
      <c r="F134" s="125">
        <f t="shared" si="7"/>
        <v>3315</v>
      </c>
      <c r="G134" s="561"/>
      <c r="I134" s="250">
        <v>85</v>
      </c>
    </row>
    <row r="135" spans="1:9" ht="10.199999999999999" customHeight="1" x14ac:dyDescent="0.3">
      <c r="A135" s="248"/>
      <c r="B135" s="250"/>
      <c r="G135" s="561"/>
      <c r="I135" s="250"/>
    </row>
    <row r="136" spans="1:9" x14ac:dyDescent="0.3">
      <c r="A136" s="248" t="s">
        <v>379</v>
      </c>
      <c r="B136" s="250" t="s">
        <v>115</v>
      </c>
      <c r="D136" s="297">
        <f>'[3]240522_Supplier RFQ'!L148</f>
        <v>3100.7</v>
      </c>
      <c r="F136" s="125">
        <f>I136*D136</f>
        <v>3100.7</v>
      </c>
      <c r="G136" s="561"/>
      <c r="I136" s="250">
        <v>1</v>
      </c>
    </row>
    <row r="137" spans="1:9" x14ac:dyDescent="0.3">
      <c r="A137" s="248" t="s">
        <v>380</v>
      </c>
      <c r="B137" s="250" t="s">
        <v>115</v>
      </c>
      <c r="D137" s="297">
        <f>'[3]240522_Supplier RFQ'!L149</f>
        <v>4237.09</v>
      </c>
      <c r="F137" s="125">
        <f>I137*D137</f>
        <v>8474.18</v>
      </c>
      <c r="G137" s="560" t="s">
        <v>1075</v>
      </c>
      <c r="I137" s="250">
        <v>2</v>
      </c>
    </row>
    <row r="138" spans="1:9" ht="7.2" customHeight="1" x14ac:dyDescent="0.3">
      <c r="A138" s="248"/>
      <c r="B138" s="250"/>
      <c r="D138" s="297"/>
      <c r="G138" s="561"/>
      <c r="I138" s="250"/>
    </row>
    <row r="139" spans="1:9" x14ac:dyDescent="0.3">
      <c r="A139" s="248" t="s">
        <v>381</v>
      </c>
      <c r="B139" s="250" t="s">
        <v>115</v>
      </c>
      <c r="D139" s="297">
        <f>'[3]240522_Supplier RFQ'!L151</f>
        <v>114.44</v>
      </c>
      <c r="F139" s="125">
        <f t="shared" ref="F139:F146" si="8">I139*D139</f>
        <v>1144.4000000000001</v>
      </c>
      <c r="G139" s="561"/>
      <c r="I139" s="250">
        <v>10</v>
      </c>
    </row>
    <row r="140" spans="1:9" x14ac:dyDescent="0.3">
      <c r="A140" s="248" t="s">
        <v>382</v>
      </c>
      <c r="B140" s="250" t="s">
        <v>115</v>
      </c>
      <c r="D140" s="297">
        <f>'[3]240522_Supplier RFQ'!L152</f>
        <v>219.36</v>
      </c>
      <c r="F140" s="125">
        <f t="shared" si="8"/>
        <v>1535.52</v>
      </c>
      <c r="G140" s="561"/>
      <c r="I140" s="250">
        <v>7</v>
      </c>
    </row>
    <row r="141" spans="1:9" x14ac:dyDescent="0.3">
      <c r="A141" s="248" t="s">
        <v>383</v>
      </c>
      <c r="B141" s="250" t="s">
        <v>115</v>
      </c>
      <c r="D141" s="297">
        <f>'[3]240522_Supplier RFQ'!L153</f>
        <v>135.09</v>
      </c>
      <c r="F141" s="125">
        <f t="shared" si="8"/>
        <v>1080.72</v>
      </c>
      <c r="G141" s="561"/>
      <c r="I141" s="250">
        <v>8</v>
      </c>
    </row>
    <row r="142" spans="1:9" x14ac:dyDescent="0.3">
      <c r="A142" s="248" t="s">
        <v>384</v>
      </c>
      <c r="B142" s="250" t="s">
        <v>115</v>
      </c>
      <c r="D142" s="297">
        <f>'[3]240522_Supplier RFQ'!L154</f>
        <v>125.77</v>
      </c>
      <c r="F142" s="125">
        <f t="shared" si="8"/>
        <v>754.62</v>
      </c>
      <c r="G142" s="560" t="s">
        <v>1075</v>
      </c>
      <c r="I142" s="250">
        <v>6</v>
      </c>
    </row>
    <row r="143" spans="1:9" x14ac:dyDescent="0.3">
      <c r="A143" s="248" t="s">
        <v>385</v>
      </c>
      <c r="B143" s="250" t="s">
        <v>115</v>
      </c>
      <c r="D143" s="297">
        <f>'[3]240522_Supplier RFQ'!L155</f>
        <v>83.25</v>
      </c>
      <c r="F143" s="125">
        <f t="shared" si="8"/>
        <v>999</v>
      </c>
      <c r="G143" s="561"/>
      <c r="I143" s="250">
        <v>12</v>
      </c>
    </row>
    <row r="144" spans="1:9" x14ac:dyDescent="0.3">
      <c r="A144" s="248" t="s">
        <v>386</v>
      </c>
      <c r="B144" s="250" t="s">
        <v>115</v>
      </c>
      <c r="D144" s="297">
        <f>'[3]240522_Supplier RFQ'!L156</f>
        <v>52.25</v>
      </c>
      <c r="F144" s="125">
        <f t="shared" si="8"/>
        <v>627</v>
      </c>
      <c r="G144" s="561"/>
      <c r="I144" s="250">
        <v>12</v>
      </c>
    </row>
    <row r="145" spans="1:9" x14ac:dyDescent="0.3">
      <c r="A145" s="248" t="s">
        <v>387</v>
      </c>
      <c r="B145" s="250" t="s">
        <v>115</v>
      </c>
      <c r="D145" s="297">
        <f>'[3]240522_Supplier RFQ'!L157</f>
        <v>175.66</v>
      </c>
      <c r="F145" s="125">
        <f t="shared" si="8"/>
        <v>702.64</v>
      </c>
      <c r="G145" s="561"/>
      <c r="I145" s="250">
        <v>4</v>
      </c>
    </row>
    <row r="146" spans="1:9" x14ac:dyDescent="0.3">
      <c r="A146" s="248" t="s">
        <v>388</v>
      </c>
      <c r="B146" s="250" t="s">
        <v>115</v>
      </c>
      <c r="D146" s="297">
        <f>'[3]240522_Supplier RFQ'!L158</f>
        <v>164.08</v>
      </c>
      <c r="F146" s="125">
        <f t="shared" si="8"/>
        <v>820.40000000000009</v>
      </c>
      <c r="G146" s="561"/>
      <c r="I146" s="250">
        <v>5</v>
      </c>
    </row>
    <row r="147" spans="1:9" ht="11.4" customHeight="1" x14ac:dyDescent="0.3">
      <c r="A147" s="248"/>
      <c r="B147" s="248"/>
      <c r="D147" s="297"/>
      <c r="G147" s="560" t="s">
        <v>1075</v>
      </c>
      <c r="I147" s="248"/>
    </row>
    <row r="148" spans="1:9" x14ac:dyDescent="0.3">
      <c r="A148" s="248" t="s">
        <v>393</v>
      </c>
      <c r="B148" s="250" t="s">
        <v>115</v>
      </c>
      <c r="D148" s="297">
        <f>'[3]240522_Supplier RFQ'!L160</f>
        <v>77.95</v>
      </c>
      <c r="F148" s="125">
        <f t="shared" ref="F148:F158" si="9">I148*D148</f>
        <v>311.8</v>
      </c>
      <c r="G148" s="561"/>
      <c r="I148" s="247">
        <v>4</v>
      </c>
    </row>
    <row r="149" spans="1:9" x14ac:dyDescent="0.3">
      <c r="A149" s="248" t="s">
        <v>394</v>
      </c>
      <c r="B149" s="250" t="s">
        <v>115</v>
      </c>
      <c r="D149" s="297">
        <f>'[3]240522_Supplier RFQ'!L161</f>
        <v>17.16</v>
      </c>
      <c r="F149" s="125">
        <f t="shared" si="9"/>
        <v>137.28</v>
      </c>
      <c r="G149" s="561"/>
      <c r="I149" s="247">
        <v>8</v>
      </c>
    </row>
    <row r="150" spans="1:9" x14ac:dyDescent="0.3">
      <c r="A150" s="248" t="s">
        <v>395</v>
      </c>
      <c r="B150" s="250" t="s">
        <v>115</v>
      </c>
      <c r="D150" s="297">
        <f>'[3]240522_Supplier RFQ'!L162</f>
        <v>7.23</v>
      </c>
      <c r="F150" s="125">
        <f t="shared" si="9"/>
        <v>86.76</v>
      </c>
      <c r="G150" s="561"/>
      <c r="I150" s="247">
        <v>12</v>
      </c>
    </row>
    <row r="151" spans="1:9" x14ac:dyDescent="0.3">
      <c r="A151" s="248" t="s">
        <v>396</v>
      </c>
      <c r="B151" s="250" t="s">
        <v>115</v>
      </c>
      <c r="D151" s="297">
        <f>'[3]240522_Supplier RFQ'!L163</f>
        <v>14.31</v>
      </c>
      <c r="F151" s="125">
        <f t="shared" si="9"/>
        <v>85.86</v>
      </c>
      <c r="G151" s="561"/>
      <c r="I151" s="247">
        <v>6</v>
      </c>
    </row>
    <row r="152" spans="1:9" x14ac:dyDescent="0.3">
      <c r="A152" s="248" t="s">
        <v>397</v>
      </c>
      <c r="B152" s="250" t="s">
        <v>115</v>
      </c>
      <c r="D152" s="297">
        <f>'[3]240522_Supplier RFQ'!L164</f>
        <v>16.239999999999998</v>
      </c>
      <c r="F152" s="125">
        <f t="shared" si="9"/>
        <v>64.959999999999994</v>
      </c>
      <c r="G152" s="560" t="s">
        <v>1075</v>
      </c>
      <c r="I152" s="247">
        <v>4</v>
      </c>
    </row>
    <row r="153" spans="1:9" x14ac:dyDescent="0.3">
      <c r="A153" s="248" t="s">
        <v>399</v>
      </c>
      <c r="B153" s="250" t="s">
        <v>115</v>
      </c>
      <c r="D153" s="297">
        <f>'[3]240522_Supplier RFQ'!L165</f>
        <v>14.36</v>
      </c>
      <c r="F153" s="125">
        <f t="shared" si="9"/>
        <v>57.44</v>
      </c>
      <c r="G153" s="561"/>
      <c r="I153" s="247">
        <v>4</v>
      </c>
    </row>
    <row r="154" spans="1:9" x14ac:dyDescent="0.3">
      <c r="A154" s="248" t="s">
        <v>400</v>
      </c>
      <c r="B154" s="250" t="s">
        <v>115</v>
      </c>
      <c r="D154" s="297">
        <f>'[3]240522_Supplier RFQ'!L166</f>
        <v>46.94</v>
      </c>
      <c r="F154" s="125">
        <f t="shared" si="9"/>
        <v>3989.8999999999996</v>
      </c>
      <c r="G154" s="561"/>
      <c r="I154" s="247">
        <v>85</v>
      </c>
    </row>
    <row r="155" spans="1:9" x14ac:dyDescent="0.3">
      <c r="A155" s="248" t="s">
        <v>401</v>
      </c>
      <c r="B155" s="250" t="s">
        <v>115</v>
      </c>
      <c r="D155" s="297">
        <f>'[3]240522_Supplier RFQ'!L167</f>
        <v>8.4600000000000009</v>
      </c>
      <c r="F155" s="125">
        <f t="shared" si="9"/>
        <v>1438.2</v>
      </c>
      <c r="G155" s="561"/>
      <c r="I155" s="247">
        <v>170</v>
      </c>
    </row>
    <row r="156" spans="1:9" x14ac:dyDescent="0.3">
      <c r="A156" s="248" t="s">
        <v>402</v>
      </c>
      <c r="B156" s="250" t="s">
        <v>115</v>
      </c>
      <c r="D156" s="297">
        <f>'[3]240522_Supplier RFQ'!L168</f>
        <v>5.74</v>
      </c>
      <c r="F156" s="125">
        <f t="shared" si="9"/>
        <v>975.80000000000007</v>
      </c>
      <c r="G156" s="561"/>
      <c r="I156" s="247">
        <v>170</v>
      </c>
    </row>
    <row r="157" spans="1:9" x14ac:dyDescent="0.3">
      <c r="A157" s="248" t="s">
        <v>403</v>
      </c>
      <c r="B157" s="250" t="s">
        <v>115</v>
      </c>
      <c r="D157" s="297">
        <v>7.7</v>
      </c>
      <c r="F157" s="125">
        <f t="shared" si="9"/>
        <v>1309</v>
      </c>
      <c r="G157" s="560" t="s">
        <v>1075</v>
      </c>
      <c r="I157" s="247">
        <v>170</v>
      </c>
    </row>
    <row r="158" spans="1:9" x14ac:dyDescent="0.3">
      <c r="A158" s="248" t="s">
        <v>404</v>
      </c>
      <c r="B158" s="250" t="s">
        <v>115</v>
      </c>
      <c r="D158" s="297">
        <f>'[3]240522_Supplier RFQ'!L170</f>
        <v>10.19</v>
      </c>
      <c r="F158" s="125">
        <f t="shared" si="9"/>
        <v>254.75</v>
      </c>
      <c r="G158" s="561"/>
      <c r="I158" s="247">
        <v>25</v>
      </c>
    </row>
    <row r="159" spans="1:9" x14ac:dyDescent="0.3">
      <c r="A159" s="248"/>
      <c r="B159" s="250"/>
      <c r="G159" s="561"/>
      <c r="I159" s="248"/>
    </row>
    <row r="160" spans="1:9" x14ac:dyDescent="0.3">
      <c r="A160" s="248" t="s">
        <v>405</v>
      </c>
      <c r="B160" s="250" t="s">
        <v>115</v>
      </c>
      <c r="D160" s="297">
        <f>'[3]240522_Supplier RFQ'!I172</f>
        <v>5.86</v>
      </c>
      <c r="F160" s="125">
        <f t="shared" ref="F160:F167" si="10">I160*D160</f>
        <v>468.8</v>
      </c>
      <c r="G160" s="561"/>
      <c r="I160" s="250">
        <v>80</v>
      </c>
    </row>
    <row r="161" spans="1:9" x14ac:dyDescent="0.3">
      <c r="A161" s="248" t="s">
        <v>406</v>
      </c>
      <c r="B161" s="250" t="s">
        <v>115</v>
      </c>
      <c r="D161" s="297">
        <f>'[3]240522_Supplier RFQ'!I173</f>
        <v>4.41</v>
      </c>
      <c r="F161" s="125">
        <f t="shared" si="10"/>
        <v>44.1</v>
      </c>
      <c r="G161" s="561"/>
      <c r="I161" s="250">
        <v>10</v>
      </c>
    </row>
    <row r="162" spans="1:9" x14ac:dyDescent="0.3">
      <c r="A162" s="248" t="s">
        <v>407</v>
      </c>
      <c r="B162" s="250" t="s">
        <v>115</v>
      </c>
      <c r="D162" s="297">
        <f>'[3]240522_Supplier RFQ'!I174</f>
        <v>5.36</v>
      </c>
      <c r="F162" s="125">
        <f t="shared" si="10"/>
        <v>53.6</v>
      </c>
      <c r="G162" s="560" t="s">
        <v>1075</v>
      </c>
      <c r="I162" s="250">
        <v>10</v>
      </c>
    </row>
    <row r="163" spans="1:9" x14ac:dyDescent="0.3">
      <c r="A163" s="248" t="s">
        <v>408</v>
      </c>
      <c r="B163" s="250" t="s">
        <v>115</v>
      </c>
      <c r="D163" s="297">
        <f>'[3]240522_Supplier RFQ'!I175</f>
        <v>4.4000000000000004</v>
      </c>
      <c r="F163" s="125">
        <f t="shared" si="10"/>
        <v>44</v>
      </c>
      <c r="G163" s="561"/>
      <c r="I163" s="250">
        <v>10</v>
      </c>
    </row>
    <row r="164" spans="1:9" x14ac:dyDescent="0.3">
      <c r="A164" s="248" t="s">
        <v>409</v>
      </c>
      <c r="B164" s="250" t="s">
        <v>115</v>
      </c>
      <c r="D164" s="297">
        <f>'[3]240522_Supplier RFQ'!I176</f>
        <v>10.64</v>
      </c>
      <c r="F164" s="125">
        <f t="shared" si="10"/>
        <v>127.68</v>
      </c>
      <c r="G164" s="561"/>
      <c r="I164" s="250">
        <v>12</v>
      </c>
    </row>
    <row r="165" spans="1:9" x14ac:dyDescent="0.3">
      <c r="A165" s="248" t="s">
        <v>410</v>
      </c>
      <c r="B165" s="250" t="s">
        <v>115</v>
      </c>
      <c r="D165" s="297">
        <f>'[3]240522_Supplier RFQ'!I177</f>
        <v>20</v>
      </c>
      <c r="F165" s="125">
        <f t="shared" si="10"/>
        <v>120</v>
      </c>
      <c r="G165" s="561"/>
      <c r="I165" s="250">
        <v>6</v>
      </c>
    </row>
    <row r="166" spans="1:9" x14ac:dyDescent="0.3">
      <c r="A166" s="248" t="s">
        <v>411</v>
      </c>
      <c r="B166" s="250" t="s">
        <v>115</v>
      </c>
      <c r="D166" s="297">
        <f>'[3]240522_Supplier RFQ'!I178</f>
        <v>19.5</v>
      </c>
      <c r="F166" s="125">
        <f t="shared" si="10"/>
        <v>390</v>
      </c>
      <c r="G166" s="561"/>
      <c r="I166" s="250">
        <v>20</v>
      </c>
    </row>
    <row r="167" spans="1:9" x14ac:dyDescent="0.3">
      <c r="A167" s="248" t="s">
        <v>340</v>
      </c>
      <c r="B167" s="247" t="s">
        <v>115</v>
      </c>
      <c r="D167" s="297">
        <f>D90</f>
        <v>20</v>
      </c>
      <c r="F167" s="125">
        <f t="shared" si="10"/>
        <v>480</v>
      </c>
      <c r="I167" s="247">
        <v>24</v>
      </c>
    </row>
    <row r="168" spans="1:9" x14ac:dyDescent="0.3">
      <c r="A168" s="248"/>
      <c r="B168" s="248"/>
      <c r="I168" s="248"/>
    </row>
    <row r="169" spans="1:9" x14ac:dyDescent="0.3">
      <c r="A169" s="251" t="s">
        <v>412</v>
      </c>
      <c r="B169" s="253"/>
      <c r="I169" s="253"/>
    </row>
    <row r="170" spans="1:9" x14ac:dyDescent="0.3">
      <c r="A170" s="255" t="s">
        <v>354</v>
      </c>
      <c r="B170" s="256" t="s">
        <v>102</v>
      </c>
      <c r="C170" s="257"/>
      <c r="D170" s="258" t="s">
        <v>939</v>
      </c>
      <c r="E170" s="257"/>
      <c r="F170" s="258" t="s">
        <v>940</v>
      </c>
      <c r="I170" s="256" t="s">
        <v>914</v>
      </c>
    </row>
    <row r="171" spans="1:9" x14ac:dyDescent="0.3">
      <c r="A171" s="248" t="s">
        <v>1076</v>
      </c>
      <c r="B171" s="250" t="s">
        <v>115</v>
      </c>
      <c r="D171" s="213">
        <v>0</v>
      </c>
      <c r="F171" s="125">
        <f t="shared" ref="F171:F176" si="11">I171*D171</f>
        <v>0</v>
      </c>
      <c r="I171" s="250">
        <v>1</v>
      </c>
    </row>
    <row r="172" spans="1:9" x14ac:dyDescent="0.3">
      <c r="A172" s="248" t="s">
        <v>414</v>
      </c>
      <c r="B172" s="250" t="s">
        <v>115</v>
      </c>
      <c r="D172" s="213">
        <v>0</v>
      </c>
      <c r="F172" s="125">
        <f t="shared" si="11"/>
        <v>0</v>
      </c>
      <c r="I172" s="250">
        <v>1</v>
      </c>
    </row>
    <row r="173" spans="1:9" x14ac:dyDescent="0.3">
      <c r="A173" s="248" t="s">
        <v>1077</v>
      </c>
      <c r="B173" s="250" t="s">
        <v>115</v>
      </c>
      <c r="D173" s="213">
        <v>0</v>
      </c>
      <c r="F173" s="125">
        <f t="shared" si="11"/>
        <v>0</v>
      </c>
      <c r="I173" s="250">
        <v>1</v>
      </c>
    </row>
    <row r="174" spans="1:9" x14ac:dyDescent="0.3">
      <c r="A174" s="248" t="s">
        <v>417</v>
      </c>
      <c r="B174" s="250" t="s">
        <v>115</v>
      </c>
      <c r="D174" s="213">
        <v>0</v>
      </c>
      <c r="F174" s="125">
        <f t="shared" si="11"/>
        <v>0</v>
      </c>
      <c r="I174" s="250">
        <v>1</v>
      </c>
    </row>
    <row r="175" spans="1:9" x14ac:dyDescent="0.3">
      <c r="A175" s="248" t="s">
        <v>418</v>
      </c>
      <c r="B175" s="250" t="s">
        <v>115</v>
      </c>
      <c r="D175" s="297">
        <f>'[3]240522_Supplier RFQ'!$I$189</f>
        <v>2178.48</v>
      </c>
      <c r="F175" s="125">
        <f t="shared" si="11"/>
        <v>2178.48</v>
      </c>
      <c r="I175" s="250">
        <v>1</v>
      </c>
    </row>
    <row r="176" spans="1:9" x14ac:dyDescent="0.3">
      <c r="A176" s="248" t="s">
        <v>419</v>
      </c>
      <c r="B176" s="250" t="s">
        <v>115</v>
      </c>
      <c r="D176" s="297">
        <f>'[3]240522_Supplier RFQ'!$I$189</f>
        <v>2178.48</v>
      </c>
      <c r="F176" s="125">
        <f t="shared" si="11"/>
        <v>2178.48</v>
      </c>
      <c r="I176" s="250">
        <v>1</v>
      </c>
    </row>
    <row r="177" spans="1:12" x14ac:dyDescent="0.3">
      <c r="A177" s="196"/>
      <c r="B177" s="196"/>
      <c r="I177" s="196"/>
    </row>
    <row r="178" spans="1:12" x14ac:dyDescent="0.3">
      <c r="A178" s="196"/>
      <c r="B178" s="196"/>
      <c r="I178" s="196"/>
    </row>
    <row r="179" spans="1:12" x14ac:dyDescent="0.3">
      <c r="A179" s="196"/>
      <c r="B179" s="196"/>
      <c r="I179" s="196"/>
    </row>
    <row r="180" spans="1:12" x14ac:dyDescent="0.3">
      <c r="A180" s="196"/>
      <c r="B180" s="196"/>
      <c r="I180" s="196"/>
    </row>
    <row r="181" spans="1:12" x14ac:dyDescent="0.3">
      <c r="A181" s="196"/>
      <c r="B181" s="196"/>
      <c r="I181" s="196"/>
    </row>
    <row r="182" spans="1:12" x14ac:dyDescent="0.3">
      <c r="A182" s="196"/>
      <c r="B182" s="196"/>
      <c r="I182" s="196"/>
    </row>
    <row r="183" spans="1:12" x14ac:dyDescent="0.3">
      <c r="A183" s="251" t="s">
        <v>1078</v>
      </c>
      <c r="B183" s="252"/>
      <c r="I183" s="252"/>
    </row>
    <row r="184" spans="1:12" x14ac:dyDescent="0.3">
      <c r="A184" s="255" t="s">
        <v>354</v>
      </c>
      <c r="B184" s="256" t="s">
        <v>102</v>
      </c>
      <c r="C184" s="257"/>
      <c r="D184" s="258" t="s">
        <v>939</v>
      </c>
      <c r="E184" s="257"/>
      <c r="F184" s="258" t="s">
        <v>940</v>
      </c>
      <c r="G184" s="560" t="s">
        <v>1075</v>
      </c>
      <c r="I184" s="256" t="s">
        <v>914</v>
      </c>
      <c r="L184" s="438"/>
    </row>
    <row r="185" spans="1:12" x14ac:dyDescent="0.3">
      <c r="A185" s="248" t="s">
        <v>1079</v>
      </c>
      <c r="B185" s="247" t="s">
        <v>954</v>
      </c>
      <c r="D185" s="283">
        <f>[4]Concrete_Quarry!$J$16</f>
        <v>39.75</v>
      </c>
      <c r="F185" s="125">
        <f>I185*D185</f>
        <v>32697.538304999998</v>
      </c>
      <c r="G185" s="561"/>
      <c r="I185" s="254">
        <v>822.57957999999996</v>
      </c>
      <c r="L185" s="438"/>
    </row>
    <row r="186" spans="1:12" x14ac:dyDescent="0.3">
      <c r="A186" s="248" t="s">
        <v>1080</v>
      </c>
      <c r="B186" s="247" t="s">
        <v>954</v>
      </c>
      <c r="D186" s="283">
        <f>[4]Concrete_Quarry!$J$17</f>
        <v>41.9</v>
      </c>
      <c r="F186" s="125">
        <f>I186*D186</f>
        <v>419</v>
      </c>
      <c r="G186" s="561"/>
      <c r="I186" s="247">
        <v>10</v>
      </c>
      <c r="L186" s="438"/>
    </row>
    <row r="187" spans="1:12" x14ac:dyDescent="0.3">
      <c r="A187" s="248" t="s">
        <v>1081</v>
      </c>
      <c r="B187" s="247" t="s">
        <v>954</v>
      </c>
      <c r="D187" s="283">
        <f>[4]Concrete_Quarry!$J$19</f>
        <v>45.25</v>
      </c>
      <c r="F187" s="125">
        <f>I187*D187</f>
        <v>6912.0506249999999</v>
      </c>
      <c r="G187" s="561"/>
      <c r="I187" s="254">
        <v>152.7525</v>
      </c>
      <c r="L187" s="438"/>
    </row>
    <row r="188" spans="1:12" x14ac:dyDescent="0.3">
      <c r="A188" s="248" t="s">
        <v>1082</v>
      </c>
      <c r="B188" s="247" t="s">
        <v>954</v>
      </c>
      <c r="D188" s="283">
        <f>[4]Concrete_Quarry!$J$20</f>
        <v>87</v>
      </c>
      <c r="F188" s="125">
        <f>I188*D188</f>
        <v>353.04600000000005</v>
      </c>
      <c r="G188" s="561"/>
      <c r="I188" s="247">
        <v>4.0580000000000007</v>
      </c>
      <c r="L188" s="438"/>
    </row>
    <row r="189" spans="1:12" x14ac:dyDescent="0.3">
      <c r="A189" s="248" t="s">
        <v>1083</v>
      </c>
      <c r="B189" s="439" t="s">
        <v>1084</v>
      </c>
      <c r="D189" s="283">
        <f>[4]Concrete_Quarry!$N$21</f>
        <v>6.48</v>
      </c>
      <c r="F189" s="125">
        <f>I189*D189</f>
        <v>22436.287199999999</v>
      </c>
      <c r="I189" s="254">
        <v>3462.3899999999994</v>
      </c>
      <c r="L189" s="438"/>
    </row>
    <row r="190" spans="1:12" x14ac:dyDescent="0.3">
      <c r="A190" s="126"/>
      <c r="L190" s="438"/>
    </row>
    <row r="191" spans="1:12" x14ac:dyDescent="0.3">
      <c r="A191" s="251" t="s">
        <v>1085</v>
      </c>
      <c r="B191" s="253"/>
      <c r="I191" s="253"/>
      <c r="L191" s="438"/>
    </row>
    <row r="192" spans="1:12" x14ac:dyDescent="0.3">
      <c r="A192" s="255" t="s">
        <v>354</v>
      </c>
      <c r="B192" s="256" t="s">
        <v>102</v>
      </c>
      <c r="C192" s="257"/>
      <c r="D192" s="258" t="s">
        <v>939</v>
      </c>
      <c r="E192" s="257"/>
      <c r="F192" s="258" t="s">
        <v>940</v>
      </c>
      <c r="G192" s="560" t="s">
        <v>1075</v>
      </c>
      <c r="I192" s="256" t="s">
        <v>914</v>
      </c>
      <c r="L192" s="438"/>
    </row>
    <row r="193" spans="1:12" ht="14.4" customHeight="1" x14ac:dyDescent="0.3">
      <c r="A193" s="248" t="s">
        <v>1086</v>
      </c>
      <c r="B193" s="250" t="s">
        <v>954</v>
      </c>
      <c r="D193" s="283">
        <f>[4]Concrete_Quarry!$F$26</f>
        <v>169</v>
      </c>
      <c r="F193" s="125">
        <f>I193*D193</f>
        <v>87150.536849999989</v>
      </c>
      <c r="G193" s="561"/>
      <c r="I193" s="259">
        <v>515.68364999999994</v>
      </c>
      <c r="L193" s="438"/>
    </row>
    <row r="194" spans="1:12" x14ac:dyDescent="0.3">
      <c r="A194" s="248" t="s">
        <v>1087</v>
      </c>
      <c r="B194" s="250" t="s">
        <v>954</v>
      </c>
      <c r="D194" s="283">
        <f>[4]Concrete_Quarry!$F$27</f>
        <v>252</v>
      </c>
      <c r="F194" s="125">
        <f>I194*D194</f>
        <v>23250.527999999998</v>
      </c>
      <c r="G194" s="561"/>
      <c r="I194" s="259">
        <v>92.263999999999996</v>
      </c>
      <c r="L194" s="438"/>
    </row>
    <row r="195" spans="1:12" x14ac:dyDescent="0.3">
      <c r="A195" s="248" t="s">
        <v>1088</v>
      </c>
      <c r="B195" s="250" t="s">
        <v>954</v>
      </c>
      <c r="D195" s="283">
        <f>[4]Concrete_Quarry!$F$28</f>
        <v>263</v>
      </c>
      <c r="F195" s="125">
        <f>I195*D195</f>
        <v>3971.5104000000006</v>
      </c>
      <c r="G195" s="561"/>
      <c r="I195" s="259">
        <v>15.100800000000001</v>
      </c>
      <c r="L195" s="438"/>
    </row>
    <row r="196" spans="1:12" x14ac:dyDescent="0.3">
      <c r="A196" s="126"/>
      <c r="G196" s="561"/>
      <c r="L196" s="438"/>
    </row>
    <row r="197" spans="1:12" x14ac:dyDescent="0.3">
      <c r="A197" s="251" t="s">
        <v>1089</v>
      </c>
      <c r="B197" s="253"/>
      <c r="I197" s="253"/>
      <c r="L197" s="438"/>
    </row>
    <row r="198" spans="1:12" x14ac:dyDescent="0.3">
      <c r="A198" s="255" t="s">
        <v>354</v>
      </c>
      <c r="B198" s="256" t="s">
        <v>102</v>
      </c>
      <c r="C198" s="257"/>
      <c r="D198" s="258" t="s">
        <v>939</v>
      </c>
      <c r="E198" s="257"/>
      <c r="F198" s="258" t="s">
        <v>940</v>
      </c>
      <c r="I198" s="256" t="s">
        <v>914</v>
      </c>
      <c r="L198" s="438"/>
    </row>
    <row r="199" spans="1:12" x14ac:dyDescent="0.3">
      <c r="A199" s="248" t="s">
        <v>1090</v>
      </c>
      <c r="B199" s="250" t="s">
        <v>154</v>
      </c>
      <c r="D199" s="213">
        <v>0</v>
      </c>
      <c r="F199" s="125">
        <f>I199*D199</f>
        <v>0</v>
      </c>
      <c r="I199" s="250">
        <v>1516.8799999999999</v>
      </c>
      <c r="L199" s="438"/>
    </row>
    <row r="200" spans="1:12" x14ac:dyDescent="0.3">
      <c r="A200" s="126"/>
      <c r="L200" s="438"/>
    </row>
    <row r="201" spans="1:12" x14ac:dyDescent="0.3">
      <c r="A201" s="126"/>
      <c r="L201" s="438"/>
    </row>
    <row r="202" spans="1:12" x14ac:dyDescent="0.3">
      <c r="A202" s="126"/>
      <c r="L202" s="438"/>
    </row>
    <row r="203" spans="1:12" x14ac:dyDescent="0.3">
      <c r="A203" s="126"/>
      <c r="L203" s="438"/>
    </row>
    <row r="204" spans="1:12" x14ac:dyDescent="0.3">
      <c r="A204" s="126"/>
      <c r="L204" s="438"/>
    </row>
    <row r="205" spans="1:12" x14ac:dyDescent="0.3">
      <c r="A205" s="126"/>
      <c r="L205" s="438"/>
    </row>
    <row r="206" spans="1:12" x14ac:dyDescent="0.3">
      <c r="A206" s="126"/>
      <c r="L206" s="438"/>
    </row>
    <row r="207" spans="1:12" x14ac:dyDescent="0.3">
      <c r="A207" s="126"/>
      <c r="L207" s="438"/>
    </row>
    <row r="208" spans="1:12" x14ac:dyDescent="0.3">
      <c r="A208" s="126"/>
      <c r="L208" s="438"/>
    </row>
    <row r="209" spans="1:12" x14ac:dyDescent="0.3">
      <c r="A209" s="126"/>
      <c r="L209" s="438"/>
    </row>
    <row r="210" spans="1:12" x14ac:dyDescent="0.3">
      <c r="A210" s="126"/>
      <c r="L210" s="438"/>
    </row>
    <row r="211" spans="1:12" x14ac:dyDescent="0.3">
      <c r="A211" s="126"/>
      <c r="L211" s="438"/>
    </row>
    <row r="212" spans="1:12" x14ac:dyDescent="0.3">
      <c r="A212" s="126"/>
      <c r="L212" s="438"/>
    </row>
    <row r="213" spans="1:12" x14ac:dyDescent="0.3">
      <c r="A213" s="126"/>
      <c r="L213" s="438"/>
    </row>
    <row r="214" spans="1:12" ht="15" thickBot="1" x14ac:dyDescent="0.35">
      <c r="A214" s="126"/>
      <c r="L214" s="438"/>
    </row>
    <row r="215" spans="1:12" ht="15" thickBot="1" x14ac:dyDescent="0.35">
      <c r="A215" s="173" t="s">
        <v>913</v>
      </c>
      <c r="B215" s="122"/>
      <c r="I215" s="121"/>
      <c r="L215" s="438"/>
    </row>
    <row r="216" spans="1:12" x14ac:dyDescent="0.3">
      <c r="A216" s="126"/>
      <c r="B216" s="193" t="s">
        <v>102</v>
      </c>
      <c r="C216" s="194" t="s">
        <v>939</v>
      </c>
      <c r="D216" s="194"/>
      <c r="E216" s="194" t="s">
        <v>939</v>
      </c>
      <c r="I216" s="193" t="s">
        <v>914</v>
      </c>
      <c r="L216" s="438"/>
    </row>
    <row r="217" spans="1:12" x14ac:dyDescent="0.3">
      <c r="A217" s="427" t="s">
        <v>1091</v>
      </c>
      <c r="B217" s="438" t="s">
        <v>149</v>
      </c>
      <c r="I217" s="196">
        <v>1250</v>
      </c>
      <c r="L217" s="438"/>
    </row>
    <row r="218" spans="1:12" x14ac:dyDescent="0.3">
      <c r="A218" s="427" t="s">
        <v>916</v>
      </c>
      <c r="B218" s="438" t="s">
        <v>149</v>
      </c>
      <c r="I218" s="196">
        <v>120</v>
      </c>
      <c r="L218" s="438"/>
    </row>
    <row r="219" spans="1:12" x14ac:dyDescent="0.3">
      <c r="A219" s="427" t="s">
        <v>917</v>
      </c>
      <c r="B219" s="438" t="s">
        <v>154</v>
      </c>
      <c r="I219" s="196">
        <f>I218*0.8</f>
        <v>96</v>
      </c>
      <c r="L219" s="438"/>
    </row>
    <row r="220" spans="1:12" x14ac:dyDescent="0.3">
      <c r="A220" s="427" t="s">
        <v>918</v>
      </c>
      <c r="B220" s="438" t="s">
        <v>149</v>
      </c>
      <c r="I220" s="196">
        <v>968</v>
      </c>
      <c r="L220" s="438"/>
    </row>
    <row r="221" spans="1:12" x14ac:dyDescent="0.3">
      <c r="A221" s="427" t="s">
        <v>1092</v>
      </c>
      <c r="B221" s="438" t="s">
        <v>149</v>
      </c>
      <c r="I221" s="196">
        <v>1250</v>
      </c>
      <c r="L221" s="438"/>
    </row>
    <row r="222" spans="1:12" x14ac:dyDescent="0.3">
      <c r="A222" s="427" t="s">
        <v>1093</v>
      </c>
      <c r="B222" s="438" t="s">
        <v>149</v>
      </c>
      <c r="C222" s="120"/>
      <c r="E222" s="120"/>
      <c r="I222" s="196">
        <v>75</v>
      </c>
      <c r="L222" s="438"/>
    </row>
    <row r="223" spans="1:12" x14ac:dyDescent="0.3">
      <c r="A223" s="427"/>
      <c r="C223" s="120"/>
      <c r="E223" s="120"/>
      <c r="L223" s="438"/>
    </row>
    <row r="224" spans="1:12" x14ac:dyDescent="0.3">
      <c r="A224" s="126"/>
      <c r="L224" s="438"/>
    </row>
    <row r="225" spans="1:12" x14ac:dyDescent="0.3">
      <c r="A225" s="126" t="s">
        <v>1094</v>
      </c>
      <c r="B225" s="438" t="s">
        <v>925</v>
      </c>
      <c r="C225" s="436" t="s">
        <v>926</v>
      </c>
      <c r="D225" s="436" t="s">
        <v>1095</v>
      </c>
      <c r="E225" s="436" t="s">
        <v>926</v>
      </c>
      <c r="F225" s="194" t="s">
        <v>943</v>
      </c>
      <c r="I225" s="438" t="s">
        <v>32</v>
      </c>
      <c r="L225" s="438"/>
    </row>
    <row r="226" spans="1:12" x14ac:dyDescent="0.3">
      <c r="A226" s="427" t="s">
        <v>1096</v>
      </c>
      <c r="B226" s="438">
        <v>0.5</v>
      </c>
      <c r="C226" s="196">
        <v>1250</v>
      </c>
      <c r="D226" s="440">
        <v>1.3</v>
      </c>
      <c r="E226" s="196">
        <v>1250</v>
      </c>
      <c r="F226" s="199">
        <f>(I226*B226*C226)*D226</f>
        <v>731.25</v>
      </c>
      <c r="I226" s="196">
        <v>0.9</v>
      </c>
      <c r="L226" s="438"/>
    </row>
    <row r="227" spans="1:12" x14ac:dyDescent="0.3">
      <c r="A227" s="427"/>
      <c r="B227" s="438"/>
      <c r="C227" s="196"/>
      <c r="D227" s="440"/>
      <c r="E227" s="196"/>
      <c r="F227" s="199"/>
      <c r="I227" s="196"/>
      <c r="L227" s="438"/>
    </row>
    <row r="228" spans="1:12" x14ac:dyDescent="0.3">
      <c r="A228" s="427"/>
      <c r="B228" s="438"/>
      <c r="C228" s="196"/>
      <c r="D228" s="440"/>
      <c r="E228" s="196"/>
      <c r="F228" s="199"/>
      <c r="I228" s="196"/>
      <c r="L228" s="438"/>
    </row>
    <row r="229" spans="1:12" ht="7.2" customHeight="1" x14ac:dyDescent="0.3">
      <c r="A229" s="441"/>
      <c r="B229" s="232"/>
      <c r="C229" s="232"/>
      <c r="D229" s="233"/>
      <c r="E229" s="232"/>
      <c r="F229" s="233"/>
      <c r="G229" s="234"/>
      <c r="H229" s="232"/>
      <c r="I229" s="232"/>
      <c r="L229" s="438"/>
    </row>
    <row r="230" spans="1:12" x14ac:dyDescent="0.3">
      <c r="A230" s="126" t="s">
        <v>941</v>
      </c>
      <c r="B230" s="438" t="s">
        <v>914</v>
      </c>
      <c r="C230" s="436" t="s">
        <v>943</v>
      </c>
      <c r="D230" s="442" t="s">
        <v>911</v>
      </c>
      <c r="E230" s="436" t="s">
        <v>943</v>
      </c>
      <c r="F230" s="194" t="s">
        <v>943</v>
      </c>
      <c r="G230" s="200" t="s">
        <v>944</v>
      </c>
      <c r="I230" s="438" t="s">
        <v>942</v>
      </c>
      <c r="L230" s="438"/>
    </row>
    <row r="231" spans="1:12" x14ac:dyDescent="0.3">
      <c r="A231" s="427"/>
      <c r="B231" s="443">
        <v>12</v>
      </c>
      <c r="C231" s="196">
        <f>B231*I231</f>
        <v>0.42000000000000004</v>
      </c>
      <c r="D231" s="440">
        <v>1.02</v>
      </c>
      <c r="E231" s="196">
        <f>D231*K231</f>
        <v>0</v>
      </c>
      <c r="F231" s="198">
        <f>(I231*B231*C231)*D231</f>
        <v>0.17992800000000003</v>
      </c>
      <c r="G231" s="124">
        <f>F231*D195</f>
        <v>47.321064000000007</v>
      </c>
      <c r="I231" s="196">
        <v>3.5000000000000003E-2</v>
      </c>
      <c r="L231" s="438"/>
    </row>
    <row r="232" spans="1:12" x14ac:dyDescent="0.3">
      <c r="A232" s="427"/>
      <c r="C232" s="120"/>
      <c r="E232" s="120"/>
      <c r="L232" s="438"/>
    </row>
    <row r="233" spans="1:12" x14ac:dyDescent="0.3">
      <c r="A233" s="126" t="s">
        <v>1097</v>
      </c>
      <c r="B233" s="438" t="s">
        <v>914</v>
      </c>
      <c r="C233" s="436" t="s">
        <v>943</v>
      </c>
      <c r="D233" s="442" t="s">
        <v>911</v>
      </c>
      <c r="E233" s="436" t="s">
        <v>943</v>
      </c>
      <c r="F233" s="194" t="s">
        <v>943</v>
      </c>
      <c r="G233" s="200" t="s">
        <v>944</v>
      </c>
      <c r="I233" s="438" t="s">
        <v>1098</v>
      </c>
      <c r="L233" s="438"/>
    </row>
    <row r="234" spans="1:12" x14ac:dyDescent="0.3">
      <c r="A234" s="427" t="s">
        <v>1099</v>
      </c>
      <c r="B234" s="438">
        <v>40</v>
      </c>
      <c r="C234" s="196">
        <f>B234*I234</f>
        <v>3.2</v>
      </c>
      <c r="D234" s="440">
        <v>1.02</v>
      </c>
      <c r="E234" s="196">
        <f>D234*K234</f>
        <v>0</v>
      </c>
      <c r="F234" s="198">
        <f>(I234*B234*C234)*D234</f>
        <v>10.444800000000003</v>
      </c>
      <c r="G234" s="124">
        <f>F234*D195</f>
        <v>2746.9824000000008</v>
      </c>
      <c r="I234" s="196">
        <v>0.08</v>
      </c>
      <c r="L234" s="438"/>
    </row>
    <row r="235" spans="1:12" x14ac:dyDescent="0.3">
      <c r="A235" s="427" t="s">
        <v>1100</v>
      </c>
      <c r="B235" s="438">
        <v>40</v>
      </c>
      <c r="C235" s="196">
        <f>B235*I235</f>
        <v>3.5999999999999996</v>
      </c>
      <c r="D235" s="440">
        <v>1.02</v>
      </c>
      <c r="E235" s="196">
        <f>D235*K235</f>
        <v>0</v>
      </c>
      <c r="F235" s="198">
        <f>(I235*B235*C235)*D235</f>
        <v>13.219199999999997</v>
      </c>
      <c r="G235" s="124">
        <f>D195</f>
        <v>263</v>
      </c>
      <c r="I235" s="196">
        <v>0.09</v>
      </c>
      <c r="L235" s="438"/>
    </row>
    <row r="236" spans="1:12" x14ac:dyDescent="0.3">
      <c r="A236" s="126" t="s">
        <v>1101</v>
      </c>
      <c r="B236" s="438" t="s">
        <v>914</v>
      </c>
      <c r="C236" s="436" t="s">
        <v>943</v>
      </c>
      <c r="D236" s="442" t="s">
        <v>911</v>
      </c>
      <c r="E236" s="436" t="s">
        <v>943</v>
      </c>
      <c r="F236" s="194" t="s">
        <v>943</v>
      </c>
      <c r="G236" s="200" t="s">
        <v>944</v>
      </c>
      <c r="I236" s="438" t="s">
        <v>1102</v>
      </c>
      <c r="L236" s="438"/>
    </row>
    <row r="237" spans="1:12" x14ac:dyDescent="0.3">
      <c r="A237" s="427"/>
      <c r="B237" s="438">
        <v>10</v>
      </c>
      <c r="C237" s="196">
        <f>B237*I237</f>
        <v>7.5</v>
      </c>
      <c r="D237" s="440">
        <v>1.0249999999999999</v>
      </c>
      <c r="E237" s="196">
        <f>D237*K237</f>
        <v>0</v>
      </c>
      <c r="F237" s="198">
        <f>(I237*B237*C237)*D237</f>
        <v>57.656249999999993</v>
      </c>
      <c r="G237" s="124">
        <f>D195</f>
        <v>263</v>
      </c>
      <c r="I237" s="196">
        <v>0.75</v>
      </c>
      <c r="L237" s="438"/>
    </row>
    <row r="238" spans="1:12" x14ac:dyDescent="0.3">
      <c r="A238" s="427"/>
      <c r="C238" s="120"/>
      <c r="E238" s="120"/>
      <c r="L238" s="438"/>
    </row>
    <row r="239" spans="1:12" x14ac:dyDescent="0.3">
      <c r="A239" s="126" t="s">
        <v>1103</v>
      </c>
      <c r="B239" s="438" t="s">
        <v>914</v>
      </c>
      <c r="C239" s="436" t="s">
        <v>943</v>
      </c>
      <c r="D239" s="442" t="s">
        <v>911</v>
      </c>
      <c r="E239" s="436" t="s">
        <v>943</v>
      </c>
      <c r="F239" s="194" t="s">
        <v>943</v>
      </c>
      <c r="G239" s="200" t="s">
        <v>944</v>
      </c>
      <c r="I239" s="438" t="s">
        <v>1098</v>
      </c>
      <c r="L239" s="438"/>
    </row>
    <row r="240" spans="1:12" x14ac:dyDescent="0.3">
      <c r="A240" s="427"/>
      <c r="B240" s="438">
        <v>80</v>
      </c>
      <c r="C240" s="196">
        <f>B240*I240</f>
        <v>5.2</v>
      </c>
      <c r="D240" s="440">
        <v>1.0149999999999999</v>
      </c>
      <c r="E240" s="196">
        <f>D240*K240</f>
        <v>0</v>
      </c>
      <c r="F240" s="198">
        <f>(I240*B240*C240)*D240</f>
        <v>27.445599999999999</v>
      </c>
      <c r="G240" s="124">
        <f>D195</f>
        <v>263</v>
      </c>
      <c r="I240" s="196">
        <v>6.5000000000000002E-2</v>
      </c>
      <c r="L240" s="438"/>
    </row>
    <row r="242" spans="1:13" ht="15" thickBot="1" x14ac:dyDescent="0.35"/>
    <row r="243" spans="1:13" ht="15" thickBot="1" x14ac:dyDescent="0.35">
      <c r="A243" s="173" t="s">
        <v>945</v>
      </c>
      <c r="B243" s="122"/>
      <c r="I243" s="121"/>
    </row>
    <row r="244" spans="1:13" x14ac:dyDescent="0.3">
      <c r="A244" s="192"/>
      <c r="H244" s="442"/>
    </row>
    <row r="245" spans="1:13" x14ac:dyDescent="0.3">
      <c r="A245" s="123" t="s">
        <v>354</v>
      </c>
      <c r="B245" s="193" t="s">
        <v>102</v>
      </c>
      <c r="C245" s="194" t="s">
        <v>939</v>
      </c>
      <c r="D245" s="194" t="s">
        <v>947</v>
      </c>
      <c r="E245" s="194" t="s">
        <v>939</v>
      </c>
      <c r="H245" s="193" t="s">
        <v>938</v>
      </c>
      <c r="I245" s="193" t="s">
        <v>946</v>
      </c>
      <c r="J245" s="196"/>
      <c r="K245" s="193" t="s">
        <v>940</v>
      </c>
      <c r="L245" s="192" t="s">
        <v>911</v>
      </c>
      <c r="M245" s="120">
        <v>1.05</v>
      </c>
    </row>
    <row r="246" spans="1:13" x14ac:dyDescent="0.3">
      <c r="A246" s="442" t="s">
        <v>952</v>
      </c>
      <c r="B246" s="438" t="s">
        <v>953</v>
      </c>
      <c r="C246" s="213">
        <v>1</v>
      </c>
      <c r="D246" s="125">
        <f t="shared" ref="D246:D253" si="12">C246*I246</f>
        <v>0.20300000000000001</v>
      </c>
      <c r="E246" s="213">
        <v>1</v>
      </c>
      <c r="H246" s="120">
        <f>I246*I221</f>
        <v>253.75000000000003</v>
      </c>
      <c r="I246" s="120">
        <v>0.20300000000000001</v>
      </c>
      <c r="K246" s="195">
        <f>H246*C246</f>
        <v>253.75000000000003</v>
      </c>
      <c r="L246" s="195">
        <f>K246*$M$245</f>
        <v>266.43750000000006</v>
      </c>
    </row>
    <row r="247" spans="1:13" x14ac:dyDescent="0.3">
      <c r="A247" s="442" t="s">
        <v>952</v>
      </c>
      <c r="B247" s="438" t="s">
        <v>954</v>
      </c>
      <c r="C247" s="213">
        <v>1</v>
      </c>
      <c r="D247" s="125">
        <f t="shared" si="12"/>
        <v>0.14000000000000001</v>
      </c>
      <c r="E247" s="213">
        <v>1</v>
      </c>
      <c r="I247" s="120">
        <v>0.14000000000000001</v>
      </c>
      <c r="K247" s="195"/>
    </row>
    <row r="248" spans="1:13" x14ac:dyDescent="0.3">
      <c r="A248" s="442" t="s">
        <v>955</v>
      </c>
      <c r="B248" s="438" t="s">
        <v>953</v>
      </c>
      <c r="C248" s="213">
        <v>1</v>
      </c>
      <c r="D248" s="125">
        <f t="shared" si="12"/>
        <v>0.45</v>
      </c>
      <c r="E248" s="213">
        <v>1</v>
      </c>
      <c r="H248" s="120">
        <v>40</v>
      </c>
      <c r="I248" s="120">
        <v>0.45</v>
      </c>
      <c r="K248" s="195">
        <f>H248*C248</f>
        <v>40</v>
      </c>
      <c r="L248" s="195">
        <f>K248*$M$245</f>
        <v>42</v>
      </c>
    </row>
    <row r="249" spans="1:13" x14ac:dyDescent="0.3">
      <c r="A249" s="442" t="s">
        <v>957</v>
      </c>
      <c r="B249" s="438" t="s">
        <v>953</v>
      </c>
      <c r="C249" s="213">
        <v>1</v>
      </c>
      <c r="D249" s="125">
        <f t="shared" si="12"/>
        <v>0.22500000000000001</v>
      </c>
      <c r="E249" s="213">
        <v>1</v>
      </c>
      <c r="H249" s="120">
        <f>I249*I221</f>
        <v>281.25</v>
      </c>
      <c r="I249" s="120">
        <v>0.22500000000000001</v>
      </c>
      <c r="K249" s="195">
        <f>H249*C249</f>
        <v>281.25</v>
      </c>
      <c r="L249" s="195">
        <f>K249*$M$245</f>
        <v>295.3125</v>
      </c>
    </row>
    <row r="250" spans="1:13" x14ac:dyDescent="0.3">
      <c r="A250" s="442" t="s">
        <v>957</v>
      </c>
      <c r="B250" s="438" t="s">
        <v>954</v>
      </c>
      <c r="C250" s="213">
        <v>1</v>
      </c>
      <c r="D250" s="125">
        <f t="shared" si="12"/>
        <v>0.14000000000000001</v>
      </c>
      <c r="E250" s="213">
        <v>1</v>
      </c>
      <c r="I250" s="120">
        <v>0.14000000000000001</v>
      </c>
      <c r="K250" s="195"/>
    </row>
    <row r="251" spans="1:13" x14ac:dyDescent="0.3">
      <c r="A251" s="442" t="s">
        <v>958</v>
      </c>
      <c r="B251" s="438" t="s">
        <v>953</v>
      </c>
      <c r="C251" s="213">
        <v>1</v>
      </c>
      <c r="D251" s="125">
        <f t="shared" si="12"/>
        <v>0.36</v>
      </c>
      <c r="E251" s="213">
        <v>1</v>
      </c>
      <c r="H251" s="120">
        <f>I220*I251</f>
        <v>348.47999999999996</v>
      </c>
      <c r="I251" s="120">
        <v>0.36</v>
      </c>
      <c r="K251" s="195">
        <f>H251*C251</f>
        <v>348.47999999999996</v>
      </c>
      <c r="L251" s="195">
        <f>K251*$M$245</f>
        <v>365.904</v>
      </c>
    </row>
    <row r="252" spans="1:13" x14ac:dyDescent="0.3">
      <c r="A252" s="442" t="s">
        <v>959</v>
      </c>
      <c r="B252" s="438" t="s">
        <v>953</v>
      </c>
      <c r="C252" s="213">
        <v>1</v>
      </c>
      <c r="D252" s="125">
        <f t="shared" si="12"/>
        <v>0.36</v>
      </c>
      <c r="E252" s="213">
        <v>1</v>
      </c>
      <c r="H252" s="120">
        <f>I252*I220</f>
        <v>348.47999999999996</v>
      </c>
      <c r="I252" s="120">
        <v>0.36</v>
      </c>
      <c r="K252" s="195">
        <f>H252*C252</f>
        <v>348.47999999999996</v>
      </c>
      <c r="L252" s="195">
        <f>K252*$M$245</f>
        <v>365.904</v>
      </c>
    </row>
    <row r="253" spans="1:13" x14ac:dyDescent="0.3">
      <c r="A253" s="442" t="s">
        <v>960</v>
      </c>
      <c r="B253" s="438" t="s">
        <v>954</v>
      </c>
      <c r="C253" s="213">
        <v>1</v>
      </c>
      <c r="D253" s="125">
        <f t="shared" si="12"/>
        <v>0.3</v>
      </c>
      <c r="E253" s="213">
        <v>1</v>
      </c>
      <c r="H253" s="120">
        <f>I253*I218</f>
        <v>36</v>
      </c>
      <c r="I253" s="120">
        <v>0.3</v>
      </c>
      <c r="K253" s="195">
        <f>C253*H253</f>
        <v>36</v>
      </c>
      <c r="L253" s="195">
        <f>K253*$M$245</f>
        <v>37.800000000000004</v>
      </c>
    </row>
    <row r="254" spans="1:13" ht="15" thickBot="1" x14ac:dyDescent="0.35">
      <c r="A254" s="442"/>
      <c r="B254" s="438"/>
    </row>
    <row r="255" spans="1:13" x14ac:dyDescent="0.3">
      <c r="H255" s="226"/>
    </row>
    <row r="257" spans="12:12" x14ac:dyDescent="0.3">
      <c r="L257" s="225"/>
    </row>
  </sheetData>
  <mergeCells count="34">
    <mergeCell ref="G152:G156"/>
    <mergeCell ref="G157:G161"/>
    <mergeCell ref="G162:G166"/>
    <mergeCell ref="G127:G131"/>
    <mergeCell ref="G132:G136"/>
    <mergeCell ref="G137:G141"/>
    <mergeCell ref="G142:G146"/>
    <mergeCell ref="G147:G151"/>
    <mergeCell ref="G100:G104"/>
    <mergeCell ref="G107:G111"/>
    <mergeCell ref="G112:G116"/>
    <mergeCell ref="G117:G121"/>
    <mergeCell ref="G122:G126"/>
    <mergeCell ref="G75:G79"/>
    <mergeCell ref="G80:G84"/>
    <mergeCell ref="G85:G89"/>
    <mergeCell ref="G90:G94"/>
    <mergeCell ref="G95:G99"/>
    <mergeCell ref="G184:G188"/>
    <mergeCell ref="G192:G196"/>
    <mergeCell ref="G5:G9"/>
    <mergeCell ref="G10:G14"/>
    <mergeCell ref="G15:G19"/>
    <mergeCell ref="G20:G24"/>
    <mergeCell ref="G25:G29"/>
    <mergeCell ref="G30:G34"/>
    <mergeCell ref="G35:G39"/>
    <mergeCell ref="G40:G44"/>
    <mergeCell ref="G45:G49"/>
    <mergeCell ref="G50:G54"/>
    <mergeCell ref="G55:G59"/>
    <mergeCell ref="G60:G64"/>
    <mergeCell ref="G65:G69"/>
    <mergeCell ref="G70:G74"/>
  </mergeCells>
  <phoneticPr fontId="9"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C5CC3-3F9F-4953-B912-65299E847300}">
  <sheetPr>
    <tabColor rgb="FF92D050"/>
  </sheetPr>
  <dimension ref="A2:F71"/>
  <sheetViews>
    <sheetView topLeftCell="A19" zoomScaleNormal="100" workbookViewId="0">
      <selection activeCell="E63" sqref="E63"/>
    </sheetView>
  </sheetViews>
  <sheetFormatPr defaultColWidth="8.88671875" defaultRowHeight="14.4" x14ac:dyDescent="0.3"/>
  <cols>
    <col min="1" max="1" width="29.5546875" style="174" customWidth="1"/>
    <col min="2" max="2" width="13.33203125" style="174" customWidth="1"/>
    <col min="3" max="3" width="5.6640625" style="174" customWidth="1"/>
    <col min="4" max="4" width="26.5546875" style="174" customWidth="1"/>
    <col min="5" max="5" width="1.5546875" style="174" customWidth="1"/>
    <col min="6" max="16384" width="8.88671875" style="174"/>
  </cols>
  <sheetData>
    <row r="2" spans="1:6" ht="15" x14ac:dyDescent="0.3">
      <c r="A2" s="175"/>
      <c r="B2" s="562" t="s">
        <v>1104</v>
      </c>
      <c r="C2" s="563"/>
      <c r="D2" s="564"/>
      <c r="E2" s="176"/>
      <c r="F2" s="560" t="s">
        <v>1075</v>
      </c>
    </row>
    <row r="3" spans="1:6" x14ac:dyDescent="0.3">
      <c r="A3" s="177" t="s">
        <v>1105</v>
      </c>
      <c r="B3" s="178" t="s">
        <v>102</v>
      </c>
      <c r="C3" s="188" t="s">
        <v>914</v>
      </c>
      <c r="D3" s="178" t="s">
        <v>1106</v>
      </c>
      <c r="E3" s="188"/>
      <c r="F3" s="561"/>
    </row>
    <row r="4" spans="1:6" customFormat="1" ht="13.2" x14ac:dyDescent="0.25">
      <c r="A4" s="179" t="s">
        <v>179</v>
      </c>
      <c r="B4" s="292" t="s">
        <v>93</v>
      </c>
      <c r="C4" s="298"/>
      <c r="D4" s="294">
        <f>'[4]Hire Items_Dry'!$M$16</f>
        <v>225.43333333333334</v>
      </c>
      <c r="E4" s="293"/>
      <c r="F4" s="561"/>
    </row>
    <row r="5" spans="1:6" customFormat="1" ht="13.2" x14ac:dyDescent="0.25">
      <c r="A5" s="179" t="s">
        <v>180</v>
      </c>
      <c r="B5" s="292" t="s">
        <v>93</v>
      </c>
      <c r="C5" s="299"/>
      <c r="D5" s="294">
        <f>'[4]Hire Items_Dry'!$M$17</f>
        <v>163.96666666666667</v>
      </c>
      <c r="E5" s="293"/>
      <c r="F5" s="561"/>
    </row>
    <row r="6" spans="1:6" customFormat="1" ht="13.2" x14ac:dyDescent="0.25">
      <c r="A6" s="179" t="s">
        <v>181</v>
      </c>
      <c r="B6" s="292" t="s">
        <v>93</v>
      </c>
      <c r="C6" s="299"/>
      <c r="D6" s="295">
        <f>'[4]Hire Items_Dry'!$J$18</f>
        <v>180</v>
      </c>
      <c r="E6" s="293"/>
      <c r="F6" s="561"/>
    </row>
    <row r="7" spans="1:6" customFormat="1" ht="7.2" customHeight="1" x14ac:dyDescent="0.25">
      <c r="A7" s="179"/>
      <c r="B7" s="292"/>
      <c r="C7" s="299"/>
      <c r="D7" s="295"/>
      <c r="E7" s="293"/>
      <c r="F7" s="560" t="s">
        <v>1075</v>
      </c>
    </row>
    <row r="8" spans="1:6" customFormat="1" ht="13.2" x14ac:dyDescent="0.25">
      <c r="A8" s="179" t="s">
        <v>182</v>
      </c>
      <c r="B8" s="292" t="s">
        <v>93</v>
      </c>
      <c r="C8" s="299"/>
      <c r="D8" s="295">
        <f>'[4]Hire Items_Dry'!$P$20</f>
        <v>137.14285714285714</v>
      </c>
      <c r="E8" s="293"/>
      <c r="F8" s="561"/>
    </row>
    <row r="9" spans="1:6" customFormat="1" ht="13.2" x14ac:dyDescent="0.25">
      <c r="A9" s="179" t="s">
        <v>183</v>
      </c>
      <c r="B9" s="292" t="s">
        <v>93</v>
      </c>
      <c r="C9" s="299"/>
      <c r="D9" s="295"/>
      <c r="E9" s="293"/>
      <c r="F9" s="561"/>
    </row>
    <row r="10" spans="1:6" customFormat="1" ht="13.2" x14ac:dyDescent="0.25">
      <c r="A10" s="179" t="s">
        <v>184</v>
      </c>
      <c r="B10" s="292" t="s">
        <v>93</v>
      </c>
      <c r="C10" s="299"/>
      <c r="D10" s="295">
        <f>'[4]Hire Items_Dry'!$M$22</f>
        <v>238.66666666666666</v>
      </c>
      <c r="E10" s="293"/>
      <c r="F10" s="561"/>
    </row>
    <row r="11" spans="1:6" customFormat="1" ht="13.2" x14ac:dyDescent="0.25">
      <c r="A11" s="179" t="s">
        <v>185</v>
      </c>
      <c r="B11" s="292" t="s">
        <v>93</v>
      </c>
      <c r="C11" s="299"/>
      <c r="D11" s="295">
        <f>'[4]Hire Items_Dry'!$M$23</f>
        <v>261.16666666666669</v>
      </c>
      <c r="E11" s="293"/>
      <c r="F11" s="561"/>
    </row>
    <row r="12" spans="1:6" customFormat="1" ht="13.2" x14ac:dyDescent="0.25">
      <c r="A12" s="179" t="s">
        <v>186</v>
      </c>
      <c r="B12" s="292" t="s">
        <v>93</v>
      </c>
      <c r="C12" s="299"/>
      <c r="D12" s="295"/>
      <c r="E12" s="293"/>
      <c r="F12" s="560" t="s">
        <v>1075</v>
      </c>
    </row>
    <row r="13" spans="1:6" customFormat="1" ht="13.2" x14ac:dyDescent="0.25">
      <c r="A13" s="179" t="s">
        <v>187</v>
      </c>
      <c r="B13" s="292" t="s">
        <v>93</v>
      </c>
      <c r="C13" s="299"/>
      <c r="D13" s="295">
        <f>'[4]Hire Items_Dry'!$M$25</f>
        <v>317.2</v>
      </c>
      <c r="E13" s="293"/>
      <c r="F13" s="561"/>
    </row>
    <row r="14" spans="1:6" customFormat="1" ht="13.2" x14ac:dyDescent="0.25">
      <c r="A14" s="179" t="s">
        <v>188</v>
      </c>
      <c r="B14" s="292" t="s">
        <v>93</v>
      </c>
      <c r="C14" s="299"/>
      <c r="D14" s="295">
        <f>'[4]Hire Items_Dry'!$P$26</f>
        <v>314.28571428571428</v>
      </c>
      <c r="E14" s="293"/>
      <c r="F14" s="561"/>
    </row>
    <row r="15" spans="1:6" customFormat="1" ht="6" customHeight="1" x14ac:dyDescent="0.25">
      <c r="A15" s="179"/>
      <c r="B15" s="292"/>
      <c r="C15" s="299"/>
      <c r="D15" s="295"/>
      <c r="E15" s="293"/>
      <c r="F15" s="561"/>
    </row>
    <row r="16" spans="1:6" customFormat="1" ht="13.2" x14ac:dyDescent="0.25">
      <c r="A16" s="179" t="s">
        <v>189</v>
      </c>
      <c r="B16" s="292" t="s">
        <v>93</v>
      </c>
      <c r="C16" s="299"/>
      <c r="D16" s="295"/>
      <c r="E16" s="293"/>
      <c r="F16" s="561"/>
    </row>
    <row r="17" spans="1:6" customFormat="1" ht="13.2" x14ac:dyDescent="0.25">
      <c r="A17" s="179" t="s">
        <v>190</v>
      </c>
      <c r="B17" s="292" t="s">
        <v>93</v>
      </c>
      <c r="C17" s="299"/>
      <c r="D17" s="295">
        <f>'[4]Hire Items_Dry'!$G$29</f>
        <v>32.74</v>
      </c>
      <c r="E17" s="293"/>
      <c r="F17" s="560" t="s">
        <v>1075</v>
      </c>
    </row>
    <row r="18" spans="1:6" customFormat="1" ht="13.2" x14ac:dyDescent="0.25">
      <c r="A18" s="179" t="s">
        <v>191</v>
      </c>
      <c r="B18" s="292" t="s">
        <v>93</v>
      </c>
      <c r="C18" s="299"/>
      <c r="D18" s="295"/>
      <c r="E18" s="293"/>
      <c r="F18" s="561"/>
    </row>
    <row r="19" spans="1:6" customFormat="1" ht="13.2" x14ac:dyDescent="0.25">
      <c r="A19" s="179" t="s">
        <v>192</v>
      </c>
      <c r="B19" s="292" t="s">
        <v>93</v>
      </c>
      <c r="C19" s="299"/>
      <c r="D19" s="295">
        <f>'[4]Hire Items_Dry'!G31</f>
        <v>40.380000000000003</v>
      </c>
      <c r="E19" s="293"/>
      <c r="F19" s="561"/>
    </row>
    <row r="20" spans="1:6" customFormat="1" ht="13.2" x14ac:dyDescent="0.25">
      <c r="A20" s="179" t="s">
        <v>193</v>
      </c>
      <c r="B20" s="292" t="s">
        <v>93</v>
      </c>
      <c r="C20" s="299"/>
      <c r="D20" s="295">
        <f>'[4]Hire Items_Dry'!G32</f>
        <v>123.33</v>
      </c>
      <c r="E20" s="293"/>
      <c r="F20" s="561"/>
    </row>
    <row r="21" spans="1:6" customFormat="1" ht="13.2" x14ac:dyDescent="0.25">
      <c r="A21" s="179" t="s">
        <v>194</v>
      </c>
      <c r="B21" s="292" t="s">
        <v>93</v>
      </c>
      <c r="C21" s="299"/>
      <c r="D21" s="295">
        <f>'[4]Hire Items_Dry'!G33</f>
        <v>165.89</v>
      </c>
      <c r="E21" s="293"/>
      <c r="F21" s="561"/>
    </row>
    <row r="22" spans="1:6" customFormat="1" ht="13.2" x14ac:dyDescent="0.25">
      <c r="A22" s="179" t="s">
        <v>195</v>
      </c>
      <c r="B22" s="292" t="s">
        <v>93</v>
      </c>
      <c r="C22" s="299"/>
      <c r="D22" s="295">
        <f>'[4]Hire Items_Dry'!G34</f>
        <v>165.89</v>
      </c>
      <c r="E22" s="293"/>
      <c r="F22" s="560" t="s">
        <v>1075</v>
      </c>
    </row>
    <row r="23" spans="1:6" customFormat="1" ht="13.2" x14ac:dyDescent="0.25">
      <c r="A23" s="179" t="s">
        <v>196</v>
      </c>
      <c r="B23" s="292" t="s">
        <v>93</v>
      </c>
      <c r="C23" s="299"/>
      <c r="D23" s="295"/>
      <c r="E23" s="293"/>
      <c r="F23" s="561"/>
    </row>
    <row r="24" spans="1:6" customFormat="1" ht="13.2" x14ac:dyDescent="0.25">
      <c r="A24" s="179" t="s">
        <v>197</v>
      </c>
      <c r="B24" s="292" t="s">
        <v>93</v>
      </c>
      <c r="C24" s="299"/>
      <c r="D24" s="295">
        <f>'[4]Hire Items_Dry'!G36</f>
        <v>203</v>
      </c>
      <c r="E24" s="293"/>
      <c r="F24" s="561"/>
    </row>
    <row r="25" spans="1:6" customFormat="1" ht="13.2" x14ac:dyDescent="0.25">
      <c r="A25" s="179" t="s">
        <v>198</v>
      </c>
      <c r="B25" s="292"/>
      <c r="C25" s="299"/>
      <c r="D25" s="295"/>
      <c r="E25" s="293"/>
      <c r="F25" s="561"/>
    </row>
    <row r="26" spans="1:6" customFormat="1" ht="13.2" x14ac:dyDescent="0.25">
      <c r="A26" s="179" t="s">
        <v>199</v>
      </c>
      <c r="B26" s="292"/>
      <c r="C26" s="299"/>
      <c r="D26" s="294"/>
      <c r="E26" s="293"/>
      <c r="F26" s="561"/>
    </row>
    <row r="27" spans="1:6" customFormat="1" ht="5.4" customHeight="1" x14ac:dyDescent="0.25">
      <c r="A27" s="179"/>
      <c r="B27" s="292"/>
      <c r="C27" s="299"/>
      <c r="D27" s="294"/>
      <c r="E27" s="293"/>
      <c r="F27" s="560" t="s">
        <v>1075</v>
      </c>
    </row>
    <row r="28" spans="1:6" customFormat="1" ht="12.75" customHeight="1" x14ac:dyDescent="0.25">
      <c r="A28" s="179" t="s">
        <v>200</v>
      </c>
      <c r="B28" s="292" t="s">
        <v>93</v>
      </c>
      <c r="C28" s="299"/>
      <c r="D28" s="294">
        <f>'[4]Hire Items_Dry'!$J$40</f>
        <v>205</v>
      </c>
      <c r="E28" s="293"/>
      <c r="F28" s="561"/>
    </row>
    <row r="29" spans="1:6" customFormat="1" ht="13.2" x14ac:dyDescent="0.25">
      <c r="A29" s="179" t="s">
        <v>201</v>
      </c>
      <c r="B29" s="292" t="s">
        <v>93</v>
      </c>
      <c r="C29" s="299"/>
      <c r="D29" s="294">
        <f>'[4]Hire Items_Dry'!$G$41</f>
        <v>166.98</v>
      </c>
      <c r="E29" s="293"/>
      <c r="F29" s="561"/>
    </row>
    <row r="30" spans="1:6" customFormat="1" ht="13.2" x14ac:dyDescent="0.25">
      <c r="A30" s="179" t="s">
        <v>202</v>
      </c>
      <c r="B30" s="292" t="s">
        <v>93</v>
      </c>
      <c r="C30" s="299"/>
      <c r="D30" s="294">
        <f>'[4]Hire Items_Dry'!$P$42</f>
        <v>171.42857142857142</v>
      </c>
      <c r="E30" s="293"/>
      <c r="F30" s="561"/>
    </row>
    <row r="31" spans="1:6" customFormat="1" ht="8.4" customHeight="1" x14ac:dyDescent="0.25">
      <c r="A31" s="179"/>
      <c r="B31" s="292"/>
      <c r="C31" s="299"/>
      <c r="D31" s="294"/>
      <c r="E31" s="293"/>
      <c r="F31" s="561"/>
    </row>
    <row r="32" spans="1:6" customFormat="1" ht="13.2" x14ac:dyDescent="0.25">
      <c r="A32" s="179" t="s">
        <v>203</v>
      </c>
      <c r="B32" s="292" t="s">
        <v>93</v>
      </c>
      <c r="C32" s="299"/>
      <c r="D32" s="294"/>
      <c r="E32" s="293"/>
      <c r="F32" s="560" t="s">
        <v>1075</v>
      </c>
    </row>
    <row r="33" spans="1:6" customFormat="1" ht="13.2" x14ac:dyDescent="0.25">
      <c r="A33" s="179" t="s">
        <v>204</v>
      </c>
      <c r="B33" s="292" t="s">
        <v>93</v>
      </c>
      <c r="C33" s="299"/>
      <c r="D33" s="294">
        <f>'[4]Hire Items_Dry'!$P$45</f>
        <v>34.285714285714285</v>
      </c>
      <c r="E33" s="293"/>
      <c r="F33" s="561"/>
    </row>
    <row r="34" spans="1:6" customFormat="1" ht="13.2" x14ac:dyDescent="0.25">
      <c r="A34" s="179" t="s">
        <v>205</v>
      </c>
      <c r="B34" s="292" t="s">
        <v>93</v>
      </c>
      <c r="C34" s="299"/>
      <c r="D34" s="294">
        <f>'[4]Hire Items_Dry'!$J$46</f>
        <v>165</v>
      </c>
      <c r="E34" s="293"/>
      <c r="F34" s="561"/>
    </row>
    <row r="35" spans="1:6" customFormat="1" ht="13.2" hidden="1" x14ac:dyDescent="0.25">
      <c r="A35" s="179" t="s">
        <v>206</v>
      </c>
      <c r="B35" s="292" t="s">
        <v>93</v>
      </c>
      <c r="C35" s="299"/>
      <c r="D35" s="294"/>
      <c r="E35" s="293"/>
      <c r="F35" s="561"/>
    </row>
    <row r="36" spans="1:6" customFormat="1" ht="13.2" hidden="1" x14ac:dyDescent="0.25">
      <c r="A36" s="179" t="s">
        <v>207</v>
      </c>
      <c r="B36" s="292" t="s">
        <v>93</v>
      </c>
      <c r="C36" s="299"/>
      <c r="D36" s="294"/>
      <c r="E36" s="293"/>
      <c r="F36" s="561"/>
    </row>
    <row r="37" spans="1:6" customFormat="1" ht="13.2" hidden="1" x14ac:dyDescent="0.25">
      <c r="A37" s="179" t="s">
        <v>208</v>
      </c>
      <c r="B37" s="292" t="s">
        <v>93</v>
      </c>
      <c r="C37" s="299"/>
      <c r="D37" s="294"/>
      <c r="E37" s="293"/>
      <c r="F37" s="560" t="s">
        <v>1075</v>
      </c>
    </row>
    <row r="38" spans="1:6" customFormat="1" ht="13.2" hidden="1" x14ac:dyDescent="0.25">
      <c r="A38" s="179" t="s">
        <v>209</v>
      </c>
      <c r="B38" s="292" t="s">
        <v>93</v>
      </c>
      <c r="C38" s="299"/>
      <c r="D38" s="294"/>
      <c r="E38" s="293"/>
      <c r="F38" s="561"/>
    </row>
    <row r="39" spans="1:6" customFormat="1" ht="8.4" customHeight="1" x14ac:dyDescent="0.25">
      <c r="A39" s="179"/>
      <c r="B39" s="292"/>
      <c r="C39" s="299"/>
      <c r="D39" s="294"/>
      <c r="E39" s="293"/>
      <c r="F39" s="561"/>
    </row>
    <row r="40" spans="1:6" customFormat="1" ht="13.2" x14ac:dyDescent="0.25">
      <c r="A40" s="179" t="s">
        <v>210</v>
      </c>
      <c r="B40" s="292" t="s">
        <v>93</v>
      </c>
      <c r="C40" s="299"/>
      <c r="D40" s="294">
        <f>'[4]Hire Items_Dry'!$G$52</f>
        <v>5.46</v>
      </c>
      <c r="E40" s="293"/>
      <c r="F40" s="561"/>
    </row>
    <row r="41" spans="1:6" customFormat="1" ht="13.2" x14ac:dyDescent="0.25">
      <c r="A41" s="179" t="s">
        <v>211</v>
      </c>
      <c r="B41" s="292" t="s">
        <v>93</v>
      </c>
      <c r="C41" s="299"/>
      <c r="D41" s="296">
        <f>'[4]Hire Items_Dry'!$J$53</f>
        <v>23</v>
      </c>
      <c r="E41" s="293"/>
      <c r="F41" s="561"/>
    </row>
    <row r="42" spans="1:6" customFormat="1" ht="13.2" x14ac:dyDescent="0.25">
      <c r="A42" s="179" t="s">
        <v>212</v>
      </c>
      <c r="B42" s="292" t="s">
        <v>93</v>
      </c>
      <c r="C42" s="299"/>
      <c r="D42" s="296">
        <f>'[4]Hire Items_Dry'!$J$54</f>
        <v>23</v>
      </c>
      <c r="E42" s="293"/>
      <c r="F42" s="560" t="s">
        <v>1075</v>
      </c>
    </row>
    <row r="43" spans="1:6" customFormat="1" ht="13.2" x14ac:dyDescent="0.25">
      <c r="A43" s="179" t="s">
        <v>213</v>
      </c>
      <c r="B43" s="292" t="s">
        <v>93</v>
      </c>
      <c r="C43" s="299"/>
      <c r="D43" s="294"/>
      <c r="E43" s="293"/>
      <c r="F43" s="561"/>
    </row>
    <row r="44" spans="1:6" customFormat="1" ht="13.2" x14ac:dyDescent="0.25">
      <c r="A44" s="179" t="s">
        <v>214</v>
      </c>
      <c r="B44" s="292" t="s">
        <v>93</v>
      </c>
      <c r="C44" s="299"/>
      <c r="D44" s="294"/>
      <c r="E44" s="293"/>
      <c r="F44" s="561"/>
    </row>
    <row r="45" spans="1:6" customFormat="1" ht="13.2" x14ac:dyDescent="0.25">
      <c r="A45" s="179" t="s">
        <v>215</v>
      </c>
      <c r="B45" s="292" t="s">
        <v>93</v>
      </c>
      <c r="C45" s="299"/>
      <c r="D45" s="294"/>
      <c r="E45" s="293"/>
      <c r="F45" s="561"/>
    </row>
    <row r="46" spans="1:6" customFormat="1" ht="13.2" x14ac:dyDescent="0.25">
      <c r="A46" s="179" t="s">
        <v>216</v>
      </c>
      <c r="B46" s="292" t="s">
        <v>93</v>
      </c>
      <c r="C46" s="299"/>
      <c r="D46" s="294"/>
      <c r="E46" s="293"/>
      <c r="F46" s="561"/>
    </row>
    <row r="47" spans="1:6" customFormat="1" ht="13.2" x14ac:dyDescent="0.25">
      <c r="A47" s="179" t="s">
        <v>217</v>
      </c>
      <c r="B47" s="292" t="s">
        <v>93</v>
      </c>
      <c r="C47" s="299"/>
      <c r="D47" s="294"/>
      <c r="E47" s="293"/>
      <c r="F47" s="560" t="s">
        <v>1075</v>
      </c>
    </row>
    <row r="48" spans="1:6" customFormat="1" ht="13.2" x14ac:dyDescent="0.25">
      <c r="A48" s="179" t="s">
        <v>218</v>
      </c>
      <c r="B48" s="292" t="s">
        <v>93</v>
      </c>
      <c r="C48" s="299"/>
      <c r="D48" s="294"/>
      <c r="E48" s="293"/>
      <c r="F48" s="561"/>
    </row>
    <row r="49" spans="1:6" customFormat="1" ht="13.2" x14ac:dyDescent="0.25">
      <c r="A49" s="179" t="s">
        <v>219</v>
      </c>
      <c r="B49" s="292" t="s">
        <v>93</v>
      </c>
      <c r="C49" s="299"/>
      <c r="D49" s="294"/>
      <c r="E49" s="293"/>
      <c r="F49" s="561"/>
    </row>
    <row r="50" spans="1:6" customFormat="1" ht="13.2" x14ac:dyDescent="0.25">
      <c r="A50" s="179" t="s">
        <v>220</v>
      </c>
      <c r="B50" s="292" t="s">
        <v>93</v>
      </c>
      <c r="C50" s="299"/>
      <c r="D50" s="294"/>
      <c r="E50" s="293"/>
      <c r="F50" s="561"/>
    </row>
    <row r="51" spans="1:6" customFormat="1" ht="13.2" x14ac:dyDescent="0.25">
      <c r="A51" s="179" t="s">
        <v>221</v>
      </c>
      <c r="B51" s="292" t="s">
        <v>93</v>
      </c>
      <c r="C51" s="299"/>
      <c r="D51" s="294"/>
      <c r="E51" s="293"/>
      <c r="F51" s="561"/>
    </row>
    <row r="52" spans="1:6" customFormat="1" ht="13.2" x14ac:dyDescent="0.25">
      <c r="A52" s="179" t="s">
        <v>222</v>
      </c>
      <c r="B52" s="292" t="s">
        <v>93</v>
      </c>
      <c r="C52" s="299"/>
      <c r="D52" s="294"/>
      <c r="E52" s="293"/>
      <c r="F52" s="560" t="s">
        <v>1075</v>
      </c>
    </row>
    <row r="53" spans="1:6" customFormat="1" ht="6.6" customHeight="1" x14ac:dyDescent="0.25">
      <c r="A53" s="179"/>
      <c r="B53" s="292"/>
      <c r="C53" s="299"/>
      <c r="D53" s="294"/>
      <c r="E53" s="293"/>
      <c r="F53" s="561"/>
    </row>
    <row r="54" spans="1:6" customFormat="1" ht="13.2" x14ac:dyDescent="0.25">
      <c r="A54" s="179" t="s">
        <v>223</v>
      </c>
      <c r="B54" s="292" t="s">
        <v>93</v>
      </c>
      <c r="C54" s="299"/>
      <c r="D54" s="294"/>
      <c r="E54" s="293"/>
      <c r="F54" s="561"/>
    </row>
    <row r="55" spans="1:6" customFormat="1" ht="13.2" x14ac:dyDescent="0.25">
      <c r="A55" s="179" t="s">
        <v>224</v>
      </c>
      <c r="B55" s="292" t="s">
        <v>225</v>
      </c>
      <c r="C55" s="299"/>
      <c r="D55" s="294">
        <f>'[4]Hire Items_Dry'!V67</f>
        <v>230</v>
      </c>
      <c r="E55" s="293"/>
      <c r="F55" s="561"/>
    </row>
    <row r="56" spans="1:6" customFormat="1" ht="13.2" x14ac:dyDescent="0.25">
      <c r="A56" s="179" t="s">
        <v>226</v>
      </c>
      <c r="B56" s="292" t="s">
        <v>227</v>
      </c>
      <c r="C56" s="299"/>
      <c r="D56" s="294">
        <f>'[4]Hire Items_Dry'!V68</f>
        <v>309</v>
      </c>
      <c r="E56" s="293"/>
      <c r="F56" s="561"/>
    </row>
    <row r="57" spans="1:6" customFormat="1" ht="13.2" x14ac:dyDescent="0.25">
      <c r="A57" s="179" t="s">
        <v>228</v>
      </c>
      <c r="B57" s="292" t="s">
        <v>229</v>
      </c>
      <c r="C57" s="299"/>
      <c r="D57" s="294">
        <f>'[4]Hire Items_Dry'!V69</f>
        <v>35</v>
      </c>
      <c r="E57" s="293"/>
      <c r="F57" s="560" t="s">
        <v>1075</v>
      </c>
    </row>
    <row r="58" spans="1:6" customFormat="1" ht="13.2" x14ac:dyDescent="0.25">
      <c r="A58" s="179" t="s">
        <v>230</v>
      </c>
      <c r="B58" s="292" t="s">
        <v>231</v>
      </c>
      <c r="C58" s="299"/>
      <c r="D58" s="294">
        <f>'[4]Hire Items_Dry'!$S$70</f>
        <v>229.9</v>
      </c>
      <c r="E58" s="293"/>
      <c r="F58" s="561"/>
    </row>
    <row r="59" spans="1:6" customFormat="1" ht="13.2" x14ac:dyDescent="0.25">
      <c r="A59" s="179" t="s">
        <v>232</v>
      </c>
      <c r="B59" s="292" t="s">
        <v>231</v>
      </c>
      <c r="C59" s="299"/>
      <c r="D59" s="294">
        <f>'[4]Hire Items_Dry'!$S$71</f>
        <v>239.8</v>
      </c>
      <c r="E59" s="293"/>
      <c r="F59" s="561"/>
    </row>
    <row r="60" spans="1:6" customFormat="1" ht="13.2" x14ac:dyDescent="0.25">
      <c r="A60" s="179" t="s">
        <v>233</v>
      </c>
      <c r="B60" s="292" t="s">
        <v>227</v>
      </c>
      <c r="C60" s="299"/>
      <c r="D60" s="294">
        <f>'[4]Hire Items_Dry'!$V$72</f>
        <v>309</v>
      </c>
      <c r="E60" s="293"/>
      <c r="F60" s="561"/>
    </row>
    <row r="61" spans="1:6" customFormat="1" ht="13.2" x14ac:dyDescent="0.25">
      <c r="A61" s="179" t="s">
        <v>234</v>
      </c>
      <c r="B61" s="292" t="s">
        <v>229</v>
      </c>
      <c r="C61" s="299"/>
      <c r="D61" s="294">
        <f>'[4]Hire Items_Dry'!$V$73</f>
        <v>35</v>
      </c>
      <c r="E61" s="293"/>
      <c r="F61" s="561"/>
    </row>
    <row r="62" spans="1:6" customFormat="1" ht="13.2" x14ac:dyDescent="0.25">
      <c r="A62" s="179" t="s">
        <v>235</v>
      </c>
      <c r="B62" s="292" t="s">
        <v>93</v>
      </c>
      <c r="C62" s="299"/>
      <c r="D62" s="294">
        <f>'[4]Hire Items_Dry'!$G$74</f>
        <v>295.77</v>
      </c>
      <c r="E62" s="293"/>
      <c r="F62" s="560" t="s">
        <v>1075</v>
      </c>
    </row>
    <row r="63" spans="1:6" customFormat="1" ht="13.2" x14ac:dyDescent="0.25">
      <c r="A63" s="179" t="s">
        <v>236</v>
      </c>
      <c r="B63" s="292" t="s">
        <v>93</v>
      </c>
      <c r="C63" s="299"/>
      <c r="D63" s="294">
        <f>'[4]Hire Items_Dry'!$S$75</f>
        <v>355</v>
      </c>
      <c r="E63" s="293"/>
      <c r="F63" s="561"/>
    </row>
    <row r="64" spans="1:6" customFormat="1" ht="9.6" customHeight="1" x14ac:dyDescent="0.25">
      <c r="A64" s="179"/>
      <c r="B64" s="292"/>
      <c r="C64" s="299"/>
      <c r="D64" s="294"/>
      <c r="E64" s="293"/>
      <c r="F64" s="561"/>
    </row>
    <row r="65" spans="1:6" customFormat="1" ht="13.2" x14ac:dyDescent="0.25">
      <c r="A65" s="179" t="s">
        <v>237</v>
      </c>
      <c r="B65" s="292" t="s">
        <v>93</v>
      </c>
      <c r="C65" s="299"/>
      <c r="D65" s="294"/>
      <c r="E65" s="293"/>
      <c r="F65" s="561"/>
    </row>
    <row r="66" spans="1:6" customFormat="1" ht="13.2" x14ac:dyDescent="0.25">
      <c r="A66" s="179" t="s">
        <v>238</v>
      </c>
      <c r="B66" s="292" t="s">
        <v>239</v>
      </c>
      <c r="C66" s="299"/>
      <c r="D66" s="294">
        <f>'[4]Hire Items_Dry'!$G$78</f>
        <v>180</v>
      </c>
      <c r="E66" s="293"/>
      <c r="F66" s="561"/>
    </row>
    <row r="67" spans="1:6" customFormat="1" ht="13.2" x14ac:dyDescent="0.25">
      <c r="A67" s="278" t="s">
        <v>240</v>
      </c>
      <c r="B67" s="292" t="s">
        <v>239</v>
      </c>
      <c r="C67" s="299"/>
      <c r="D67" s="294">
        <f>'[4]Hire Items_Dry'!P79</f>
        <v>125</v>
      </c>
      <c r="E67" s="293"/>
      <c r="F67" s="560" t="s">
        <v>1075</v>
      </c>
    </row>
    <row r="68" spans="1:6" customFormat="1" ht="13.2" x14ac:dyDescent="0.25">
      <c r="A68" s="278" t="s">
        <v>241</v>
      </c>
      <c r="B68" s="292" t="s">
        <v>239</v>
      </c>
      <c r="C68" s="299"/>
      <c r="D68" s="294">
        <f>'[4]Hire Items_Dry'!P80</f>
        <v>160</v>
      </c>
      <c r="E68" s="293"/>
      <c r="F68" s="561"/>
    </row>
    <row r="69" spans="1:6" customFormat="1" ht="13.2" x14ac:dyDescent="0.25">
      <c r="A69" s="278" t="s">
        <v>242</v>
      </c>
      <c r="B69" s="292" t="s">
        <v>239</v>
      </c>
      <c r="C69" s="299"/>
      <c r="D69" s="294">
        <f>'[4]Hire Items_Dry'!P81</f>
        <v>200</v>
      </c>
      <c r="E69" s="293"/>
      <c r="F69" s="561"/>
    </row>
    <row r="70" spans="1:6" x14ac:dyDescent="0.3">
      <c r="D70" s="444"/>
      <c r="F70" s="561"/>
    </row>
    <row r="71" spans="1:6" x14ac:dyDescent="0.3">
      <c r="F71" s="561"/>
    </row>
  </sheetData>
  <mergeCells count="15">
    <mergeCell ref="F47:F51"/>
    <mergeCell ref="F52:F56"/>
    <mergeCell ref="F57:F61"/>
    <mergeCell ref="F62:F66"/>
    <mergeCell ref="F67:F71"/>
    <mergeCell ref="F22:F26"/>
    <mergeCell ref="F27:F31"/>
    <mergeCell ref="F32:F36"/>
    <mergeCell ref="F37:F41"/>
    <mergeCell ref="F42:F46"/>
    <mergeCell ref="F2:F6"/>
    <mergeCell ref="F7:F11"/>
    <mergeCell ref="F12:F16"/>
    <mergeCell ref="F17:F21"/>
    <mergeCell ref="B2:D2"/>
  </mergeCells>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92A6-E915-4867-ABAE-8D0A002DF42C}">
  <sheetPr>
    <tabColor rgb="FF92D050"/>
  </sheetPr>
  <dimension ref="A1:G121"/>
  <sheetViews>
    <sheetView topLeftCell="A58" zoomScale="85" zoomScaleNormal="85" workbookViewId="0">
      <selection activeCell="D49" sqref="D49"/>
    </sheetView>
  </sheetViews>
  <sheetFormatPr defaultColWidth="9.109375" defaultRowHeight="10.199999999999999" x14ac:dyDescent="0.2"/>
  <cols>
    <col min="1" max="1" width="59.33203125" style="38" customWidth="1"/>
    <col min="2" max="2" width="11.44140625" style="40" customWidth="1"/>
    <col min="3" max="3" width="3.6640625" style="40" bestFit="1" customWidth="1"/>
    <col min="4" max="4" width="13.109375" style="41" customWidth="1"/>
    <col min="5" max="5" width="14.109375" style="41" customWidth="1"/>
    <col min="6" max="6" width="3.33203125" style="38" customWidth="1"/>
    <col min="7" max="7" width="11.6640625" style="38" customWidth="1"/>
    <col min="8" max="255" width="9.109375" style="38"/>
    <col min="256" max="256" width="8.109375" style="38" customWidth="1"/>
    <col min="257" max="257" width="70.44140625" style="38" bestFit="1" customWidth="1"/>
    <col min="258" max="258" width="11.44140625" style="38" customWidth="1"/>
    <col min="259" max="259" width="10.44140625" style="38" customWidth="1"/>
    <col min="260" max="260" width="13.109375" style="38" customWidth="1"/>
    <col min="261" max="261" width="14.109375" style="38" customWidth="1"/>
    <col min="262" max="262" width="12.33203125" style="38" customWidth="1"/>
    <col min="263" max="511" width="9.109375" style="38"/>
    <col min="512" max="512" width="8.109375" style="38" customWidth="1"/>
    <col min="513" max="513" width="70.44140625" style="38" bestFit="1" customWidth="1"/>
    <col min="514" max="514" width="11.44140625" style="38" customWidth="1"/>
    <col min="515" max="515" width="10.44140625" style="38" customWidth="1"/>
    <col min="516" max="516" width="13.109375" style="38" customWidth="1"/>
    <col min="517" max="517" width="14.109375" style="38" customWidth="1"/>
    <col min="518" max="518" width="12.33203125" style="38" customWidth="1"/>
    <col min="519" max="767" width="9.109375" style="38"/>
    <col min="768" max="768" width="8.109375" style="38" customWidth="1"/>
    <col min="769" max="769" width="70.44140625" style="38" bestFit="1" customWidth="1"/>
    <col min="770" max="770" width="11.44140625" style="38" customWidth="1"/>
    <col min="771" max="771" width="10.44140625" style="38" customWidth="1"/>
    <col min="772" max="772" width="13.109375" style="38" customWidth="1"/>
    <col min="773" max="773" width="14.109375" style="38" customWidth="1"/>
    <col min="774" max="774" width="12.33203125" style="38" customWidth="1"/>
    <col min="775" max="1023" width="9.109375" style="38"/>
    <col min="1024" max="1024" width="8.109375" style="38" customWidth="1"/>
    <col min="1025" max="1025" width="70.44140625" style="38" bestFit="1" customWidth="1"/>
    <col min="1026" max="1026" width="11.44140625" style="38" customWidth="1"/>
    <col min="1027" max="1027" width="10.44140625" style="38" customWidth="1"/>
    <col min="1028" max="1028" width="13.109375" style="38" customWidth="1"/>
    <col min="1029" max="1029" width="14.109375" style="38" customWidth="1"/>
    <col min="1030" max="1030" width="12.33203125" style="38" customWidth="1"/>
    <col min="1031" max="1279" width="9.109375" style="38"/>
    <col min="1280" max="1280" width="8.109375" style="38" customWidth="1"/>
    <col min="1281" max="1281" width="70.44140625" style="38" bestFit="1" customWidth="1"/>
    <col min="1282" max="1282" width="11.44140625" style="38" customWidth="1"/>
    <col min="1283" max="1283" width="10.44140625" style="38" customWidth="1"/>
    <col min="1284" max="1284" width="13.109375" style="38" customWidth="1"/>
    <col min="1285" max="1285" width="14.109375" style="38" customWidth="1"/>
    <col min="1286" max="1286" width="12.33203125" style="38" customWidth="1"/>
    <col min="1287" max="1535" width="9.109375" style="38"/>
    <col min="1536" max="1536" width="8.109375" style="38" customWidth="1"/>
    <col min="1537" max="1537" width="70.44140625" style="38" bestFit="1" customWidth="1"/>
    <col min="1538" max="1538" width="11.44140625" style="38" customWidth="1"/>
    <col min="1539" max="1539" width="10.44140625" style="38" customWidth="1"/>
    <col min="1540" max="1540" width="13.109375" style="38" customWidth="1"/>
    <col min="1541" max="1541" width="14.109375" style="38" customWidth="1"/>
    <col min="1542" max="1542" width="12.33203125" style="38" customWidth="1"/>
    <col min="1543" max="1791" width="9.109375" style="38"/>
    <col min="1792" max="1792" width="8.109375" style="38" customWidth="1"/>
    <col min="1793" max="1793" width="70.44140625" style="38" bestFit="1" customWidth="1"/>
    <col min="1794" max="1794" width="11.44140625" style="38" customWidth="1"/>
    <col min="1795" max="1795" width="10.44140625" style="38" customWidth="1"/>
    <col min="1796" max="1796" width="13.109375" style="38" customWidth="1"/>
    <col min="1797" max="1797" width="14.109375" style="38" customWidth="1"/>
    <col min="1798" max="1798" width="12.33203125" style="38" customWidth="1"/>
    <col min="1799" max="2047" width="9.109375" style="38"/>
    <col min="2048" max="2048" width="8.109375" style="38" customWidth="1"/>
    <col min="2049" max="2049" width="70.44140625" style="38" bestFit="1" customWidth="1"/>
    <col min="2050" max="2050" width="11.44140625" style="38" customWidth="1"/>
    <col min="2051" max="2051" width="10.44140625" style="38" customWidth="1"/>
    <col min="2052" max="2052" width="13.109375" style="38" customWidth="1"/>
    <col min="2053" max="2053" width="14.109375" style="38" customWidth="1"/>
    <col min="2054" max="2054" width="12.33203125" style="38" customWidth="1"/>
    <col min="2055" max="2303" width="9.109375" style="38"/>
    <col min="2304" max="2304" width="8.109375" style="38" customWidth="1"/>
    <col min="2305" max="2305" width="70.44140625" style="38" bestFit="1" customWidth="1"/>
    <col min="2306" max="2306" width="11.44140625" style="38" customWidth="1"/>
    <col min="2307" max="2307" width="10.44140625" style="38" customWidth="1"/>
    <col min="2308" max="2308" width="13.109375" style="38" customWidth="1"/>
    <col min="2309" max="2309" width="14.109375" style="38" customWidth="1"/>
    <col min="2310" max="2310" width="12.33203125" style="38" customWidth="1"/>
    <col min="2311" max="2559" width="9.109375" style="38"/>
    <col min="2560" max="2560" width="8.109375" style="38" customWidth="1"/>
    <col min="2561" max="2561" width="70.44140625" style="38" bestFit="1" customWidth="1"/>
    <col min="2562" max="2562" width="11.44140625" style="38" customWidth="1"/>
    <col min="2563" max="2563" width="10.44140625" style="38" customWidth="1"/>
    <col min="2564" max="2564" width="13.109375" style="38" customWidth="1"/>
    <col min="2565" max="2565" width="14.109375" style="38" customWidth="1"/>
    <col min="2566" max="2566" width="12.33203125" style="38" customWidth="1"/>
    <col min="2567" max="2815" width="9.109375" style="38"/>
    <col min="2816" max="2816" width="8.109375" style="38" customWidth="1"/>
    <col min="2817" max="2817" width="70.44140625" style="38" bestFit="1" customWidth="1"/>
    <col min="2818" max="2818" width="11.44140625" style="38" customWidth="1"/>
    <col min="2819" max="2819" width="10.44140625" style="38" customWidth="1"/>
    <col min="2820" max="2820" width="13.109375" style="38" customWidth="1"/>
    <col min="2821" max="2821" width="14.109375" style="38" customWidth="1"/>
    <col min="2822" max="2822" width="12.33203125" style="38" customWidth="1"/>
    <col min="2823" max="3071" width="9.109375" style="38"/>
    <col min="3072" max="3072" width="8.109375" style="38" customWidth="1"/>
    <col min="3073" max="3073" width="70.44140625" style="38" bestFit="1" customWidth="1"/>
    <col min="3074" max="3074" width="11.44140625" style="38" customWidth="1"/>
    <col min="3075" max="3075" width="10.44140625" style="38" customWidth="1"/>
    <col min="3076" max="3076" width="13.109375" style="38" customWidth="1"/>
    <col min="3077" max="3077" width="14.109375" style="38" customWidth="1"/>
    <col min="3078" max="3078" width="12.33203125" style="38" customWidth="1"/>
    <col min="3079" max="3327" width="9.109375" style="38"/>
    <col min="3328" max="3328" width="8.109375" style="38" customWidth="1"/>
    <col min="3329" max="3329" width="70.44140625" style="38" bestFit="1" customWidth="1"/>
    <col min="3330" max="3330" width="11.44140625" style="38" customWidth="1"/>
    <col min="3331" max="3331" width="10.44140625" style="38" customWidth="1"/>
    <col min="3332" max="3332" width="13.109375" style="38" customWidth="1"/>
    <col min="3333" max="3333" width="14.109375" style="38" customWidth="1"/>
    <col min="3334" max="3334" width="12.33203125" style="38" customWidth="1"/>
    <col min="3335" max="3583" width="9.109375" style="38"/>
    <col min="3584" max="3584" width="8.109375" style="38" customWidth="1"/>
    <col min="3585" max="3585" width="70.44140625" style="38" bestFit="1" customWidth="1"/>
    <col min="3586" max="3586" width="11.44140625" style="38" customWidth="1"/>
    <col min="3587" max="3587" width="10.44140625" style="38" customWidth="1"/>
    <col min="3588" max="3588" width="13.109375" style="38" customWidth="1"/>
    <col min="3589" max="3589" width="14.109375" style="38" customWidth="1"/>
    <col min="3590" max="3590" width="12.33203125" style="38" customWidth="1"/>
    <col min="3591" max="3839" width="9.109375" style="38"/>
    <col min="3840" max="3840" width="8.109375" style="38" customWidth="1"/>
    <col min="3841" max="3841" width="70.44140625" style="38" bestFit="1" customWidth="1"/>
    <col min="3842" max="3842" width="11.44140625" style="38" customWidth="1"/>
    <col min="3843" max="3843" width="10.44140625" style="38" customWidth="1"/>
    <col min="3844" max="3844" width="13.109375" style="38" customWidth="1"/>
    <col min="3845" max="3845" width="14.109375" style="38" customWidth="1"/>
    <col min="3846" max="3846" width="12.33203125" style="38" customWidth="1"/>
    <col min="3847" max="4095" width="9.109375" style="38"/>
    <col min="4096" max="4096" width="8.109375" style="38" customWidth="1"/>
    <col min="4097" max="4097" width="70.44140625" style="38" bestFit="1" customWidth="1"/>
    <col min="4098" max="4098" width="11.44140625" style="38" customWidth="1"/>
    <col min="4099" max="4099" width="10.44140625" style="38" customWidth="1"/>
    <col min="4100" max="4100" width="13.109375" style="38" customWidth="1"/>
    <col min="4101" max="4101" width="14.109375" style="38" customWidth="1"/>
    <col min="4102" max="4102" width="12.33203125" style="38" customWidth="1"/>
    <col min="4103" max="4351" width="9.109375" style="38"/>
    <col min="4352" max="4352" width="8.109375" style="38" customWidth="1"/>
    <col min="4353" max="4353" width="70.44140625" style="38" bestFit="1" customWidth="1"/>
    <col min="4354" max="4354" width="11.44140625" style="38" customWidth="1"/>
    <col min="4355" max="4355" width="10.44140625" style="38" customWidth="1"/>
    <col min="4356" max="4356" width="13.109375" style="38" customWidth="1"/>
    <col min="4357" max="4357" width="14.109375" style="38" customWidth="1"/>
    <col min="4358" max="4358" width="12.33203125" style="38" customWidth="1"/>
    <col min="4359" max="4607" width="9.109375" style="38"/>
    <col min="4608" max="4608" width="8.109375" style="38" customWidth="1"/>
    <col min="4609" max="4609" width="70.44140625" style="38" bestFit="1" customWidth="1"/>
    <col min="4610" max="4610" width="11.44140625" style="38" customWidth="1"/>
    <col min="4611" max="4611" width="10.44140625" style="38" customWidth="1"/>
    <col min="4612" max="4612" width="13.109375" style="38" customWidth="1"/>
    <col min="4613" max="4613" width="14.109375" style="38" customWidth="1"/>
    <col min="4614" max="4614" width="12.33203125" style="38" customWidth="1"/>
    <col min="4615" max="4863" width="9.109375" style="38"/>
    <col min="4864" max="4864" width="8.109375" style="38" customWidth="1"/>
    <col min="4865" max="4865" width="70.44140625" style="38" bestFit="1" customWidth="1"/>
    <col min="4866" max="4866" width="11.44140625" style="38" customWidth="1"/>
    <col min="4867" max="4867" width="10.44140625" style="38" customWidth="1"/>
    <col min="4868" max="4868" width="13.109375" style="38" customWidth="1"/>
    <col min="4869" max="4869" width="14.109375" style="38" customWidth="1"/>
    <col min="4870" max="4870" width="12.33203125" style="38" customWidth="1"/>
    <col min="4871" max="5119" width="9.109375" style="38"/>
    <col min="5120" max="5120" width="8.109375" style="38" customWidth="1"/>
    <col min="5121" max="5121" width="70.44140625" style="38" bestFit="1" customWidth="1"/>
    <col min="5122" max="5122" width="11.44140625" style="38" customWidth="1"/>
    <col min="5123" max="5123" width="10.44140625" style="38" customWidth="1"/>
    <col min="5124" max="5124" width="13.109375" style="38" customWidth="1"/>
    <col min="5125" max="5125" width="14.109375" style="38" customWidth="1"/>
    <col min="5126" max="5126" width="12.33203125" style="38" customWidth="1"/>
    <col min="5127" max="5375" width="9.109375" style="38"/>
    <col min="5376" max="5376" width="8.109375" style="38" customWidth="1"/>
    <col min="5377" max="5377" width="70.44140625" style="38" bestFit="1" customWidth="1"/>
    <col min="5378" max="5378" width="11.44140625" style="38" customWidth="1"/>
    <col min="5379" max="5379" width="10.44140625" style="38" customWidth="1"/>
    <col min="5380" max="5380" width="13.109375" style="38" customWidth="1"/>
    <col min="5381" max="5381" width="14.109375" style="38" customWidth="1"/>
    <col min="5382" max="5382" width="12.33203125" style="38" customWidth="1"/>
    <col min="5383" max="5631" width="9.109375" style="38"/>
    <col min="5632" max="5632" width="8.109375" style="38" customWidth="1"/>
    <col min="5633" max="5633" width="70.44140625" style="38" bestFit="1" customWidth="1"/>
    <col min="5634" max="5634" width="11.44140625" style="38" customWidth="1"/>
    <col min="5635" max="5635" width="10.44140625" style="38" customWidth="1"/>
    <col min="5636" max="5636" width="13.109375" style="38" customWidth="1"/>
    <col min="5637" max="5637" width="14.109375" style="38" customWidth="1"/>
    <col min="5638" max="5638" width="12.33203125" style="38" customWidth="1"/>
    <col min="5639" max="5887" width="9.109375" style="38"/>
    <col min="5888" max="5888" width="8.109375" style="38" customWidth="1"/>
    <col min="5889" max="5889" width="70.44140625" style="38" bestFit="1" customWidth="1"/>
    <col min="5890" max="5890" width="11.44140625" style="38" customWidth="1"/>
    <col min="5891" max="5891" width="10.44140625" style="38" customWidth="1"/>
    <col min="5892" max="5892" width="13.109375" style="38" customWidth="1"/>
    <col min="5893" max="5893" width="14.109375" style="38" customWidth="1"/>
    <col min="5894" max="5894" width="12.33203125" style="38" customWidth="1"/>
    <col min="5895" max="6143" width="9.109375" style="38"/>
    <col min="6144" max="6144" width="8.109375" style="38" customWidth="1"/>
    <col min="6145" max="6145" width="70.44140625" style="38" bestFit="1" customWidth="1"/>
    <col min="6146" max="6146" width="11.44140625" style="38" customWidth="1"/>
    <col min="6147" max="6147" width="10.44140625" style="38" customWidth="1"/>
    <col min="6148" max="6148" width="13.109375" style="38" customWidth="1"/>
    <col min="6149" max="6149" width="14.109375" style="38" customWidth="1"/>
    <col min="6150" max="6150" width="12.33203125" style="38" customWidth="1"/>
    <col min="6151" max="6399" width="9.109375" style="38"/>
    <col min="6400" max="6400" width="8.109375" style="38" customWidth="1"/>
    <col min="6401" max="6401" width="70.44140625" style="38" bestFit="1" customWidth="1"/>
    <col min="6402" max="6402" width="11.44140625" style="38" customWidth="1"/>
    <col min="6403" max="6403" width="10.44140625" style="38" customWidth="1"/>
    <col min="6404" max="6404" width="13.109375" style="38" customWidth="1"/>
    <col min="6405" max="6405" width="14.109375" style="38" customWidth="1"/>
    <col min="6406" max="6406" width="12.33203125" style="38" customWidth="1"/>
    <col min="6407" max="6655" width="9.109375" style="38"/>
    <col min="6656" max="6656" width="8.109375" style="38" customWidth="1"/>
    <col min="6657" max="6657" width="70.44140625" style="38" bestFit="1" customWidth="1"/>
    <col min="6658" max="6658" width="11.44140625" style="38" customWidth="1"/>
    <col min="6659" max="6659" width="10.44140625" style="38" customWidth="1"/>
    <col min="6660" max="6660" width="13.109375" style="38" customWidth="1"/>
    <col min="6661" max="6661" width="14.109375" style="38" customWidth="1"/>
    <col min="6662" max="6662" width="12.33203125" style="38" customWidth="1"/>
    <col min="6663" max="6911" width="9.109375" style="38"/>
    <col min="6912" max="6912" width="8.109375" style="38" customWidth="1"/>
    <col min="6913" max="6913" width="70.44140625" style="38" bestFit="1" customWidth="1"/>
    <col min="6914" max="6914" width="11.44140625" style="38" customWidth="1"/>
    <col min="6915" max="6915" width="10.44140625" style="38" customWidth="1"/>
    <col min="6916" max="6916" width="13.109375" style="38" customWidth="1"/>
    <col min="6917" max="6917" width="14.109375" style="38" customWidth="1"/>
    <col min="6918" max="6918" width="12.33203125" style="38" customWidth="1"/>
    <col min="6919" max="7167" width="9.109375" style="38"/>
    <col min="7168" max="7168" width="8.109375" style="38" customWidth="1"/>
    <col min="7169" max="7169" width="70.44140625" style="38" bestFit="1" customWidth="1"/>
    <col min="7170" max="7170" width="11.44140625" style="38" customWidth="1"/>
    <col min="7171" max="7171" width="10.44140625" style="38" customWidth="1"/>
    <col min="7172" max="7172" width="13.109375" style="38" customWidth="1"/>
    <col min="7173" max="7173" width="14.109375" style="38" customWidth="1"/>
    <col min="7174" max="7174" width="12.33203125" style="38" customWidth="1"/>
    <col min="7175" max="7423" width="9.109375" style="38"/>
    <col min="7424" max="7424" width="8.109375" style="38" customWidth="1"/>
    <col min="7425" max="7425" width="70.44140625" style="38" bestFit="1" customWidth="1"/>
    <col min="7426" max="7426" width="11.44140625" style="38" customWidth="1"/>
    <col min="7427" max="7427" width="10.44140625" style="38" customWidth="1"/>
    <col min="7428" max="7428" width="13.109375" style="38" customWidth="1"/>
    <col min="7429" max="7429" width="14.109375" style="38" customWidth="1"/>
    <col min="7430" max="7430" width="12.33203125" style="38" customWidth="1"/>
    <col min="7431" max="7679" width="9.109375" style="38"/>
    <col min="7680" max="7680" width="8.109375" style="38" customWidth="1"/>
    <col min="7681" max="7681" width="70.44140625" style="38" bestFit="1" customWidth="1"/>
    <col min="7682" max="7682" width="11.44140625" style="38" customWidth="1"/>
    <col min="7683" max="7683" width="10.44140625" style="38" customWidth="1"/>
    <col min="7684" max="7684" width="13.109375" style="38" customWidth="1"/>
    <col min="7685" max="7685" width="14.109375" style="38" customWidth="1"/>
    <col min="7686" max="7686" width="12.33203125" style="38" customWidth="1"/>
    <col min="7687" max="7935" width="9.109375" style="38"/>
    <col min="7936" max="7936" width="8.109375" style="38" customWidth="1"/>
    <col min="7937" max="7937" width="70.44140625" style="38" bestFit="1" customWidth="1"/>
    <col min="7938" max="7938" width="11.44140625" style="38" customWidth="1"/>
    <col min="7939" max="7939" width="10.44140625" style="38" customWidth="1"/>
    <col min="7940" max="7940" width="13.109375" style="38" customWidth="1"/>
    <col min="7941" max="7941" width="14.109375" style="38" customWidth="1"/>
    <col min="7942" max="7942" width="12.33203125" style="38" customWidth="1"/>
    <col min="7943" max="8191" width="9.109375" style="38"/>
    <col min="8192" max="8192" width="8.109375" style="38" customWidth="1"/>
    <col min="8193" max="8193" width="70.44140625" style="38" bestFit="1" customWidth="1"/>
    <col min="8194" max="8194" width="11.44140625" style="38" customWidth="1"/>
    <col min="8195" max="8195" width="10.44140625" style="38" customWidth="1"/>
    <col min="8196" max="8196" width="13.109375" style="38" customWidth="1"/>
    <col min="8197" max="8197" width="14.109375" style="38" customWidth="1"/>
    <col min="8198" max="8198" width="12.33203125" style="38" customWidth="1"/>
    <col min="8199" max="8447" width="9.109375" style="38"/>
    <col min="8448" max="8448" width="8.109375" style="38" customWidth="1"/>
    <col min="8449" max="8449" width="70.44140625" style="38" bestFit="1" customWidth="1"/>
    <col min="8450" max="8450" width="11.44140625" style="38" customWidth="1"/>
    <col min="8451" max="8451" width="10.44140625" style="38" customWidth="1"/>
    <col min="8452" max="8452" width="13.109375" style="38" customWidth="1"/>
    <col min="8453" max="8453" width="14.109375" style="38" customWidth="1"/>
    <col min="8454" max="8454" width="12.33203125" style="38" customWidth="1"/>
    <col min="8455" max="8703" width="9.109375" style="38"/>
    <col min="8704" max="8704" width="8.109375" style="38" customWidth="1"/>
    <col min="8705" max="8705" width="70.44140625" style="38" bestFit="1" customWidth="1"/>
    <col min="8706" max="8706" width="11.44140625" style="38" customWidth="1"/>
    <col min="8707" max="8707" width="10.44140625" style="38" customWidth="1"/>
    <col min="8708" max="8708" width="13.109375" style="38" customWidth="1"/>
    <col min="8709" max="8709" width="14.109375" style="38" customWidth="1"/>
    <col min="8710" max="8710" width="12.33203125" style="38" customWidth="1"/>
    <col min="8711" max="8959" width="9.109375" style="38"/>
    <col min="8960" max="8960" width="8.109375" style="38" customWidth="1"/>
    <col min="8961" max="8961" width="70.44140625" style="38" bestFit="1" customWidth="1"/>
    <col min="8962" max="8962" width="11.44140625" style="38" customWidth="1"/>
    <col min="8963" max="8963" width="10.44140625" style="38" customWidth="1"/>
    <col min="8964" max="8964" width="13.109375" style="38" customWidth="1"/>
    <col min="8965" max="8965" width="14.109375" style="38" customWidth="1"/>
    <col min="8966" max="8966" width="12.33203125" style="38" customWidth="1"/>
    <col min="8967" max="9215" width="9.109375" style="38"/>
    <col min="9216" max="9216" width="8.109375" style="38" customWidth="1"/>
    <col min="9217" max="9217" width="70.44140625" style="38" bestFit="1" customWidth="1"/>
    <col min="9218" max="9218" width="11.44140625" style="38" customWidth="1"/>
    <col min="9219" max="9219" width="10.44140625" style="38" customWidth="1"/>
    <col min="9220" max="9220" width="13.109375" style="38" customWidth="1"/>
    <col min="9221" max="9221" width="14.109375" style="38" customWidth="1"/>
    <col min="9222" max="9222" width="12.33203125" style="38" customWidth="1"/>
    <col min="9223" max="9471" width="9.109375" style="38"/>
    <col min="9472" max="9472" width="8.109375" style="38" customWidth="1"/>
    <col min="9473" max="9473" width="70.44140625" style="38" bestFit="1" customWidth="1"/>
    <col min="9474" max="9474" width="11.44140625" style="38" customWidth="1"/>
    <col min="9475" max="9475" width="10.44140625" style="38" customWidth="1"/>
    <col min="9476" max="9476" width="13.109375" style="38" customWidth="1"/>
    <col min="9477" max="9477" width="14.109375" style="38" customWidth="1"/>
    <col min="9478" max="9478" width="12.33203125" style="38" customWidth="1"/>
    <col min="9479" max="9727" width="9.109375" style="38"/>
    <col min="9728" max="9728" width="8.109375" style="38" customWidth="1"/>
    <col min="9729" max="9729" width="70.44140625" style="38" bestFit="1" customWidth="1"/>
    <col min="9730" max="9730" width="11.44140625" style="38" customWidth="1"/>
    <col min="9731" max="9731" width="10.44140625" style="38" customWidth="1"/>
    <col min="9732" max="9732" width="13.109375" style="38" customWidth="1"/>
    <col min="9733" max="9733" width="14.109375" style="38" customWidth="1"/>
    <col min="9734" max="9734" width="12.33203125" style="38" customWidth="1"/>
    <col min="9735" max="9983" width="9.109375" style="38"/>
    <col min="9984" max="9984" width="8.109375" style="38" customWidth="1"/>
    <col min="9985" max="9985" width="70.44140625" style="38" bestFit="1" customWidth="1"/>
    <col min="9986" max="9986" width="11.44140625" style="38" customWidth="1"/>
    <col min="9987" max="9987" width="10.44140625" style="38" customWidth="1"/>
    <col min="9988" max="9988" width="13.109375" style="38" customWidth="1"/>
    <col min="9989" max="9989" width="14.109375" style="38" customWidth="1"/>
    <col min="9990" max="9990" width="12.33203125" style="38" customWidth="1"/>
    <col min="9991" max="10239" width="9.109375" style="38"/>
    <col min="10240" max="10240" width="8.109375" style="38" customWidth="1"/>
    <col min="10241" max="10241" width="70.44140625" style="38" bestFit="1" customWidth="1"/>
    <col min="10242" max="10242" width="11.44140625" style="38" customWidth="1"/>
    <col min="10243" max="10243" width="10.44140625" style="38" customWidth="1"/>
    <col min="10244" max="10244" width="13.109375" style="38" customWidth="1"/>
    <col min="10245" max="10245" width="14.109375" style="38" customWidth="1"/>
    <col min="10246" max="10246" width="12.33203125" style="38" customWidth="1"/>
    <col min="10247" max="10495" width="9.109375" style="38"/>
    <col min="10496" max="10496" width="8.109375" style="38" customWidth="1"/>
    <col min="10497" max="10497" width="70.44140625" style="38" bestFit="1" customWidth="1"/>
    <col min="10498" max="10498" width="11.44140625" style="38" customWidth="1"/>
    <col min="10499" max="10499" width="10.44140625" style="38" customWidth="1"/>
    <col min="10500" max="10500" width="13.109375" style="38" customWidth="1"/>
    <col min="10501" max="10501" width="14.109375" style="38" customWidth="1"/>
    <col min="10502" max="10502" width="12.33203125" style="38" customWidth="1"/>
    <col min="10503" max="10751" width="9.109375" style="38"/>
    <col min="10752" max="10752" width="8.109375" style="38" customWidth="1"/>
    <col min="10753" max="10753" width="70.44140625" style="38" bestFit="1" customWidth="1"/>
    <col min="10754" max="10754" width="11.44140625" style="38" customWidth="1"/>
    <col min="10755" max="10755" width="10.44140625" style="38" customWidth="1"/>
    <col min="10756" max="10756" width="13.109375" style="38" customWidth="1"/>
    <col min="10757" max="10757" width="14.109375" style="38" customWidth="1"/>
    <col min="10758" max="10758" width="12.33203125" style="38" customWidth="1"/>
    <col min="10759" max="11007" width="9.109375" style="38"/>
    <col min="11008" max="11008" width="8.109375" style="38" customWidth="1"/>
    <col min="11009" max="11009" width="70.44140625" style="38" bestFit="1" customWidth="1"/>
    <col min="11010" max="11010" width="11.44140625" style="38" customWidth="1"/>
    <col min="11011" max="11011" width="10.44140625" style="38" customWidth="1"/>
    <col min="11012" max="11012" width="13.109375" style="38" customWidth="1"/>
    <col min="11013" max="11013" width="14.109375" style="38" customWidth="1"/>
    <col min="11014" max="11014" width="12.33203125" style="38" customWidth="1"/>
    <col min="11015" max="11263" width="9.109375" style="38"/>
    <col min="11264" max="11264" width="8.109375" style="38" customWidth="1"/>
    <col min="11265" max="11265" width="70.44140625" style="38" bestFit="1" customWidth="1"/>
    <col min="11266" max="11266" width="11.44140625" style="38" customWidth="1"/>
    <col min="11267" max="11267" width="10.44140625" style="38" customWidth="1"/>
    <col min="11268" max="11268" width="13.109375" style="38" customWidth="1"/>
    <col min="11269" max="11269" width="14.109375" style="38" customWidth="1"/>
    <col min="11270" max="11270" width="12.33203125" style="38" customWidth="1"/>
    <col min="11271" max="11519" width="9.109375" style="38"/>
    <col min="11520" max="11520" width="8.109375" style="38" customWidth="1"/>
    <col min="11521" max="11521" width="70.44140625" style="38" bestFit="1" customWidth="1"/>
    <col min="11522" max="11522" width="11.44140625" style="38" customWidth="1"/>
    <col min="11523" max="11523" width="10.44140625" style="38" customWidth="1"/>
    <col min="11524" max="11524" width="13.109375" style="38" customWidth="1"/>
    <col min="11525" max="11525" width="14.109375" style="38" customWidth="1"/>
    <col min="11526" max="11526" width="12.33203125" style="38" customWidth="1"/>
    <col min="11527" max="11775" width="9.109375" style="38"/>
    <col min="11776" max="11776" width="8.109375" style="38" customWidth="1"/>
    <col min="11777" max="11777" width="70.44140625" style="38" bestFit="1" customWidth="1"/>
    <col min="11778" max="11778" width="11.44140625" style="38" customWidth="1"/>
    <col min="11779" max="11779" width="10.44140625" style="38" customWidth="1"/>
    <col min="11780" max="11780" width="13.109375" style="38" customWidth="1"/>
    <col min="11781" max="11781" width="14.109375" style="38" customWidth="1"/>
    <col min="11782" max="11782" width="12.33203125" style="38" customWidth="1"/>
    <col min="11783" max="12031" width="9.109375" style="38"/>
    <col min="12032" max="12032" width="8.109375" style="38" customWidth="1"/>
    <col min="12033" max="12033" width="70.44140625" style="38" bestFit="1" customWidth="1"/>
    <col min="12034" max="12034" width="11.44140625" style="38" customWidth="1"/>
    <col min="12035" max="12035" width="10.44140625" style="38" customWidth="1"/>
    <col min="12036" max="12036" width="13.109375" style="38" customWidth="1"/>
    <col min="12037" max="12037" width="14.109375" style="38" customWidth="1"/>
    <col min="12038" max="12038" width="12.33203125" style="38" customWidth="1"/>
    <col min="12039" max="12287" width="9.109375" style="38"/>
    <col min="12288" max="12288" width="8.109375" style="38" customWidth="1"/>
    <col min="12289" max="12289" width="70.44140625" style="38" bestFit="1" customWidth="1"/>
    <col min="12290" max="12290" width="11.44140625" style="38" customWidth="1"/>
    <col min="12291" max="12291" width="10.44140625" style="38" customWidth="1"/>
    <col min="12292" max="12292" width="13.109375" style="38" customWidth="1"/>
    <col min="12293" max="12293" width="14.109375" style="38" customWidth="1"/>
    <col min="12294" max="12294" width="12.33203125" style="38" customWidth="1"/>
    <col min="12295" max="12543" width="9.109375" style="38"/>
    <col min="12544" max="12544" width="8.109375" style="38" customWidth="1"/>
    <col min="12545" max="12545" width="70.44140625" style="38" bestFit="1" customWidth="1"/>
    <col min="12546" max="12546" width="11.44140625" style="38" customWidth="1"/>
    <col min="12547" max="12547" width="10.44140625" style="38" customWidth="1"/>
    <col min="12548" max="12548" width="13.109375" style="38" customWidth="1"/>
    <col min="12549" max="12549" width="14.109375" style="38" customWidth="1"/>
    <col min="12550" max="12550" width="12.33203125" style="38" customWidth="1"/>
    <col min="12551" max="12799" width="9.109375" style="38"/>
    <col min="12800" max="12800" width="8.109375" style="38" customWidth="1"/>
    <col min="12801" max="12801" width="70.44140625" style="38" bestFit="1" customWidth="1"/>
    <col min="12802" max="12802" width="11.44140625" style="38" customWidth="1"/>
    <col min="12803" max="12803" width="10.44140625" style="38" customWidth="1"/>
    <col min="12804" max="12804" width="13.109375" style="38" customWidth="1"/>
    <col min="12805" max="12805" width="14.109375" style="38" customWidth="1"/>
    <col min="12806" max="12806" width="12.33203125" style="38" customWidth="1"/>
    <col min="12807" max="13055" width="9.109375" style="38"/>
    <col min="13056" max="13056" width="8.109375" style="38" customWidth="1"/>
    <col min="13057" max="13057" width="70.44140625" style="38" bestFit="1" customWidth="1"/>
    <col min="13058" max="13058" width="11.44140625" style="38" customWidth="1"/>
    <col min="13059" max="13059" width="10.44140625" style="38" customWidth="1"/>
    <col min="13060" max="13060" width="13.109375" style="38" customWidth="1"/>
    <col min="13061" max="13061" width="14.109375" style="38" customWidth="1"/>
    <col min="13062" max="13062" width="12.33203125" style="38" customWidth="1"/>
    <col min="13063" max="13311" width="9.109375" style="38"/>
    <col min="13312" max="13312" width="8.109375" style="38" customWidth="1"/>
    <col min="13313" max="13313" width="70.44140625" style="38" bestFit="1" customWidth="1"/>
    <col min="13314" max="13314" width="11.44140625" style="38" customWidth="1"/>
    <col min="13315" max="13315" width="10.44140625" style="38" customWidth="1"/>
    <col min="13316" max="13316" width="13.109375" style="38" customWidth="1"/>
    <col min="13317" max="13317" width="14.109375" style="38" customWidth="1"/>
    <col min="13318" max="13318" width="12.33203125" style="38" customWidth="1"/>
    <col min="13319" max="13567" width="9.109375" style="38"/>
    <col min="13568" max="13568" width="8.109375" style="38" customWidth="1"/>
    <col min="13569" max="13569" width="70.44140625" style="38" bestFit="1" customWidth="1"/>
    <col min="13570" max="13570" width="11.44140625" style="38" customWidth="1"/>
    <col min="13571" max="13571" width="10.44140625" style="38" customWidth="1"/>
    <col min="13572" max="13572" width="13.109375" style="38" customWidth="1"/>
    <col min="13573" max="13573" width="14.109375" style="38" customWidth="1"/>
    <col min="13574" max="13574" width="12.33203125" style="38" customWidth="1"/>
    <col min="13575" max="13823" width="9.109375" style="38"/>
    <col min="13824" max="13824" width="8.109375" style="38" customWidth="1"/>
    <col min="13825" max="13825" width="70.44140625" style="38" bestFit="1" customWidth="1"/>
    <col min="13826" max="13826" width="11.44140625" style="38" customWidth="1"/>
    <col min="13827" max="13827" width="10.44140625" style="38" customWidth="1"/>
    <col min="13828" max="13828" width="13.109375" style="38" customWidth="1"/>
    <col min="13829" max="13829" width="14.109375" style="38" customWidth="1"/>
    <col min="13830" max="13830" width="12.33203125" style="38" customWidth="1"/>
    <col min="13831" max="14079" width="9.109375" style="38"/>
    <col min="14080" max="14080" width="8.109375" style="38" customWidth="1"/>
    <col min="14081" max="14081" width="70.44140625" style="38" bestFit="1" customWidth="1"/>
    <col min="14082" max="14082" width="11.44140625" style="38" customWidth="1"/>
    <col min="14083" max="14083" width="10.44140625" style="38" customWidth="1"/>
    <col min="14084" max="14084" width="13.109375" style="38" customWidth="1"/>
    <col min="14085" max="14085" width="14.109375" style="38" customWidth="1"/>
    <col min="14086" max="14086" width="12.33203125" style="38" customWidth="1"/>
    <col min="14087" max="14335" width="9.109375" style="38"/>
    <col min="14336" max="14336" width="8.109375" style="38" customWidth="1"/>
    <col min="14337" max="14337" width="70.44140625" style="38" bestFit="1" customWidth="1"/>
    <col min="14338" max="14338" width="11.44140625" style="38" customWidth="1"/>
    <col min="14339" max="14339" width="10.44140625" style="38" customWidth="1"/>
    <col min="14340" max="14340" width="13.109375" style="38" customWidth="1"/>
    <col min="14341" max="14341" width="14.109375" style="38" customWidth="1"/>
    <col min="14342" max="14342" width="12.33203125" style="38" customWidth="1"/>
    <col min="14343" max="14591" width="9.109375" style="38"/>
    <col min="14592" max="14592" width="8.109375" style="38" customWidth="1"/>
    <col min="14593" max="14593" width="70.44140625" style="38" bestFit="1" customWidth="1"/>
    <col min="14594" max="14594" width="11.44140625" style="38" customWidth="1"/>
    <col min="14595" max="14595" width="10.44140625" style="38" customWidth="1"/>
    <col min="14596" max="14596" width="13.109375" style="38" customWidth="1"/>
    <col min="14597" max="14597" width="14.109375" style="38" customWidth="1"/>
    <col min="14598" max="14598" width="12.33203125" style="38" customWidth="1"/>
    <col min="14599" max="14847" width="9.109375" style="38"/>
    <col min="14848" max="14848" width="8.109375" style="38" customWidth="1"/>
    <col min="14849" max="14849" width="70.44140625" style="38" bestFit="1" customWidth="1"/>
    <col min="14850" max="14850" width="11.44140625" style="38" customWidth="1"/>
    <col min="14851" max="14851" width="10.44140625" style="38" customWidth="1"/>
    <col min="14852" max="14852" width="13.109375" style="38" customWidth="1"/>
    <col min="14853" max="14853" width="14.109375" style="38" customWidth="1"/>
    <col min="14854" max="14854" width="12.33203125" style="38" customWidth="1"/>
    <col min="14855" max="15103" width="9.109375" style="38"/>
    <col min="15104" max="15104" width="8.109375" style="38" customWidth="1"/>
    <col min="15105" max="15105" width="70.44140625" style="38" bestFit="1" customWidth="1"/>
    <col min="15106" max="15106" width="11.44140625" style="38" customWidth="1"/>
    <col min="15107" max="15107" width="10.44140625" style="38" customWidth="1"/>
    <col min="15108" max="15108" width="13.109375" style="38" customWidth="1"/>
    <col min="15109" max="15109" width="14.109375" style="38" customWidth="1"/>
    <col min="15110" max="15110" width="12.33203125" style="38" customWidth="1"/>
    <col min="15111" max="15359" width="9.109375" style="38"/>
    <col min="15360" max="15360" width="8.109375" style="38" customWidth="1"/>
    <col min="15361" max="15361" width="70.44140625" style="38" bestFit="1" customWidth="1"/>
    <col min="15362" max="15362" width="11.44140625" style="38" customWidth="1"/>
    <col min="15363" max="15363" width="10.44140625" style="38" customWidth="1"/>
    <col min="15364" max="15364" width="13.109375" style="38" customWidth="1"/>
    <col min="15365" max="15365" width="14.109375" style="38" customWidth="1"/>
    <col min="15366" max="15366" width="12.33203125" style="38" customWidth="1"/>
    <col min="15367" max="15615" width="9.109375" style="38"/>
    <col min="15616" max="15616" width="8.109375" style="38" customWidth="1"/>
    <col min="15617" max="15617" width="70.44140625" style="38" bestFit="1" customWidth="1"/>
    <col min="15618" max="15618" width="11.44140625" style="38" customWidth="1"/>
    <col min="15619" max="15619" width="10.44140625" style="38" customWidth="1"/>
    <col min="15620" max="15620" width="13.109375" style="38" customWidth="1"/>
    <col min="15621" max="15621" width="14.109375" style="38" customWidth="1"/>
    <col min="15622" max="15622" width="12.33203125" style="38" customWidth="1"/>
    <col min="15623" max="15871" width="9.109375" style="38"/>
    <col min="15872" max="15872" width="8.109375" style="38" customWidth="1"/>
    <col min="15873" max="15873" width="70.44140625" style="38" bestFit="1" customWidth="1"/>
    <col min="15874" max="15874" width="11.44140625" style="38" customWidth="1"/>
    <col min="15875" max="15875" width="10.44140625" style="38" customWidth="1"/>
    <col min="15876" max="15876" width="13.109375" style="38" customWidth="1"/>
    <col min="15877" max="15877" width="14.109375" style="38" customWidth="1"/>
    <col min="15878" max="15878" width="12.33203125" style="38" customWidth="1"/>
    <col min="15879" max="16127" width="9.109375" style="38"/>
    <col min="16128" max="16128" width="8.109375" style="38" customWidth="1"/>
    <col min="16129" max="16129" width="70.44140625" style="38" bestFit="1" customWidth="1"/>
    <col min="16130" max="16130" width="11.44140625" style="38" customWidth="1"/>
    <col min="16131" max="16131" width="10.44140625" style="38" customWidth="1"/>
    <col min="16132" max="16132" width="13.109375" style="38" customWidth="1"/>
    <col min="16133" max="16133" width="14.109375" style="38" customWidth="1"/>
    <col min="16134" max="16134" width="12.33203125" style="38" customWidth="1"/>
    <col min="16135" max="16384" width="9.109375" style="38"/>
  </cols>
  <sheetData>
    <row r="1" spans="1:7" x14ac:dyDescent="0.2">
      <c r="B1" s="42"/>
      <c r="C1" s="42"/>
      <c r="D1" s="44"/>
      <c r="E1" s="44"/>
    </row>
    <row r="2" spans="1:7" x14ac:dyDescent="0.2">
      <c r="B2" s="42"/>
      <c r="C2" s="42"/>
      <c r="D2" s="44"/>
      <c r="E2" s="44"/>
    </row>
    <row r="3" spans="1:7" x14ac:dyDescent="0.2">
      <c r="B3" s="42"/>
      <c r="C3" s="42"/>
      <c r="D3" s="44"/>
      <c r="E3" s="44"/>
    </row>
    <row r="4" spans="1:7" x14ac:dyDescent="0.2">
      <c r="A4" s="565" t="s">
        <v>1107</v>
      </c>
      <c r="B4" s="565"/>
      <c r="C4" s="565"/>
      <c r="D4" s="565"/>
      <c r="E4" s="565"/>
      <c r="F4" s="565"/>
    </row>
    <row r="5" spans="1:7" x14ac:dyDescent="0.2">
      <c r="A5" s="565"/>
      <c r="B5" s="565"/>
      <c r="C5" s="565"/>
      <c r="D5" s="565"/>
      <c r="E5" s="565"/>
      <c r="F5" s="565"/>
    </row>
    <row r="6" spans="1:7" x14ac:dyDescent="0.2">
      <c r="A6" s="565"/>
      <c r="B6" s="565"/>
      <c r="C6" s="565"/>
      <c r="D6" s="565"/>
      <c r="E6" s="565"/>
      <c r="F6" s="565"/>
    </row>
    <row r="7" spans="1:7" x14ac:dyDescent="0.2">
      <c r="B7" s="42"/>
      <c r="C7" s="42"/>
      <c r="D7" s="44"/>
      <c r="E7" s="44"/>
    </row>
    <row r="8" spans="1:7" s="174" customFormat="1" ht="15" x14ac:dyDescent="0.3">
      <c r="A8" s="263" t="s">
        <v>157</v>
      </c>
      <c r="B8" s="202"/>
      <c r="C8" s="202"/>
      <c r="D8" s="562" t="s">
        <v>1104</v>
      </c>
      <c r="E8" s="564"/>
      <c r="F8" s="176"/>
      <c r="G8" s="560" t="s">
        <v>1075</v>
      </c>
    </row>
    <row r="9" spans="1:7" s="174" customFormat="1" ht="14.4" x14ac:dyDescent="0.3">
      <c r="A9" s="177" t="s">
        <v>1105</v>
      </c>
      <c r="B9" s="187" t="s">
        <v>102</v>
      </c>
      <c r="C9" s="188"/>
      <c r="D9" s="178" t="s">
        <v>1108</v>
      </c>
      <c r="E9" s="186" t="s">
        <v>940</v>
      </c>
      <c r="F9" s="188"/>
      <c r="G9" s="561"/>
    </row>
    <row r="10" spans="1:7" s="174" customFormat="1" ht="14.4" x14ac:dyDescent="0.3">
      <c r="A10" s="288" t="s">
        <v>158</v>
      </c>
      <c r="B10" s="445" t="s">
        <v>159</v>
      </c>
      <c r="C10" s="182"/>
      <c r="D10" s="279">
        <f>'[4]Plant Hire_WET'!R16</f>
        <v>100</v>
      </c>
      <c r="E10" s="242"/>
      <c r="F10" s="182"/>
      <c r="G10" s="561"/>
    </row>
    <row r="11" spans="1:7" s="174" customFormat="1" ht="14.4" x14ac:dyDescent="0.3">
      <c r="A11" s="289" t="s">
        <v>160</v>
      </c>
      <c r="B11" s="445" t="s">
        <v>159</v>
      </c>
      <c r="C11" s="182"/>
      <c r="D11" s="279">
        <f>'[4]Plant Hire_WET'!R17</f>
        <v>115</v>
      </c>
      <c r="E11" s="242"/>
      <c r="F11" s="182"/>
      <c r="G11" s="561"/>
    </row>
    <row r="12" spans="1:7" s="174" customFormat="1" ht="14.4" x14ac:dyDescent="0.3">
      <c r="A12" s="179" t="s">
        <v>161</v>
      </c>
      <c r="B12" s="445" t="s">
        <v>159</v>
      </c>
      <c r="C12" s="182"/>
      <c r="D12" s="279">
        <f>'[4]Plant Hire_WET'!F18</f>
        <v>154</v>
      </c>
      <c r="E12" s="242"/>
      <c r="F12" s="182"/>
      <c r="G12" s="561"/>
    </row>
    <row r="13" spans="1:7" s="174" customFormat="1" ht="14.4" x14ac:dyDescent="0.3">
      <c r="A13" s="179" t="s">
        <v>162</v>
      </c>
      <c r="B13" s="445" t="s">
        <v>159</v>
      </c>
      <c r="C13" s="182"/>
      <c r="D13" s="279">
        <f>'[4]Plant Hire_WET'!F19</f>
        <v>21</v>
      </c>
      <c r="E13" s="242"/>
      <c r="F13" s="182"/>
      <c r="G13" s="560" t="s">
        <v>1075</v>
      </c>
    </row>
    <row r="14" spans="1:7" s="174" customFormat="1" ht="13.95" customHeight="1" x14ac:dyDescent="0.3">
      <c r="A14" s="179" t="s">
        <v>1109</v>
      </c>
      <c r="B14" s="445" t="s">
        <v>159</v>
      </c>
      <c r="C14" s="180"/>
      <c r="D14" s="279">
        <f>'[4]Plant Hire_WET'!F20</f>
        <v>10</v>
      </c>
      <c r="E14" s="242"/>
      <c r="F14" s="180"/>
      <c r="G14" s="561"/>
    </row>
    <row r="15" spans="1:7" s="174" customFormat="1" ht="13.95" customHeight="1" x14ac:dyDescent="0.3">
      <c r="A15" s="179" t="s">
        <v>1110</v>
      </c>
      <c r="B15" s="445" t="s">
        <v>159</v>
      </c>
      <c r="C15" s="180"/>
      <c r="D15" s="279">
        <f>'[4]Plant Hire_WET'!O21</f>
        <v>150</v>
      </c>
      <c r="E15" s="242"/>
      <c r="F15" s="180"/>
      <c r="G15" s="561"/>
    </row>
    <row r="16" spans="1:7" s="174" customFormat="1" ht="14.4" x14ac:dyDescent="0.3">
      <c r="A16" s="179" t="s">
        <v>165</v>
      </c>
      <c r="B16" s="445" t="s">
        <v>159</v>
      </c>
      <c r="C16" s="181"/>
      <c r="D16" s="279">
        <f>'[4]Plant Hire_WET'!O22</f>
        <v>50</v>
      </c>
      <c r="E16" s="242"/>
      <c r="F16" s="181"/>
      <c r="G16" s="561"/>
    </row>
    <row r="17" spans="1:7" s="174" customFormat="1" ht="14.4" x14ac:dyDescent="0.3">
      <c r="A17" s="179" t="s">
        <v>166</v>
      </c>
      <c r="B17" s="445" t="s">
        <v>159</v>
      </c>
      <c r="C17" s="181"/>
      <c r="D17" s="279">
        <f>'[4]Plant Hire_WET'!O23</f>
        <v>140</v>
      </c>
      <c r="E17" s="242"/>
      <c r="F17" s="181"/>
      <c r="G17" s="561"/>
    </row>
    <row r="18" spans="1:7" s="174" customFormat="1" ht="14.4" x14ac:dyDescent="0.3">
      <c r="A18" s="179" t="s">
        <v>167</v>
      </c>
      <c r="B18" s="445" t="s">
        <v>159</v>
      </c>
      <c r="C18" s="181"/>
      <c r="D18" s="279">
        <f>'[4]Plant Hire_WET'!F24</f>
        <v>128</v>
      </c>
      <c r="E18" s="242"/>
      <c r="F18" s="181"/>
      <c r="G18" s="560" t="s">
        <v>1075</v>
      </c>
    </row>
    <row r="19" spans="1:7" s="174" customFormat="1" ht="14.4" x14ac:dyDescent="0.3">
      <c r="A19" s="179" t="s">
        <v>168</v>
      </c>
      <c r="B19" s="445" t="s">
        <v>159</v>
      </c>
      <c r="C19" s="181"/>
      <c r="D19" s="279">
        <f>'[4]Plant Hire_WET'!F25</f>
        <v>26</v>
      </c>
      <c r="E19" s="242"/>
      <c r="F19" s="181"/>
      <c r="G19" s="561"/>
    </row>
    <row r="20" spans="1:7" s="174" customFormat="1" ht="14.4" x14ac:dyDescent="0.3">
      <c r="A20" s="179" t="s">
        <v>169</v>
      </c>
      <c r="B20" s="445" t="s">
        <v>159</v>
      </c>
      <c r="C20" s="181"/>
      <c r="D20" s="279">
        <f>'[4]Plant Hire_WET'!F26</f>
        <v>10</v>
      </c>
      <c r="E20" s="242"/>
      <c r="F20" s="181"/>
      <c r="G20" s="561"/>
    </row>
    <row r="21" spans="1:7" s="174" customFormat="1" ht="14.4" x14ac:dyDescent="0.3">
      <c r="A21" s="179" t="s">
        <v>170</v>
      </c>
      <c r="B21" s="445" t="s">
        <v>159</v>
      </c>
      <c r="C21" s="181"/>
      <c r="D21" s="279">
        <f>'[4]Plant Hire_WET'!F27</f>
        <v>153</v>
      </c>
      <c r="E21" s="242"/>
      <c r="F21" s="181"/>
      <c r="G21" s="561"/>
    </row>
    <row r="22" spans="1:7" s="174" customFormat="1" ht="14.4" x14ac:dyDescent="0.3">
      <c r="A22" s="179" t="s">
        <v>171</v>
      </c>
      <c r="B22" s="445" t="s">
        <v>159</v>
      </c>
      <c r="C22" s="181"/>
      <c r="D22" s="279">
        <f>'[4]Plant Hire_WET'!F28</f>
        <v>36</v>
      </c>
      <c r="E22" s="242"/>
      <c r="F22" s="181"/>
      <c r="G22" s="561"/>
    </row>
    <row r="23" spans="1:7" s="174" customFormat="1" ht="14.4" x14ac:dyDescent="0.3">
      <c r="A23" s="179" t="s">
        <v>172</v>
      </c>
      <c r="B23" s="445" t="s">
        <v>159</v>
      </c>
      <c r="C23" s="181"/>
      <c r="D23" s="279">
        <f>'[4]Plant Hire_WET'!F29</f>
        <v>10</v>
      </c>
      <c r="E23" s="242"/>
      <c r="F23" s="181"/>
      <c r="G23" s="560" t="s">
        <v>1075</v>
      </c>
    </row>
    <row r="24" spans="1:7" s="174" customFormat="1" ht="14.4" x14ac:dyDescent="0.3">
      <c r="A24" s="179" t="s">
        <v>173</v>
      </c>
      <c r="B24" s="445" t="s">
        <v>159</v>
      </c>
      <c r="C24" s="181"/>
      <c r="D24" s="279">
        <f>'[4]Plant Hire_WET'!L30</f>
        <v>190</v>
      </c>
      <c r="E24" s="242"/>
      <c r="F24" s="181"/>
      <c r="G24" s="561"/>
    </row>
    <row r="25" spans="1:7" s="174" customFormat="1" ht="14.4" x14ac:dyDescent="0.3">
      <c r="A25" s="179" t="s">
        <v>174</v>
      </c>
      <c r="B25" s="445" t="s">
        <v>159</v>
      </c>
      <c r="C25" s="181"/>
      <c r="D25" s="279">
        <f>'[4]Plant Hire_WET'!L31</f>
        <v>220</v>
      </c>
      <c r="E25" s="242"/>
      <c r="F25" s="181"/>
      <c r="G25" s="561"/>
    </row>
    <row r="26" spans="1:7" s="174" customFormat="1" ht="14.4" x14ac:dyDescent="0.3">
      <c r="A26" s="179" t="s">
        <v>175</v>
      </c>
      <c r="B26" s="445" t="s">
        <v>159</v>
      </c>
      <c r="C26" s="181"/>
      <c r="D26" s="279">
        <f>'[4]Plant Hire_WET'!L32</f>
        <v>250</v>
      </c>
      <c r="E26" s="242"/>
      <c r="F26" s="181"/>
      <c r="G26" s="561"/>
    </row>
    <row r="27" spans="1:7" s="174" customFormat="1" ht="14.4" x14ac:dyDescent="0.3">
      <c r="A27" s="278" t="s">
        <v>176</v>
      </c>
      <c r="B27" s="445" t="s">
        <v>159</v>
      </c>
      <c r="C27" s="181"/>
      <c r="D27" s="279">
        <f>'[4]Plant Hire_WET'!$R$33</f>
        <v>110</v>
      </c>
      <c r="E27" s="242"/>
      <c r="F27" s="181"/>
      <c r="G27" s="561"/>
    </row>
    <row r="28" spans="1:7" s="174" customFormat="1" ht="14.4" x14ac:dyDescent="0.3">
      <c r="A28" s="290" t="s">
        <v>177</v>
      </c>
      <c r="B28" s="445" t="s">
        <v>159</v>
      </c>
      <c r="C28" s="181"/>
      <c r="D28" s="279">
        <f>'[4]Plant Hire_WET'!$R$34</f>
        <v>110</v>
      </c>
      <c r="E28" s="242"/>
      <c r="F28" s="181"/>
      <c r="G28" s="560" t="s">
        <v>1075</v>
      </c>
    </row>
    <row r="29" spans="1:7" s="174" customFormat="1" ht="14.4" x14ac:dyDescent="0.3">
      <c r="A29" s="179"/>
      <c r="B29" s="261"/>
      <c r="C29" s="181"/>
      <c r="D29" s="203"/>
      <c r="E29" s="242"/>
      <c r="F29" s="181"/>
      <c r="G29" s="561"/>
    </row>
    <row r="30" spans="1:7" s="174" customFormat="1" ht="14.4" x14ac:dyDescent="0.3">
      <c r="A30" s="179"/>
      <c r="B30" s="261"/>
      <c r="C30" s="181"/>
      <c r="D30" s="203"/>
      <c r="E30" s="242"/>
      <c r="F30" s="181"/>
      <c r="G30" s="561"/>
    </row>
    <row r="31" spans="1:7" s="174" customFormat="1" ht="6" customHeight="1" x14ac:dyDescent="0.3">
      <c r="A31" s="183"/>
      <c r="B31" s="184"/>
      <c r="C31" s="185"/>
      <c r="D31" s="204"/>
      <c r="E31" s="205"/>
      <c r="F31" s="185"/>
      <c r="G31" s="561"/>
    </row>
    <row r="32" spans="1:7" x14ac:dyDescent="0.2">
      <c r="B32" s="42"/>
      <c r="C32" s="42"/>
      <c r="D32" s="44"/>
      <c r="E32" s="44"/>
      <c r="G32" s="561"/>
    </row>
    <row r="33" spans="1:7" s="174" customFormat="1" ht="15" x14ac:dyDescent="0.3">
      <c r="A33" s="263" t="s">
        <v>1111</v>
      </c>
      <c r="B33" s="202"/>
      <c r="C33" s="202"/>
      <c r="D33" s="562" t="s">
        <v>1104</v>
      </c>
      <c r="E33" s="564"/>
      <c r="F33" s="176"/>
      <c r="G33" s="560" t="s">
        <v>1075</v>
      </c>
    </row>
    <row r="34" spans="1:7" s="174" customFormat="1" ht="14.4" x14ac:dyDescent="0.3">
      <c r="A34" s="177" t="s">
        <v>1105</v>
      </c>
      <c r="B34" s="187" t="s">
        <v>938</v>
      </c>
      <c r="C34" s="188"/>
      <c r="D34" s="178" t="s">
        <v>1112</v>
      </c>
      <c r="E34" s="186" t="s">
        <v>940</v>
      </c>
      <c r="F34" s="188"/>
      <c r="G34" s="561"/>
    </row>
    <row r="35" spans="1:7" s="174" customFormat="1" ht="14.4" x14ac:dyDescent="0.3">
      <c r="A35" t="s">
        <v>1113</v>
      </c>
      <c r="B35" s="261">
        <v>0</v>
      </c>
      <c r="C35" s="182"/>
      <c r="D35" s="279">
        <f>[4]Subbies_Misc!$F$16</f>
        <v>180</v>
      </c>
      <c r="E35" s="242">
        <f>B35*D35</f>
        <v>0</v>
      </c>
      <c r="F35" s="182"/>
      <c r="G35" s="561"/>
    </row>
    <row r="36" spans="1:7" s="174" customFormat="1" ht="14.4" x14ac:dyDescent="0.3">
      <c r="A36" s="179"/>
      <c r="B36" s="261">
        <v>0</v>
      </c>
      <c r="C36" s="182"/>
      <c r="D36" s="203">
        <v>0</v>
      </c>
      <c r="E36" s="242">
        <f>B36*D36</f>
        <v>0</v>
      </c>
      <c r="F36" s="182"/>
      <c r="G36" s="561"/>
    </row>
    <row r="37" spans="1:7" s="174" customFormat="1" ht="14.4" x14ac:dyDescent="0.3">
      <c r="A37" s="179"/>
      <c r="B37" s="261">
        <v>0</v>
      </c>
      <c r="C37" s="182"/>
      <c r="D37" s="203">
        <v>0</v>
      </c>
      <c r="E37" s="242">
        <f>B37*D37</f>
        <v>0</v>
      </c>
      <c r="F37" s="182"/>
      <c r="G37" s="561"/>
    </row>
    <row r="38" spans="1:7" s="174" customFormat="1" ht="6" customHeight="1" x14ac:dyDescent="0.3">
      <c r="A38" s="183"/>
      <c r="B38" s="262"/>
      <c r="C38" s="185"/>
      <c r="D38" s="204"/>
      <c r="E38" s="205"/>
      <c r="F38" s="185"/>
    </row>
    <row r="39" spans="1:7" x14ac:dyDescent="0.2">
      <c r="B39" s="42"/>
      <c r="C39" s="42"/>
      <c r="D39" s="44"/>
      <c r="E39" s="44"/>
    </row>
    <row r="40" spans="1:7" s="174" customFormat="1" ht="15" x14ac:dyDescent="0.3">
      <c r="A40" s="263" t="s">
        <v>1114</v>
      </c>
      <c r="B40" s="202"/>
      <c r="C40" s="202"/>
      <c r="D40" s="562" t="s">
        <v>1104</v>
      </c>
      <c r="E40" s="564"/>
      <c r="F40" s="176"/>
      <c r="G40" s="560" t="s">
        <v>1075</v>
      </c>
    </row>
    <row r="41" spans="1:7" s="174" customFormat="1" ht="14.4" x14ac:dyDescent="0.3">
      <c r="A41" s="177" t="s">
        <v>1105</v>
      </c>
      <c r="B41" s="187" t="s">
        <v>938</v>
      </c>
      <c r="C41" s="188"/>
      <c r="D41" s="178" t="s">
        <v>1112</v>
      </c>
      <c r="E41" s="186" t="s">
        <v>940</v>
      </c>
      <c r="F41" s="188"/>
      <c r="G41" s="561"/>
    </row>
    <row r="42" spans="1:7" s="174" customFormat="1" ht="14.4" x14ac:dyDescent="0.3">
      <c r="A42" t="s">
        <v>1115</v>
      </c>
      <c r="B42" s="261">
        <v>0</v>
      </c>
      <c r="C42" s="182"/>
      <c r="D42" s="279">
        <f>[4]Subbies_Misc!$F$25</f>
        <v>130</v>
      </c>
      <c r="E42" s="242">
        <f>B42*D42</f>
        <v>0</v>
      </c>
      <c r="F42" s="182"/>
      <c r="G42" s="561"/>
    </row>
    <row r="43" spans="1:7" s="174" customFormat="1" ht="14.4" x14ac:dyDescent="0.3">
      <c r="A43" s="179"/>
      <c r="B43" s="261">
        <v>0</v>
      </c>
      <c r="C43" s="182"/>
      <c r="D43" s="203">
        <v>0</v>
      </c>
      <c r="E43" s="242">
        <f>B43*D43</f>
        <v>0</v>
      </c>
      <c r="F43" s="182"/>
      <c r="G43" s="561"/>
    </row>
    <row r="44" spans="1:7" s="174" customFormat="1" ht="14.4" x14ac:dyDescent="0.3">
      <c r="A44" s="179"/>
      <c r="B44" s="261">
        <v>0</v>
      </c>
      <c r="C44" s="182"/>
      <c r="D44" s="203">
        <v>0</v>
      </c>
      <c r="E44" s="242">
        <f>B44*D44</f>
        <v>0</v>
      </c>
      <c r="F44" s="182"/>
      <c r="G44" s="561"/>
    </row>
    <row r="45" spans="1:7" s="174" customFormat="1" ht="6" customHeight="1" x14ac:dyDescent="0.3">
      <c r="A45" s="183"/>
      <c r="B45" s="184"/>
      <c r="C45" s="185"/>
      <c r="D45" s="204"/>
      <c r="E45" s="205"/>
      <c r="F45" s="185"/>
    </row>
    <row r="46" spans="1:7" x14ac:dyDescent="0.2">
      <c r="B46" s="42"/>
      <c r="C46" s="42"/>
      <c r="D46" s="44"/>
      <c r="E46" s="44"/>
    </row>
    <row r="47" spans="1:7" s="174" customFormat="1" ht="15" x14ac:dyDescent="0.3">
      <c r="A47" s="263" t="s">
        <v>1116</v>
      </c>
      <c r="B47" s="202"/>
      <c r="C47" s="202"/>
      <c r="D47" s="562" t="s">
        <v>1104</v>
      </c>
      <c r="E47" s="564"/>
      <c r="F47" s="176"/>
      <c r="G47" s="560" t="s">
        <v>1075</v>
      </c>
    </row>
    <row r="48" spans="1:7" s="174" customFormat="1" ht="14.4" x14ac:dyDescent="0.3">
      <c r="A48" s="177" t="s">
        <v>1105</v>
      </c>
      <c r="B48" s="187" t="s">
        <v>938</v>
      </c>
      <c r="C48" s="188"/>
      <c r="D48" s="178" t="s">
        <v>1117</v>
      </c>
      <c r="E48" s="186" t="s">
        <v>940</v>
      </c>
      <c r="F48" s="188"/>
      <c r="G48" s="561"/>
    </row>
    <row r="49" spans="1:7" s="174" customFormat="1" ht="14.4" x14ac:dyDescent="0.3">
      <c r="A49" s="280" t="s">
        <v>1118</v>
      </c>
      <c r="B49" s="261">
        <v>0</v>
      </c>
      <c r="C49" s="182"/>
      <c r="D49" s="279">
        <f>[4]Subbies_Misc!$F$31</f>
        <v>13.5</v>
      </c>
      <c r="E49" s="242">
        <f>B49*D49</f>
        <v>0</v>
      </c>
      <c r="F49" s="182"/>
      <c r="G49" s="561"/>
    </row>
    <row r="50" spans="1:7" s="174" customFormat="1" ht="14.4" x14ac:dyDescent="0.3">
      <c r="A50" s="280" t="s">
        <v>1119</v>
      </c>
      <c r="B50" s="261">
        <v>0</v>
      </c>
      <c r="C50" s="182"/>
      <c r="D50" s="279">
        <f>[4]Subbies_Misc!$F$33</f>
        <v>16</v>
      </c>
      <c r="E50" s="242">
        <f>B50*D50</f>
        <v>0</v>
      </c>
      <c r="F50" s="182"/>
      <c r="G50" s="561"/>
    </row>
    <row r="51" spans="1:7" s="174" customFormat="1" ht="14.4" x14ac:dyDescent="0.3">
      <c r="A51" s="280" t="s">
        <v>1120</v>
      </c>
      <c r="B51" s="261">
        <v>0</v>
      </c>
      <c r="C51" s="182"/>
      <c r="D51" s="279">
        <f>[4]Subbies_Misc!$F$38</f>
        <v>80</v>
      </c>
      <c r="E51" s="242">
        <f>B51*D51</f>
        <v>0</v>
      </c>
      <c r="F51" s="182"/>
      <c r="G51" s="561"/>
    </row>
    <row r="52" spans="1:7" s="174" customFormat="1" ht="6" customHeight="1" x14ac:dyDescent="0.3">
      <c r="A52" s="183"/>
      <c r="B52" s="184"/>
      <c r="C52" s="185"/>
      <c r="D52" s="204"/>
      <c r="E52" s="205"/>
      <c r="F52" s="185"/>
    </row>
    <row r="53" spans="1:7" x14ac:dyDescent="0.2">
      <c r="B53" s="42"/>
      <c r="C53" s="42"/>
      <c r="D53" s="44"/>
      <c r="E53" s="44"/>
    </row>
    <row r="54" spans="1:7" s="174" customFormat="1" ht="15" x14ac:dyDescent="0.3">
      <c r="A54" s="263" t="s">
        <v>1121</v>
      </c>
      <c r="B54" s="202"/>
      <c r="C54" s="202"/>
      <c r="D54" s="562" t="s">
        <v>1104</v>
      </c>
      <c r="E54" s="564"/>
      <c r="F54" s="176"/>
      <c r="G54" s="560" t="s">
        <v>1075</v>
      </c>
    </row>
    <row r="55" spans="1:7" s="174" customFormat="1" ht="14.4" x14ac:dyDescent="0.3">
      <c r="A55" s="177" t="s">
        <v>1105</v>
      </c>
      <c r="B55" s="187" t="s">
        <v>938</v>
      </c>
      <c r="C55" s="188"/>
      <c r="D55" s="178" t="s">
        <v>939</v>
      </c>
      <c r="E55" s="186" t="s">
        <v>940</v>
      </c>
      <c r="F55" s="188"/>
      <c r="G55" s="561"/>
    </row>
    <row r="56" spans="1:7" s="174" customFormat="1" ht="14.4" x14ac:dyDescent="0.3">
      <c r="A56" s="281" t="str">
        <f>[4]Subbies_Misc!$A$44</f>
        <v>Road/Drveway Reinstate; 1mW x 150 Thck, N25/20/80, Incl Reinforcement</v>
      </c>
      <c r="B56" s="261">
        <v>0</v>
      </c>
      <c r="C56" s="182"/>
      <c r="D56" s="279">
        <f>[4]Subbies_Misc!$F$44</f>
        <v>145</v>
      </c>
      <c r="E56" s="242">
        <f>B56*D56</f>
        <v>0</v>
      </c>
      <c r="F56" s="182"/>
      <c r="G56" s="561"/>
    </row>
    <row r="57" spans="1:7" s="174" customFormat="1" ht="14.4" x14ac:dyDescent="0.3">
      <c r="A57" s="282" t="str">
        <f>[4]Subbies_Misc!$A$45</f>
        <v>Kerb &amp; Channel - 1m Wide</v>
      </c>
      <c r="B57" s="261">
        <v>0</v>
      </c>
      <c r="C57" s="182"/>
      <c r="D57" s="279">
        <f>[4]Subbies_Misc!$F$45</f>
        <v>155</v>
      </c>
      <c r="E57" s="242">
        <f>B57*D57</f>
        <v>0</v>
      </c>
      <c r="F57" s="182"/>
      <c r="G57" s="561"/>
    </row>
    <row r="58" spans="1:7" s="174" customFormat="1" ht="14.4" x14ac:dyDescent="0.3">
      <c r="A58" s="281" t="str">
        <f>[4]Subbies_Misc!$A$46</f>
        <v>Footpath - 1.5mW, N25/20/80, Incl Reinforcement</v>
      </c>
      <c r="B58" s="261">
        <v>0</v>
      </c>
      <c r="C58" s="182"/>
      <c r="D58" s="279">
        <f>[4]Subbies_Misc!$F$46</f>
        <v>180</v>
      </c>
      <c r="E58" s="242">
        <f>B58*D58</f>
        <v>0</v>
      </c>
      <c r="F58" s="182"/>
      <c r="G58" s="561"/>
    </row>
    <row r="59" spans="1:7" s="174" customFormat="1" ht="14.4" x14ac:dyDescent="0.3">
      <c r="A59" s="281" t="str">
        <f>[4]Subbies_Misc!$A$47</f>
        <v>Footpath - 1.5mW, EXPOSED AGG, N25/20/80, Incl Reinforcement</v>
      </c>
      <c r="B59" s="261">
        <v>0</v>
      </c>
      <c r="C59" s="182"/>
      <c r="D59" s="279">
        <f>[4]Subbies_Misc!$F$47</f>
        <v>185</v>
      </c>
      <c r="E59" s="242">
        <f>B59*D59</f>
        <v>0</v>
      </c>
      <c r="F59" s="182"/>
    </row>
    <row r="60" spans="1:7" s="174" customFormat="1" ht="6" customHeight="1" x14ac:dyDescent="0.3">
      <c r="A60" s="183"/>
      <c r="B60" s="184"/>
      <c r="C60" s="185"/>
      <c r="D60" s="204"/>
      <c r="E60" s="205"/>
      <c r="F60" s="185"/>
    </row>
    <row r="61" spans="1:7" x14ac:dyDescent="0.2">
      <c r="B61" s="42"/>
      <c r="C61" s="42"/>
      <c r="D61" s="44"/>
      <c r="E61" s="44"/>
    </row>
    <row r="62" spans="1:7" s="174" customFormat="1" ht="15" x14ac:dyDescent="0.3">
      <c r="A62" s="263" t="s">
        <v>1122</v>
      </c>
      <c r="B62" s="202"/>
      <c r="C62" s="202"/>
      <c r="D62" s="562" t="s">
        <v>1104</v>
      </c>
      <c r="E62" s="564"/>
      <c r="F62" s="176"/>
      <c r="G62" s="560" t="s">
        <v>1075</v>
      </c>
    </row>
    <row r="63" spans="1:7" s="174" customFormat="1" ht="14.4" x14ac:dyDescent="0.3">
      <c r="A63" s="177" t="s">
        <v>1105</v>
      </c>
      <c r="B63" s="187" t="s">
        <v>938</v>
      </c>
      <c r="C63" s="188"/>
      <c r="D63" s="178" t="s">
        <v>154</v>
      </c>
      <c r="E63" s="186" t="s">
        <v>940</v>
      </c>
      <c r="F63" s="188"/>
      <c r="G63" s="561"/>
    </row>
    <row r="64" spans="1:7" s="174" customFormat="1" ht="14.4" x14ac:dyDescent="0.3">
      <c r="A64" s="179" t="str">
        <f>[4]Subbies_Misc!$A$52</f>
        <v xml:space="preserve">50mm Thck - Trench Reinstatement Through Road/Driveway </v>
      </c>
      <c r="B64" s="261">
        <v>0</v>
      </c>
      <c r="C64" s="182"/>
      <c r="D64" s="279">
        <f>[4]Subbies_Misc!$L$52</f>
        <v>97</v>
      </c>
      <c r="E64" s="242">
        <f>B64*D64</f>
        <v>0</v>
      </c>
      <c r="F64" s="182"/>
      <c r="G64" s="561"/>
    </row>
    <row r="65" spans="1:7" s="174" customFormat="1" ht="14.4" x14ac:dyDescent="0.3">
      <c r="A65" s="278" t="str">
        <f>[4]Subbies_Misc!$A$53</f>
        <v xml:space="preserve">50mm Thck - 1.5-2m Wide Footpath reinstatements </v>
      </c>
      <c r="B65" s="261">
        <v>0</v>
      </c>
      <c r="C65" s="182"/>
      <c r="D65" s="279">
        <f>[4]Subbies_Misc!$L$53</f>
        <v>97</v>
      </c>
      <c r="E65" s="242">
        <f>B65*D65</f>
        <v>0</v>
      </c>
      <c r="F65" s="182"/>
      <c r="G65" s="561"/>
    </row>
    <row r="66" spans="1:7" s="174" customFormat="1" ht="14.4" x14ac:dyDescent="0.3">
      <c r="A66" s="278" t="s">
        <v>1123</v>
      </c>
      <c r="B66" s="261">
        <v>0</v>
      </c>
      <c r="C66" s="182"/>
      <c r="D66" s="279">
        <v>5500</v>
      </c>
      <c r="E66" s="242">
        <f>B66*D66</f>
        <v>0</v>
      </c>
      <c r="F66" s="182"/>
      <c r="G66" s="561"/>
    </row>
    <row r="67" spans="1:7" s="174" customFormat="1" ht="14.4" x14ac:dyDescent="0.3">
      <c r="A67" s="179"/>
      <c r="B67" s="261"/>
      <c r="C67" s="182"/>
      <c r="D67" s="203"/>
      <c r="E67" s="242"/>
      <c r="F67" s="182"/>
      <c r="G67" s="291"/>
    </row>
    <row r="68" spans="1:7" s="174" customFormat="1" ht="6" customHeight="1" x14ac:dyDescent="0.3">
      <c r="A68" s="183"/>
      <c r="B68" s="184"/>
      <c r="C68" s="185"/>
      <c r="D68" s="204"/>
      <c r="E68" s="205"/>
      <c r="F68" s="185"/>
    </row>
    <row r="69" spans="1:7" x14ac:dyDescent="0.2">
      <c r="B69" s="42"/>
      <c r="C69" s="42"/>
      <c r="D69" s="44"/>
      <c r="E69" s="44"/>
    </row>
    <row r="70" spans="1:7" s="174" customFormat="1" ht="15" x14ac:dyDescent="0.3">
      <c r="A70" s="263" t="s">
        <v>1124</v>
      </c>
      <c r="B70" s="202"/>
      <c r="C70" s="202"/>
      <c r="D70" s="562" t="s">
        <v>1104</v>
      </c>
      <c r="E70" s="564"/>
      <c r="F70" s="176"/>
      <c r="G70" s="560" t="s">
        <v>1075</v>
      </c>
    </row>
    <row r="71" spans="1:7" s="174" customFormat="1" ht="14.4" x14ac:dyDescent="0.3">
      <c r="A71" s="177" t="s">
        <v>1105</v>
      </c>
      <c r="B71" s="187" t="s">
        <v>938</v>
      </c>
      <c r="C71" s="188"/>
      <c r="D71" s="178" t="s">
        <v>939</v>
      </c>
      <c r="E71" s="186" t="s">
        <v>940</v>
      </c>
      <c r="F71" s="188"/>
      <c r="G71" s="561"/>
    </row>
    <row r="72" spans="1:7" s="174" customFormat="1" ht="14.4" x14ac:dyDescent="0.3">
      <c r="A72" s="179" t="s">
        <v>1125</v>
      </c>
      <c r="B72" s="261">
        <v>0</v>
      </c>
      <c r="C72" s="182"/>
      <c r="D72" s="279">
        <f>[4]Subbies_Misc!$F$71</f>
        <v>115</v>
      </c>
      <c r="E72" s="242">
        <f>B72*D72</f>
        <v>0</v>
      </c>
      <c r="F72" s="182"/>
      <c r="G72" s="561"/>
    </row>
    <row r="73" spans="1:7" s="174" customFormat="1" ht="14.4" x14ac:dyDescent="0.3">
      <c r="A73" s="179" t="s">
        <v>1126</v>
      </c>
      <c r="B73" s="261">
        <v>0</v>
      </c>
      <c r="C73" s="182"/>
      <c r="D73" s="279">
        <v>90</v>
      </c>
      <c r="E73" s="242">
        <f t="shared" ref="E73:E74" si="0">B73*D73</f>
        <v>0</v>
      </c>
      <c r="F73" s="182"/>
      <c r="G73" s="561"/>
    </row>
    <row r="74" spans="1:7" s="174" customFormat="1" ht="14.4" x14ac:dyDescent="0.3">
      <c r="A74" s="179"/>
      <c r="B74" s="261">
        <v>0</v>
      </c>
      <c r="C74" s="182"/>
      <c r="D74" s="203">
        <f>[4]Subbies_Misc!$F$55</f>
        <v>0</v>
      </c>
      <c r="E74" s="242">
        <f t="shared" si="0"/>
        <v>0</v>
      </c>
      <c r="F74" s="182"/>
      <c r="G74" s="561"/>
    </row>
    <row r="75" spans="1:7" s="174" customFormat="1" ht="6" customHeight="1" x14ac:dyDescent="0.3">
      <c r="A75" s="183"/>
      <c r="B75" s="184"/>
      <c r="C75" s="185"/>
      <c r="D75" s="204"/>
      <c r="E75" s="205"/>
      <c r="F75" s="185"/>
    </row>
    <row r="76" spans="1:7" x14ac:dyDescent="0.2">
      <c r="B76" s="42"/>
      <c r="C76" s="42"/>
      <c r="D76" s="44"/>
      <c r="E76" s="44"/>
    </row>
    <row r="77" spans="1:7" x14ac:dyDescent="0.2">
      <c r="B77" s="42"/>
      <c r="C77" s="42"/>
      <c r="D77" s="44"/>
      <c r="E77" s="44"/>
    </row>
    <row r="78" spans="1:7" s="174" customFormat="1" ht="15" x14ac:dyDescent="0.3">
      <c r="A78" s="263" t="s">
        <v>1127</v>
      </c>
      <c r="B78" s="202"/>
      <c r="C78" s="202"/>
      <c r="D78" s="562" t="s">
        <v>1104</v>
      </c>
      <c r="E78" s="564"/>
      <c r="F78" s="176"/>
      <c r="G78" s="560" t="s">
        <v>1075</v>
      </c>
    </row>
    <row r="79" spans="1:7" s="174" customFormat="1" ht="14.4" x14ac:dyDescent="0.3">
      <c r="A79" s="177" t="s">
        <v>1105</v>
      </c>
      <c r="B79" s="187" t="s">
        <v>938</v>
      </c>
      <c r="C79" s="188"/>
      <c r="D79" s="178" t="s">
        <v>939</v>
      </c>
      <c r="E79" s="186" t="s">
        <v>940</v>
      </c>
      <c r="F79" s="188"/>
      <c r="G79" s="561"/>
    </row>
    <row r="80" spans="1:7" s="174" customFormat="1" ht="14.4" x14ac:dyDescent="0.3">
      <c r="A80" s="286" t="s">
        <v>1128</v>
      </c>
      <c r="B80" s="261">
        <v>0</v>
      </c>
      <c r="C80" s="182"/>
      <c r="D80" s="279">
        <f>[4]Subbies_Misc!F87</f>
        <v>130</v>
      </c>
      <c r="E80" s="285">
        <f>B80*D80</f>
        <v>0</v>
      </c>
      <c r="F80" s="182"/>
      <c r="G80" s="561"/>
    </row>
    <row r="81" spans="1:7" s="174" customFormat="1" ht="14.4" x14ac:dyDescent="0.3">
      <c r="A81" s="286" t="s">
        <v>1129</v>
      </c>
      <c r="B81" s="261">
        <v>0</v>
      </c>
      <c r="C81" s="182"/>
      <c r="D81" s="279">
        <f>[4]Subbies_Misc!F88</f>
        <v>100</v>
      </c>
      <c r="E81" s="285">
        <f t="shared" ref="E81:E86" si="1">B81*D81</f>
        <v>0</v>
      </c>
      <c r="F81" s="182"/>
      <c r="G81" s="561"/>
    </row>
    <row r="82" spans="1:7" s="174" customFormat="1" ht="14.4" x14ac:dyDescent="0.3">
      <c r="A82" s="286" t="s">
        <v>1130</v>
      </c>
      <c r="B82" s="261">
        <v>0</v>
      </c>
      <c r="C82" s="182"/>
      <c r="D82" s="279">
        <f>[4]Subbies_Misc!F89</f>
        <v>450</v>
      </c>
      <c r="E82" s="285">
        <f t="shared" si="1"/>
        <v>0</v>
      </c>
      <c r="F82" s="182"/>
      <c r="G82" s="561"/>
    </row>
    <row r="83" spans="1:7" s="174" customFormat="1" ht="14.4" x14ac:dyDescent="0.3">
      <c r="A83" s="286" t="s">
        <v>1131</v>
      </c>
      <c r="B83" s="261">
        <v>0</v>
      </c>
      <c r="C83" s="182"/>
      <c r="D83" s="279">
        <f>[4]Subbies_Misc!F90</f>
        <v>800</v>
      </c>
      <c r="E83" s="285">
        <f t="shared" si="1"/>
        <v>0</v>
      </c>
      <c r="F83" s="182"/>
      <c r="G83" s="560" t="s">
        <v>1075</v>
      </c>
    </row>
    <row r="84" spans="1:7" s="174" customFormat="1" ht="14.4" x14ac:dyDescent="0.3">
      <c r="A84" s="287" t="s">
        <v>251</v>
      </c>
      <c r="B84" s="261">
        <v>0</v>
      </c>
      <c r="C84" s="182"/>
      <c r="D84" s="279">
        <f>[4]Subbies_Misc!F91</f>
        <v>1945</v>
      </c>
      <c r="E84" s="285">
        <f t="shared" si="1"/>
        <v>0</v>
      </c>
      <c r="F84" s="182"/>
      <c r="G84" s="561"/>
    </row>
    <row r="85" spans="1:7" s="174" customFormat="1" ht="14.4" x14ac:dyDescent="0.3">
      <c r="A85" s="287" t="s">
        <v>1132</v>
      </c>
      <c r="B85" s="261">
        <v>0</v>
      </c>
      <c r="C85" s="182"/>
      <c r="D85" s="279">
        <f>[4]Subbies_Misc!F92</f>
        <v>3560</v>
      </c>
      <c r="E85" s="285">
        <f t="shared" si="1"/>
        <v>0</v>
      </c>
      <c r="F85" s="182"/>
      <c r="G85" s="561"/>
    </row>
    <row r="86" spans="1:7" s="174" customFormat="1" ht="14.4" x14ac:dyDescent="0.3">
      <c r="A86" s="286" t="s">
        <v>252</v>
      </c>
      <c r="B86" s="261">
        <v>0</v>
      </c>
      <c r="C86" s="182"/>
      <c r="D86" s="279">
        <f>[4]Subbies_Misc!F93</f>
        <v>350</v>
      </c>
      <c r="E86" s="285">
        <f t="shared" si="1"/>
        <v>0</v>
      </c>
      <c r="F86" s="182"/>
      <c r="G86" s="561"/>
    </row>
    <row r="87" spans="1:7" s="174" customFormat="1" ht="14.4" x14ac:dyDescent="0.3">
      <c r="A87" s="179"/>
      <c r="B87" s="261"/>
      <c r="C87" s="182"/>
      <c r="D87" s="203"/>
      <c r="E87" s="242"/>
      <c r="F87" s="182"/>
      <c r="G87" s="561"/>
    </row>
    <row r="88" spans="1:7" s="174" customFormat="1" ht="6" customHeight="1" x14ac:dyDescent="0.3">
      <c r="A88" s="183"/>
      <c r="B88" s="184"/>
      <c r="C88" s="185"/>
      <c r="D88" s="204"/>
      <c r="E88" s="205"/>
      <c r="F88" s="185"/>
    </row>
    <row r="89" spans="1:7" x14ac:dyDescent="0.2">
      <c r="B89" s="42"/>
      <c r="C89" s="42"/>
      <c r="D89" s="44"/>
      <c r="E89" s="44"/>
    </row>
    <row r="90" spans="1:7" x14ac:dyDescent="0.2">
      <c r="B90" s="42"/>
      <c r="C90" s="42"/>
      <c r="D90" s="44"/>
      <c r="E90" s="44"/>
    </row>
    <row r="91" spans="1:7" x14ac:dyDescent="0.2">
      <c r="B91" s="42"/>
      <c r="C91" s="42"/>
      <c r="D91" s="44"/>
      <c r="E91" s="44"/>
    </row>
    <row r="92" spans="1:7" x14ac:dyDescent="0.2">
      <c r="B92" s="42"/>
      <c r="C92" s="42"/>
      <c r="D92" s="44"/>
      <c r="E92" s="44"/>
    </row>
    <row r="93" spans="1:7" x14ac:dyDescent="0.2">
      <c r="B93" s="42"/>
      <c r="C93" s="42"/>
      <c r="D93" s="44"/>
      <c r="E93" s="44"/>
    </row>
    <row r="94" spans="1:7" ht="10.8" thickBot="1" x14ac:dyDescent="0.25">
      <c r="B94" s="42"/>
      <c r="C94" s="42"/>
      <c r="D94" s="44"/>
      <c r="E94" s="44"/>
    </row>
    <row r="95" spans="1:7" ht="13.95" customHeight="1" thickBot="1" x14ac:dyDescent="0.3">
      <c r="A95" s="544" t="s">
        <v>1133</v>
      </c>
      <c r="B95" s="545"/>
      <c r="C95" s="545"/>
      <c r="D95" s="545"/>
      <c r="E95" s="545"/>
      <c r="F95" s="100"/>
    </row>
    <row r="96" spans="1:7" ht="10.8" thickBot="1" x14ac:dyDescent="0.25">
      <c r="A96" s="87"/>
      <c r="B96" s="42" t="s">
        <v>102</v>
      </c>
      <c r="C96" s="42" t="s">
        <v>103</v>
      </c>
      <c r="D96" s="44" t="s">
        <v>1134</v>
      </c>
      <c r="E96" s="44" t="s">
        <v>1135</v>
      </c>
      <c r="F96" s="90"/>
    </row>
    <row r="97" spans="1:7" x14ac:dyDescent="0.2">
      <c r="A97" s="90" t="s">
        <v>1136</v>
      </c>
      <c r="B97" s="91" t="s">
        <v>1137</v>
      </c>
      <c r="C97" s="101">
        <v>1</v>
      </c>
      <c r="D97" s="102">
        <v>220</v>
      </c>
      <c r="E97" s="93">
        <f>C97*D97</f>
        <v>220</v>
      </c>
      <c r="F97" s="135" t="s">
        <v>1138</v>
      </c>
    </row>
    <row r="98" spans="1:7" x14ac:dyDescent="0.2">
      <c r="A98" s="100" t="s">
        <v>1139</v>
      </c>
      <c r="B98" s="91" t="s">
        <v>93</v>
      </c>
      <c r="C98" s="101">
        <v>1</v>
      </c>
      <c r="D98" s="102">
        <v>190</v>
      </c>
      <c r="E98" s="93">
        <f t="shared" ref="E98:E104" si="2">C98*D98</f>
        <v>190</v>
      </c>
      <c r="F98" s="85"/>
    </row>
    <row r="99" spans="1:7" x14ac:dyDescent="0.2">
      <c r="A99" s="90" t="s">
        <v>1140</v>
      </c>
      <c r="B99" s="91" t="s">
        <v>1137</v>
      </c>
      <c r="C99" s="101">
        <v>1</v>
      </c>
      <c r="D99" s="102">
        <v>65</v>
      </c>
      <c r="E99" s="93">
        <f>C99*D99</f>
        <v>65</v>
      </c>
      <c r="F99" s="85" t="s">
        <v>1141</v>
      </c>
      <c r="G99" s="38" t="s">
        <v>1142</v>
      </c>
    </row>
    <row r="100" spans="1:7" x14ac:dyDescent="0.2">
      <c r="A100" s="90" t="s">
        <v>1143</v>
      </c>
      <c r="B100" s="91" t="s">
        <v>1144</v>
      </c>
      <c r="C100" s="101">
        <v>1</v>
      </c>
      <c r="D100" s="102">
        <v>0.2</v>
      </c>
      <c r="E100" s="93">
        <f t="shared" ref="E100:E101" si="3">C100*D100</f>
        <v>0.2</v>
      </c>
      <c r="F100" s="85"/>
      <c r="G100" s="38">
        <v>0.16</v>
      </c>
    </row>
    <row r="101" spans="1:7" x14ac:dyDescent="0.2">
      <c r="A101" s="90" t="s">
        <v>1145</v>
      </c>
      <c r="B101" s="91" t="s">
        <v>1144</v>
      </c>
      <c r="C101" s="101">
        <v>1</v>
      </c>
      <c r="D101" s="102">
        <v>0.18</v>
      </c>
      <c r="E101" s="93">
        <f t="shared" si="3"/>
        <v>0.18</v>
      </c>
      <c r="F101" s="85"/>
      <c r="G101" s="38">
        <v>0.11</v>
      </c>
    </row>
    <row r="102" spans="1:7" x14ac:dyDescent="0.2">
      <c r="A102" s="100"/>
      <c r="B102" s="91"/>
      <c r="C102" s="101"/>
      <c r="D102" s="102"/>
      <c r="E102" s="93"/>
      <c r="F102" s="85"/>
    </row>
    <row r="103" spans="1:7" x14ac:dyDescent="0.2">
      <c r="A103" s="90"/>
      <c r="B103" s="91" t="s">
        <v>1137</v>
      </c>
      <c r="C103" s="101">
        <v>1</v>
      </c>
      <c r="D103" s="91">
        <v>0</v>
      </c>
      <c r="E103" s="93">
        <f t="shared" si="2"/>
        <v>0</v>
      </c>
      <c r="F103" s="85"/>
    </row>
    <row r="104" spans="1:7" x14ac:dyDescent="0.2">
      <c r="A104" s="90" t="s">
        <v>1146</v>
      </c>
      <c r="B104" s="91" t="s">
        <v>1137</v>
      </c>
      <c r="C104" s="101">
        <v>1</v>
      </c>
      <c r="D104" s="91">
        <v>0</v>
      </c>
      <c r="E104" s="93">
        <f t="shared" si="2"/>
        <v>0</v>
      </c>
      <c r="F104" s="85"/>
    </row>
    <row r="105" spans="1:7" x14ac:dyDescent="0.2">
      <c r="A105" s="90" t="s">
        <v>1147</v>
      </c>
      <c r="B105" s="91" t="s">
        <v>1137</v>
      </c>
      <c r="C105" s="101">
        <v>1</v>
      </c>
      <c r="D105" s="91">
        <v>0</v>
      </c>
      <c r="E105" s="93">
        <f t="shared" ref="E105" si="4">C105*D105</f>
        <v>0</v>
      </c>
      <c r="F105" s="85"/>
    </row>
    <row r="106" spans="1:7" x14ac:dyDescent="0.2">
      <c r="A106" s="90" t="s">
        <v>1148</v>
      </c>
      <c r="B106" s="91" t="s">
        <v>1137</v>
      </c>
      <c r="C106" s="101">
        <v>1</v>
      </c>
      <c r="D106" s="91">
        <v>2500</v>
      </c>
      <c r="E106" s="93">
        <f t="shared" ref="E106" si="5">C106*D106</f>
        <v>2500</v>
      </c>
      <c r="F106" s="85"/>
    </row>
    <row r="107" spans="1:7" x14ac:dyDescent="0.2">
      <c r="A107" s="90"/>
      <c r="B107" s="91"/>
      <c r="C107" s="101"/>
      <c r="D107" s="91"/>
      <c r="E107" s="93"/>
      <c r="F107" s="85"/>
    </row>
    <row r="108" spans="1:7" x14ac:dyDescent="0.2">
      <c r="A108" s="90"/>
      <c r="B108" s="91"/>
      <c r="C108" s="101"/>
      <c r="D108" s="91"/>
      <c r="E108" s="93"/>
      <c r="F108" s="85"/>
    </row>
    <row r="109" spans="1:7" x14ac:dyDescent="0.2">
      <c r="A109" s="90"/>
      <c r="B109" s="91"/>
      <c r="C109" s="101"/>
      <c r="D109" s="91"/>
      <c r="E109" s="93"/>
      <c r="F109" s="85"/>
    </row>
    <row r="110" spans="1:7" x14ac:dyDescent="0.2">
      <c r="A110" s="90"/>
      <c r="B110" s="91"/>
      <c r="C110" s="101"/>
      <c r="D110" s="91"/>
      <c r="E110" s="93"/>
      <c r="F110" s="85"/>
    </row>
    <row r="111" spans="1:7" x14ac:dyDescent="0.2">
      <c r="A111" s="90"/>
      <c r="B111" s="91"/>
      <c r="C111" s="101"/>
      <c r="D111" s="91"/>
      <c r="E111" s="93"/>
      <c r="F111" s="85"/>
    </row>
    <row r="112" spans="1:7" x14ac:dyDescent="0.2">
      <c r="A112" s="90"/>
      <c r="B112" s="91"/>
      <c r="C112" s="101"/>
      <c r="D112" s="91"/>
      <c r="E112" s="93"/>
      <c r="F112" s="85"/>
    </row>
    <row r="113" spans="1:6" x14ac:dyDescent="0.2">
      <c r="A113" s="90"/>
      <c r="B113" s="91"/>
      <c r="C113" s="101"/>
      <c r="D113" s="91"/>
      <c r="E113" s="93"/>
      <c r="F113" s="85"/>
    </row>
    <row r="114" spans="1:6" x14ac:dyDescent="0.2">
      <c r="A114" s="127"/>
      <c r="B114" s="129"/>
      <c r="C114" s="129"/>
      <c r="D114" s="128"/>
      <c r="E114" s="111"/>
      <c r="F114" s="85"/>
    </row>
    <row r="115" spans="1:6" x14ac:dyDescent="0.2">
      <c r="A115" s="39"/>
      <c r="B115" s="39"/>
      <c r="C115" s="39"/>
      <c r="D115" s="159"/>
      <c r="E115" s="131"/>
      <c r="F115" s="85"/>
    </row>
    <row r="116" spans="1:6" x14ac:dyDescent="0.2">
      <c r="E116" s="84"/>
      <c r="F116" s="85"/>
    </row>
    <row r="117" spans="1:6" x14ac:dyDescent="0.2">
      <c r="D117" s="51"/>
      <c r="E117" s="38"/>
      <c r="F117" s="47"/>
    </row>
    <row r="118" spans="1:6" x14ac:dyDescent="0.2">
      <c r="E118" s="54"/>
    </row>
    <row r="119" spans="1:6" x14ac:dyDescent="0.2">
      <c r="E119" s="55"/>
    </row>
    <row r="120" spans="1:6" x14ac:dyDescent="0.2">
      <c r="E120" s="47"/>
    </row>
    <row r="121" spans="1:6" x14ac:dyDescent="0.2">
      <c r="A121" s="56"/>
      <c r="B121" s="38"/>
      <c r="E121" s="38"/>
    </row>
  </sheetData>
  <mergeCells count="23">
    <mergeCell ref="G83:G87"/>
    <mergeCell ref="G28:G32"/>
    <mergeCell ref="G33:G37"/>
    <mergeCell ref="G8:G12"/>
    <mergeCell ref="G13:G17"/>
    <mergeCell ref="G18:G22"/>
    <mergeCell ref="G23:G27"/>
    <mergeCell ref="A4:F6"/>
    <mergeCell ref="G47:G51"/>
    <mergeCell ref="G54:G58"/>
    <mergeCell ref="G62:G66"/>
    <mergeCell ref="A95:E95"/>
    <mergeCell ref="D8:E8"/>
    <mergeCell ref="D33:E33"/>
    <mergeCell ref="D40:E40"/>
    <mergeCell ref="D54:E54"/>
    <mergeCell ref="D47:E47"/>
    <mergeCell ref="D62:E62"/>
    <mergeCell ref="D70:E70"/>
    <mergeCell ref="D78:E78"/>
    <mergeCell ref="G70:G74"/>
    <mergeCell ref="G78:G82"/>
    <mergeCell ref="G40:G44"/>
  </mergeCells>
  <printOptions gridLines="1"/>
  <pageMargins left="0.46" right="0.42" top="0.37" bottom="0.4" header="0.39" footer="0.38"/>
  <pageSetup paperSize="8" scale="80" orientation="portrait" horizontalDpi="1200" verticalDpi="1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6098-6483-495E-93E6-A84BDE3E528B}">
  <sheetPr>
    <tabColor theme="7"/>
  </sheetPr>
  <dimension ref="A1:K368"/>
  <sheetViews>
    <sheetView zoomScale="130" zoomScaleNormal="130" workbookViewId="0">
      <selection activeCell="I320" sqref="I320"/>
    </sheetView>
  </sheetViews>
  <sheetFormatPr defaultColWidth="9.109375" defaultRowHeight="10.199999999999999" x14ac:dyDescent="0.2"/>
  <cols>
    <col min="1" max="1" width="8.109375" style="38" customWidth="1"/>
    <col min="2" max="2" width="48.33203125" style="38" customWidth="1"/>
    <col min="3" max="3" width="9.33203125" style="40" customWidth="1"/>
    <col min="4" max="4" width="10.5546875" style="40" bestFit="1" customWidth="1"/>
    <col min="5" max="5" width="10.33203125" style="41" customWidth="1"/>
    <col min="6" max="6" width="11" style="41" customWidth="1"/>
    <col min="7" max="7" width="12.33203125" style="38" customWidth="1"/>
    <col min="8" max="9" width="7.6640625" style="38" customWidth="1"/>
    <col min="10" max="256" width="9.109375" style="38"/>
    <col min="257" max="257" width="8.109375" style="38" customWidth="1"/>
    <col min="258" max="258" width="70.44140625" style="38" bestFit="1" customWidth="1"/>
    <col min="259" max="259" width="11.44140625" style="38" customWidth="1"/>
    <col min="260" max="260" width="10.44140625" style="38" customWidth="1"/>
    <col min="261" max="261" width="13.109375" style="38" customWidth="1"/>
    <col min="262" max="262" width="14.109375" style="38" customWidth="1"/>
    <col min="263" max="263" width="12.33203125" style="38" customWidth="1"/>
    <col min="264" max="512" width="9.109375" style="38"/>
    <col min="513" max="513" width="8.109375" style="38" customWidth="1"/>
    <col min="514" max="514" width="70.44140625" style="38" bestFit="1" customWidth="1"/>
    <col min="515" max="515" width="11.44140625" style="38" customWidth="1"/>
    <col min="516" max="516" width="10.44140625" style="38" customWidth="1"/>
    <col min="517" max="517" width="13.109375" style="38" customWidth="1"/>
    <col min="518" max="518" width="14.109375" style="38" customWidth="1"/>
    <col min="519" max="519" width="12.33203125" style="38" customWidth="1"/>
    <col min="520" max="768" width="9.109375" style="38"/>
    <col min="769" max="769" width="8.109375" style="38" customWidth="1"/>
    <col min="770" max="770" width="70.44140625" style="38" bestFit="1" customWidth="1"/>
    <col min="771" max="771" width="11.44140625" style="38" customWidth="1"/>
    <col min="772" max="772" width="10.44140625" style="38" customWidth="1"/>
    <col min="773" max="773" width="13.109375" style="38" customWidth="1"/>
    <col min="774" max="774" width="14.109375" style="38" customWidth="1"/>
    <col min="775" max="775" width="12.33203125" style="38" customWidth="1"/>
    <col min="776" max="1024" width="9.109375" style="38"/>
    <col min="1025" max="1025" width="8.109375" style="38" customWidth="1"/>
    <col min="1026" max="1026" width="70.44140625" style="38" bestFit="1" customWidth="1"/>
    <col min="1027" max="1027" width="11.44140625" style="38" customWidth="1"/>
    <col min="1028" max="1028" width="10.44140625" style="38" customWidth="1"/>
    <col min="1029" max="1029" width="13.109375" style="38" customWidth="1"/>
    <col min="1030" max="1030" width="14.109375" style="38" customWidth="1"/>
    <col min="1031" max="1031" width="12.33203125" style="38" customWidth="1"/>
    <col min="1032" max="1280" width="9.109375" style="38"/>
    <col min="1281" max="1281" width="8.109375" style="38" customWidth="1"/>
    <col min="1282" max="1282" width="70.44140625" style="38" bestFit="1" customWidth="1"/>
    <col min="1283" max="1283" width="11.44140625" style="38" customWidth="1"/>
    <col min="1284" max="1284" width="10.44140625" style="38" customWidth="1"/>
    <col min="1285" max="1285" width="13.109375" style="38" customWidth="1"/>
    <col min="1286" max="1286" width="14.109375" style="38" customWidth="1"/>
    <col min="1287" max="1287" width="12.33203125" style="38" customWidth="1"/>
    <col min="1288" max="1536" width="9.109375" style="38"/>
    <col min="1537" max="1537" width="8.109375" style="38" customWidth="1"/>
    <col min="1538" max="1538" width="70.44140625" style="38" bestFit="1" customWidth="1"/>
    <col min="1539" max="1539" width="11.44140625" style="38" customWidth="1"/>
    <col min="1540" max="1540" width="10.44140625" style="38" customWidth="1"/>
    <col min="1541" max="1541" width="13.109375" style="38" customWidth="1"/>
    <col min="1542" max="1542" width="14.109375" style="38" customWidth="1"/>
    <col min="1543" max="1543" width="12.33203125" style="38" customWidth="1"/>
    <col min="1544" max="1792" width="9.109375" style="38"/>
    <col min="1793" max="1793" width="8.109375" style="38" customWidth="1"/>
    <col min="1794" max="1794" width="70.44140625" style="38" bestFit="1" customWidth="1"/>
    <col min="1795" max="1795" width="11.44140625" style="38" customWidth="1"/>
    <col min="1796" max="1796" width="10.44140625" style="38" customWidth="1"/>
    <col min="1797" max="1797" width="13.109375" style="38" customWidth="1"/>
    <col min="1798" max="1798" width="14.109375" style="38" customWidth="1"/>
    <col min="1799" max="1799" width="12.33203125" style="38" customWidth="1"/>
    <col min="1800" max="2048" width="9.109375" style="38"/>
    <col min="2049" max="2049" width="8.109375" style="38" customWidth="1"/>
    <col min="2050" max="2050" width="70.44140625" style="38" bestFit="1" customWidth="1"/>
    <col min="2051" max="2051" width="11.44140625" style="38" customWidth="1"/>
    <col min="2052" max="2052" width="10.44140625" style="38" customWidth="1"/>
    <col min="2053" max="2053" width="13.109375" style="38" customWidth="1"/>
    <col min="2054" max="2054" width="14.109375" style="38" customWidth="1"/>
    <col min="2055" max="2055" width="12.33203125" style="38" customWidth="1"/>
    <col min="2056" max="2304" width="9.109375" style="38"/>
    <col min="2305" max="2305" width="8.109375" style="38" customWidth="1"/>
    <col min="2306" max="2306" width="70.44140625" style="38" bestFit="1" customWidth="1"/>
    <col min="2307" max="2307" width="11.44140625" style="38" customWidth="1"/>
    <col min="2308" max="2308" width="10.44140625" style="38" customWidth="1"/>
    <col min="2309" max="2309" width="13.109375" style="38" customWidth="1"/>
    <col min="2310" max="2310" width="14.109375" style="38" customWidth="1"/>
    <col min="2311" max="2311" width="12.33203125" style="38" customWidth="1"/>
    <col min="2312" max="2560" width="9.109375" style="38"/>
    <col min="2561" max="2561" width="8.109375" style="38" customWidth="1"/>
    <col min="2562" max="2562" width="70.44140625" style="38" bestFit="1" customWidth="1"/>
    <col min="2563" max="2563" width="11.44140625" style="38" customWidth="1"/>
    <col min="2564" max="2564" width="10.44140625" style="38" customWidth="1"/>
    <col min="2565" max="2565" width="13.109375" style="38" customWidth="1"/>
    <col min="2566" max="2566" width="14.109375" style="38" customWidth="1"/>
    <col min="2567" max="2567" width="12.33203125" style="38" customWidth="1"/>
    <col min="2568" max="2816" width="9.109375" style="38"/>
    <col min="2817" max="2817" width="8.109375" style="38" customWidth="1"/>
    <col min="2818" max="2818" width="70.44140625" style="38" bestFit="1" customWidth="1"/>
    <col min="2819" max="2819" width="11.44140625" style="38" customWidth="1"/>
    <col min="2820" max="2820" width="10.44140625" style="38" customWidth="1"/>
    <col min="2821" max="2821" width="13.109375" style="38" customWidth="1"/>
    <col min="2822" max="2822" width="14.109375" style="38" customWidth="1"/>
    <col min="2823" max="2823" width="12.33203125" style="38" customWidth="1"/>
    <col min="2824" max="3072" width="9.109375" style="38"/>
    <col min="3073" max="3073" width="8.109375" style="38" customWidth="1"/>
    <col min="3074" max="3074" width="70.44140625" style="38" bestFit="1" customWidth="1"/>
    <col min="3075" max="3075" width="11.44140625" style="38" customWidth="1"/>
    <col min="3076" max="3076" width="10.44140625" style="38" customWidth="1"/>
    <col min="3077" max="3077" width="13.109375" style="38" customWidth="1"/>
    <col min="3078" max="3078" width="14.109375" style="38" customWidth="1"/>
    <col min="3079" max="3079" width="12.33203125" style="38" customWidth="1"/>
    <col min="3080" max="3328" width="9.109375" style="38"/>
    <col min="3329" max="3329" width="8.109375" style="38" customWidth="1"/>
    <col min="3330" max="3330" width="70.44140625" style="38" bestFit="1" customWidth="1"/>
    <col min="3331" max="3331" width="11.44140625" style="38" customWidth="1"/>
    <col min="3332" max="3332" width="10.44140625" style="38" customWidth="1"/>
    <col min="3333" max="3333" width="13.109375" style="38" customWidth="1"/>
    <col min="3334" max="3334" width="14.109375" style="38" customWidth="1"/>
    <col min="3335" max="3335" width="12.33203125" style="38" customWidth="1"/>
    <col min="3336" max="3584" width="9.109375" style="38"/>
    <col min="3585" max="3585" width="8.109375" style="38" customWidth="1"/>
    <col min="3586" max="3586" width="70.44140625" style="38" bestFit="1" customWidth="1"/>
    <col min="3587" max="3587" width="11.44140625" style="38" customWidth="1"/>
    <col min="3588" max="3588" width="10.44140625" style="38" customWidth="1"/>
    <col min="3589" max="3589" width="13.109375" style="38" customWidth="1"/>
    <col min="3590" max="3590" width="14.109375" style="38" customWidth="1"/>
    <col min="3591" max="3591" width="12.33203125" style="38" customWidth="1"/>
    <col min="3592" max="3840" width="9.109375" style="38"/>
    <col min="3841" max="3841" width="8.109375" style="38" customWidth="1"/>
    <col min="3842" max="3842" width="70.44140625" style="38" bestFit="1" customWidth="1"/>
    <col min="3843" max="3843" width="11.44140625" style="38" customWidth="1"/>
    <col min="3844" max="3844" width="10.44140625" style="38" customWidth="1"/>
    <col min="3845" max="3845" width="13.109375" style="38" customWidth="1"/>
    <col min="3846" max="3846" width="14.109375" style="38" customWidth="1"/>
    <col min="3847" max="3847" width="12.33203125" style="38" customWidth="1"/>
    <col min="3848" max="4096" width="9.109375" style="38"/>
    <col min="4097" max="4097" width="8.109375" style="38" customWidth="1"/>
    <col min="4098" max="4098" width="70.44140625" style="38" bestFit="1" customWidth="1"/>
    <col min="4099" max="4099" width="11.44140625" style="38" customWidth="1"/>
    <col min="4100" max="4100" width="10.44140625" style="38" customWidth="1"/>
    <col min="4101" max="4101" width="13.109375" style="38" customWidth="1"/>
    <col min="4102" max="4102" width="14.109375" style="38" customWidth="1"/>
    <col min="4103" max="4103" width="12.33203125" style="38" customWidth="1"/>
    <col min="4104" max="4352" width="9.109375" style="38"/>
    <col min="4353" max="4353" width="8.109375" style="38" customWidth="1"/>
    <col min="4354" max="4354" width="70.44140625" style="38" bestFit="1" customWidth="1"/>
    <col min="4355" max="4355" width="11.44140625" style="38" customWidth="1"/>
    <col min="4356" max="4356" width="10.44140625" style="38" customWidth="1"/>
    <col min="4357" max="4357" width="13.109375" style="38" customWidth="1"/>
    <col min="4358" max="4358" width="14.109375" style="38" customWidth="1"/>
    <col min="4359" max="4359" width="12.33203125" style="38" customWidth="1"/>
    <col min="4360" max="4608" width="9.109375" style="38"/>
    <col min="4609" max="4609" width="8.109375" style="38" customWidth="1"/>
    <col min="4610" max="4610" width="70.44140625" style="38" bestFit="1" customWidth="1"/>
    <col min="4611" max="4611" width="11.44140625" style="38" customWidth="1"/>
    <col min="4612" max="4612" width="10.44140625" style="38" customWidth="1"/>
    <col min="4613" max="4613" width="13.109375" style="38" customWidth="1"/>
    <col min="4614" max="4614" width="14.109375" style="38" customWidth="1"/>
    <col min="4615" max="4615" width="12.33203125" style="38" customWidth="1"/>
    <col min="4616" max="4864" width="9.109375" style="38"/>
    <col min="4865" max="4865" width="8.109375" style="38" customWidth="1"/>
    <col min="4866" max="4866" width="70.44140625" style="38" bestFit="1" customWidth="1"/>
    <col min="4867" max="4867" width="11.44140625" style="38" customWidth="1"/>
    <col min="4868" max="4868" width="10.44140625" style="38" customWidth="1"/>
    <col min="4869" max="4869" width="13.109375" style="38" customWidth="1"/>
    <col min="4870" max="4870" width="14.109375" style="38" customWidth="1"/>
    <col min="4871" max="4871" width="12.33203125" style="38" customWidth="1"/>
    <col min="4872" max="5120" width="9.109375" style="38"/>
    <col min="5121" max="5121" width="8.109375" style="38" customWidth="1"/>
    <col min="5122" max="5122" width="70.44140625" style="38" bestFit="1" customWidth="1"/>
    <col min="5123" max="5123" width="11.44140625" style="38" customWidth="1"/>
    <col min="5124" max="5124" width="10.44140625" style="38" customWidth="1"/>
    <col min="5125" max="5125" width="13.109375" style="38" customWidth="1"/>
    <col min="5126" max="5126" width="14.109375" style="38" customWidth="1"/>
    <col min="5127" max="5127" width="12.33203125" style="38" customWidth="1"/>
    <col min="5128" max="5376" width="9.109375" style="38"/>
    <col min="5377" max="5377" width="8.109375" style="38" customWidth="1"/>
    <col min="5378" max="5378" width="70.44140625" style="38" bestFit="1" customWidth="1"/>
    <col min="5379" max="5379" width="11.44140625" style="38" customWidth="1"/>
    <col min="5380" max="5380" width="10.44140625" style="38" customWidth="1"/>
    <col min="5381" max="5381" width="13.109375" style="38" customWidth="1"/>
    <col min="5382" max="5382" width="14.109375" style="38" customWidth="1"/>
    <col min="5383" max="5383" width="12.33203125" style="38" customWidth="1"/>
    <col min="5384" max="5632" width="9.109375" style="38"/>
    <col min="5633" max="5633" width="8.109375" style="38" customWidth="1"/>
    <col min="5634" max="5634" width="70.44140625" style="38" bestFit="1" customWidth="1"/>
    <col min="5635" max="5635" width="11.44140625" style="38" customWidth="1"/>
    <col min="5636" max="5636" width="10.44140625" style="38" customWidth="1"/>
    <col min="5637" max="5637" width="13.109375" style="38" customWidth="1"/>
    <col min="5638" max="5638" width="14.109375" style="38" customWidth="1"/>
    <col min="5639" max="5639" width="12.33203125" style="38" customWidth="1"/>
    <col min="5640" max="5888" width="9.109375" style="38"/>
    <col min="5889" max="5889" width="8.109375" style="38" customWidth="1"/>
    <col min="5890" max="5890" width="70.44140625" style="38" bestFit="1" customWidth="1"/>
    <col min="5891" max="5891" width="11.44140625" style="38" customWidth="1"/>
    <col min="5892" max="5892" width="10.44140625" style="38" customWidth="1"/>
    <col min="5893" max="5893" width="13.109375" style="38" customWidth="1"/>
    <col min="5894" max="5894" width="14.109375" style="38" customWidth="1"/>
    <col min="5895" max="5895" width="12.33203125" style="38" customWidth="1"/>
    <col min="5896" max="6144" width="9.109375" style="38"/>
    <col min="6145" max="6145" width="8.109375" style="38" customWidth="1"/>
    <col min="6146" max="6146" width="70.44140625" style="38" bestFit="1" customWidth="1"/>
    <col min="6147" max="6147" width="11.44140625" style="38" customWidth="1"/>
    <col min="6148" max="6148" width="10.44140625" style="38" customWidth="1"/>
    <col min="6149" max="6149" width="13.109375" style="38" customWidth="1"/>
    <col min="6150" max="6150" width="14.109375" style="38" customWidth="1"/>
    <col min="6151" max="6151" width="12.33203125" style="38" customWidth="1"/>
    <col min="6152" max="6400" width="9.109375" style="38"/>
    <col min="6401" max="6401" width="8.109375" style="38" customWidth="1"/>
    <col min="6402" max="6402" width="70.44140625" style="38" bestFit="1" customWidth="1"/>
    <col min="6403" max="6403" width="11.44140625" style="38" customWidth="1"/>
    <col min="6404" max="6404" width="10.44140625" style="38" customWidth="1"/>
    <col min="6405" max="6405" width="13.109375" style="38" customWidth="1"/>
    <col min="6406" max="6406" width="14.109375" style="38" customWidth="1"/>
    <col min="6407" max="6407" width="12.33203125" style="38" customWidth="1"/>
    <col min="6408" max="6656" width="9.109375" style="38"/>
    <col min="6657" max="6657" width="8.109375" style="38" customWidth="1"/>
    <col min="6658" max="6658" width="70.44140625" style="38" bestFit="1" customWidth="1"/>
    <col min="6659" max="6659" width="11.44140625" style="38" customWidth="1"/>
    <col min="6660" max="6660" width="10.44140625" style="38" customWidth="1"/>
    <col min="6661" max="6661" width="13.109375" style="38" customWidth="1"/>
    <col min="6662" max="6662" width="14.109375" style="38" customWidth="1"/>
    <col min="6663" max="6663" width="12.33203125" style="38" customWidth="1"/>
    <col min="6664" max="6912" width="9.109375" style="38"/>
    <col min="6913" max="6913" width="8.109375" style="38" customWidth="1"/>
    <col min="6914" max="6914" width="70.44140625" style="38" bestFit="1" customWidth="1"/>
    <col min="6915" max="6915" width="11.44140625" style="38" customWidth="1"/>
    <col min="6916" max="6916" width="10.44140625" style="38" customWidth="1"/>
    <col min="6917" max="6917" width="13.109375" style="38" customWidth="1"/>
    <col min="6918" max="6918" width="14.109375" style="38" customWidth="1"/>
    <col min="6919" max="6919" width="12.33203125" style="38" customWidth="1"/>
    <col min="6920" max="7168" width="9.109375" style="38"/>
    <col min="7169" max="7169" width="8.109375" style="38" customWidth="1"/>
    <col min="7170" max="7170" width="70.44140625" style="38" bestFit="1" customWidth="1"/>
    <col min="7171" max="7171" width="11.44140625" style="38" customWidth="1"/>
    <col min="7172" max="7172" width="10.44140625" style="38" customWidth="1"/>
    <col min="7173" max="7173" width="13.109375" style="38" customWidth="1"/>
    <col min="7174" max="7174" width="14.109375" style="38" customWidth="1"/>
    <col min="7175" max="7175" width="12.33203125" style="38" customWidth="1"/>
    <col min="7176" max="7424" width="9.109375" style="38"/>
    <col min="7425" max="7425" width="8.109375" style="38" customWidth="1"/>
    <col min="7426" max="7426" width="70.44140625" style="38" bestFit="1" customWidth="1"/>
    <col min="7427" max="7427" width="11.44140625" style="38" customWidth="1"/>
    <col min="7428" max="7428" width="10.44140625" style="38" customWidth="1"/>
    <col min="7429" max="7429" width="13.109375" style="38" customWidth="1"/>
    <col min="7430" max="7430" width="14.109375" style="38" customWidth="1"/>
    <col min="7431" max="7431" width="12.33203125" style="38" customWidth="1"/>
    <col min="7432" max="7680" width="9.109375" style="38"/>
    <col min="7681" max="7681" width="8.109375" style="38" customWidth="1"/>
    <col min="7682" max="7682" width="70.44140625" style="38" bestFit="1" customWidth="1"/>
    <col min="7683" max="7683" width="11.44140625" style="38" customWidth="1"/>
    <col min="7684" max="7684" width="10.44140625" style="38" customWidth="1"/>
    <col min="7685" max="7685" width="13.109375" style="38" customWidth="1"/>
    <col min="7686" max="7686" width="14.109375" style="38" customWidth="1"/>
    <col min="7687" max="7687" width="12.33203125" style="38" customWidth="1"/>
    <col min="7688" max="7936" width="9.109375" style="38"/>
    <col min="7937" max="7937" width="8.109375" style="38" customWidth="1"/>
    <col min="7938" max="7938" width="70.44140625" style="38" bestFit="1" customWidth="1"/>
    <col min="7939" max="7939" width="11.44140625" style="38" customWidth="1"/>
    <col min="7940" max="7940" width="10.44140625" style="38" customWidth="1"/>
    <col min="7941" max="7941" width="13.109375" style="38" customWidth="1"/>
    <col min="7942" max="7942" width="14.109375" style="38" customWidth="1"/>
    <col min="7943" max="7943" width="12.33203125" style="38" customWidth="1"/>
    <col min="7944" max="8192" width="9.109375" style="38"/>
    <col min="8193" max="8193" width="8.109375" style="38" customWidth="1"/>
    <col min="8194" max="8194" width="70.44140625" style="38" bestFit="1" customWidth="1"/>
    <col min="8195" max="8195" width="11.44140625" style="38" customWidth="1"/>
    <col min="8196" max="8196" width="10.44140625" style="38" customWidth="1"/>
    <col min="8197" max="8197" width="13.109375" style="38" customWidth="1"/>
    <col min="8198" max="8198" width="14.109375" style="38" customWidth="1"/>
    <col min="8199" max="8199" width="12.33203125" style="38" customWidth="1"/>
    <col min="8200" max="8448" width="9.109375" style="38"/>
    <col min="8449" max="8449" width="8.109375" style="38" customWidth="1"/>
    <col min="8450" max="8450" width="70.44140625" style="38" bestFit="1" customWidth="1"/>
    <col min="8451" max="8451" width="11.44140625" style="38" customWidth="1"/>
    <col min="8452" max="8452" width="10.44140625" style="38" customWidth="1"/>
    <col min="8453" max="8453" width="13.109375" style="38" customWidth="1"/>
    <col min="8454" max="8454" width="14.109375" style="38" customWidth="1"/>
    <col min="8455" max="8455" width="12.33203125" style="38" customWidth="1"/>
    <col min="8456" max="8704" width="9.109375" style="38"/>
    <col min="8705" max="8705" width="8.109375" style="38" customWidth="1"/>
    <col min="8706" max="8706" width="70.44140625" style="38" bestFit="1" customWidth="1"/>
    <col min="8707" max="8707" width="11.44140625" style="38" customWidth="1"/>
    <col min="8708" max="8708" width="10.44140625" style="38" customWidth="1"/>
    <col min="8709" max="8709" width="13.109375" style="38" customWidth="1"/>
    <col min="8710" max="8710" width="14.109375" style="38" customWidth="1"/>
    <col min="8711" max="8711" width="12.33203125" style="38" customWidth="1"/>
    <col min="8712" max="8960" width="9.109375" style="38"/>
    <col min="8961" max="8961" width="8.109375" style="38" customWidth="1"/>
    <col min="8962" max="8962" width="70.44140625" style="38" bestFit="1" customWidth="1"/>
    <col min="8963" max="8963" width="11.44140625" style="38" customWidth="1"/>
    <col min="8964" max="8964" width="10.44140625" style="38" customWidth="1"/>
    <col min="8965" max="8965" width="13.109375" style="38" customWidth="1"/>
    <col min="8966" max="8966" width="14.109375" style="38" customWidth="1"/>
    <col min="8967" max="8967" width="12.33203125" style="38" customWidth="1"/>
    <col min="8968" max="9216" width="9.109375" style="38"/>
    <col min="9217" max="9217" width="8.109375" style="38" customWidth="1"/>
    <col min="9218" max="9218" width="70.44140625" style="38" bestFit="1" customWidth="1"/>
    <col min="9219" max="9219" width="11.44140625" style="38" customWidth="1"/>
    <col min="9220" max="9220" width="10.44140625" style="38" customWidth="1"/>
    <col min="9221" max="9221" width="13.109375" style="38" customWidth="1"/>
    <col min="9222" max="9222" width="14.109375" style="38" customWidth="1"/>
    <col min="9223" max="9223" width="12.33203125" style="38" customWidth="1"/>
    <col min="9224" max="9472" width="9.109375" style="38"/>
    <col min="9473" max="9473" width="8.109375" style="38" customWidth="1"/>
    <col min="9474" max="9474" width="70.44140625" style="38" bestFit="1" customWidth="1"/>
    <col min="9475" max="9475" width="11.44140625" style="38" customWidth="1"/>
    <col min="9476" max="9476" width="10.44140625" style="38" customWidth="1"/>
    <col min="9477" max="9477" width="13.109375" style="38" customWidth="1"/>
    <col min="9478" max="9478" width="14.109375" style="38" customWidth="1"/>
    <col min="9479" max="9479" width="12.33203125" style="38" customWidth="1"/>
    <col min="9480" max="9728" width="9.109375" style="38"/>
    <col min="9729" max="9729" width="8.109375" style="38" customWidth="1"/>
    <col min="9730" max="9730" width="70.44140625" style="38" bestFit="1" customWidth="1"/>
    <col min="9731" max="9731" width="11.44140625" style="38" customWidth="1"/>
    <col min="9732" max="9732" width="10.44140625" style="38" customWidth="1"/>
    <col min="9733" max="9733" width="13.109375" style="38" customWidth="1"/>
    <col min="9734" max="9734" width="14.109375" style="38" customWidth="1"/>
    <col min="9735" max="9735" width="12.33203125" style="38" customWidth="1"/>
    <col min="9736" max="9984" width="9.109375" style="38"/>
    <col min="9985" max="9985" width="8.109375" style="38" customWidth="1"/>
    <col min="9986" max="9986" width="70.44140625" style="38" bestFit="1" customWidth="1"/>
    <col min="9987" max="9987" width="11.44140625" style="38" customWidth="1"/>
    <col min="9988" max="9988" width="10.44140625" style="38" customWidth="1"/>
    <col min="9989" max="9989" width="13.109375" style="38" customWidth="1"/>
    <col min="9990" max="9990" width="14.109375" style="38" customWidth="1"/>
    <col min="9991" max="9991" width="12.33203125" style="38" customWidth="1"/>
    <col min="9992" max="10240" width="9.109375" style="38"/>
    <col min="10241" max="10241" width="8.109375" style="38" customWidth="1"/>
    <col min="10242" max="10242" width="70.44140625" style="38" bestFit="1" customWidth="1"/>
    <col min="10243" max="10243" width="11.44140625" style="38" customWidth="1"/>
    <col min="10244" max="10244" width="10.44140625" style="38" customWidth="1"/>
    <col min="10245" max="10245" width="13.109375" style="38" customWidth="1"/>
    <col min="10246" max="10246" width="14.109375" style="38" customWidth="1"/>
    <col min="10247" max="10247" width="12.33203125" style="38" customWidth="1"/>
    <col min="10248" max="10496" width="9.109375" style="38"/>
    <col min="10497" max="10497" width="8.109375" style="38" customWidth="1"/>
    <col min="10498" max="10498" width="70.44140625" style="38" bestFit="1" customWidth="1"/>
    <col min="10499" max="10499" width="11.44140625" style="38" customWidth="1"/>
    <col min="10500" max="10500" width="10.44140625" style="38" customWidth="1"/>
    <col min="10501" max="10501" width="13.109375" style="38" customWidth="1"/>
    <col min="10502" max="10502" width="14.109375" style="38" customWidth="1"/>
    <col min="10503" max="10503" width="12.33203125" style="38" customWidth="1"/>
    <col min="10504" max="10752" width="9.109375" style="38"/>
    <col min="10753" max="10753" width="8.109375" style="38" customWidth="1"/>
    <col min="10754" max="10754" width="70.44140625" style="38" bestFit="1" customWidth="1"/>
    <col min="10755" max="10755" width="11.44140625" style="38" customWidth="1"/>
    <col min="10756" max="10756" width="10.44140625" style="38" customWidth="1"/>
    <col min="10757" max="10757" width="13.109375" style="38" customWidth="1"/>
    <col min="10758" max="10758" width="14.109375" style="38" customWidth="1"/>
    <col min="10759" max="10759" width="12.33203125" style="38" customWidth="1"/>
    <col min="10760" max="11008" width="9.109375" style="38"/>
    <col min="11009" max="11009" width="8.109375" style="38" customWidth="1"/>
    <col min="11010" max="11010" width="70.44140625" style="38" bestFit="1" customWidth="1"/>
    <col min="11011" max="11011" width="11.44140625" style="38" customWidth="1"/>
    <col min="11012" max="11012" width="10.44140625" style="38" customWidth="1"/>
    <col min="11013" max="11013" width="13.109375" style="38" customWidth="1"/>
    <col min="11014" max="11014" width="14.109375" style="38" customWidth="1"/>
    <col min="11015" max="11015" width="12.33203125" style="38" customWidth="1"/>
    <col min="11016" max="11264" width="9.109375" style="38"/>
    <col min="11265" max="11265" width="8.109375" style="38" customWidth="1"/>
    <col min="11266" max="11266" width="70.44140625" style="38" bestFit="1" customWidth="1"/>
    <col min="11267" max="11267" width="11.44140625" style="38" customWidth="1"/>
    <col min="11268" max="11268" width="10.44140625" style="38" customWidth="1"/>
    <col min="11269" max="11269" width="13.109375" style="38" customWidth="1"/>
    <col min="11270" max="11270" width="14.109375" style="38" customWidth="1"/>
    <col min="11271" max="11271" width="12.33203125" style="38" customWidth="1"/>
    <col min="11272" max="11520" width="9.109375" style="38"/>
    <col min="11521" max="11521" width="8.109375" style="38" customWidth="1"/>
    <col min="11522" max="11522" width="70.44140625" style="38" bestFit="1" customWidth="1"/>
    <col min="11523" max="11523" width="11.44140625" style="38" customWidth="1"/>
    <col min="11524" max="11524" width="10.44140625" style="38" customWidth="1"/>
    <col min="11525" max="11525" width="13.109375" style="38" customWidth="1"/>
    <col min="11526" max="11526" width="14.109375" style="38" customWidth="1"/>
    <col min="11527" max="11527" width="12.33203125" style="38" customWidth="1"/>
    <col min="11528" max="11776" width="9.109375" style="38"/>
    <col min="11777" max="11777" width="8.109375" style="38" customWidth="1"/>
    <col min="11778" max="11778" width="70.44140625" style="38" bestFit="1" customWidth="1"/>
    <col min="11779" max="11779" width="11.44140625" style="38" customWidth="1"/>
    <col min="11780" max="11780" width="10.44140625" style="38" customWidth="1"/>
    <col min="11781" max="11781" width="13.109375" style="38" customWidth="1"/>
    <col min="11782" max="11782" width="14.109375" style="38" customWidth="1"/>
    <col min="11783" max="11783" width="12.33203125" style="38" customWidth="1"/>
    <col min="11784" max="12032" width="9.109375" style="38"/>
    <col min="12033" max="12033" width="8.109375" style="38" customWidth="1"/>
    <col min="12034" max="12034" width="70.44140625" style="38" bestFit="1" customWidth="1"/>
    <col min="12035" max="12035" width="11.44140625" style="38" customWidth="1"/>
    <col min="12036" max="12036" width="10.44140625" style="38" customWidth="1"/>
    <col min="12037" max="12037" width="13.109375" style="38" customWidth="1"/>
    <col min="12038" max="12038" width="14.109375" style="38" customWidth="1"/>
    <col min="12039" max="12039" width="12.33203125" style="38" customWidth="1"/>
    <col min="12040" max="12288" width="9.109375" style="38"/>
    <col min="12289" max="12289" width="8.109375" style="38" customWidth="1"/>
    <col min="12290" max="12290" width="70.44140625" style="38" bestFit="1" customWidth="1"/>
    <col min="12291" max="12291" width="11.44140625" style="38" customWidth="1"/>
    <col min="12292" max="12292" width="10.44140625" style="38" customWidth="1"/>
    <col min="12293" max="12293" width="13.109375" style="38" customWidth="1"/>
    <col min="12294" max="12294" width="14.109375" style="38" customWidth="1"/>
    <col min="12295" max="12295" width="12.33203125" style="38" customWidth="1"/>
    <col min="12296" max="12544" width="9.109375" style="38"/>
    <col min="12545" max="12545" width="8.109375" style="38" customWidth="1"/>
    <col min="12546" max="12546" width="70.44140625" style="38" bestFit="1" customWidth="1"/>
    <col min="12547" max="12547" width="11.44140625" style="38" customWidth="1"/>
    <col min="12548" max="12548" width="10.44140625" style="38" customWidth="1"/>
    <col min="12549" max="12549" width="13.109375" style="38" customWidth="1"/>
    <col min="12550" max="12550" width="14.109375" style="38" customWidth="1"/>
    <col min="12551" max="12551" width="12.33203125" style="38" customWidth="1"/>
    <col min="12552" max="12800" width="9.109375" style="38"/>
    <col min="12801" max="12801" width="8.109375" style="38" customWidth="1"/>
    <col min="12802" max="12802" width="70.44140625" style="38" bestFit="1" customWidth="1"/>
    <col min="12803" max="12803" width="11.44140625" style="38" customWidth="1"/>
    <col min="12804" max="12804" width="10.44140625" style="38" customWidth="1"/>
    <col min="12805" max="12805" width="13.109375" style="38" customWidth="1"/>
    <col min="12806" max="12806" width="14.109375" style="38" customWidth="1"/>
    <col min="12807" max="12807" width="12.33203125" style="38" customWidth="1"/>
    <col min="12808" max="13056" width="9.109375" style="38"/>
    <col min="13057" max="13057" width="8.109375" style="38" customWidth="1"/>
    <col min="13058" max="13058" width="70.44140625" style="38" bestFit="1" customWidth="1"/>
    <col min="13059" max="13059" width="11.44140625" style="38" customWidth="1"/>
    <col min="13060" max="13060" width="10.44140625" style="38" customWidth="1"/>
    <col min="13061" max="13061" width="13.109375" style="38" customWidth="1"/>
    <col min="13062" max="13062" width="14.109375" style="38" customWidth="1"/>
    <col min="13063" max="13063" width="12.33203125" style="38" customWidth="1"/>
    <col min="13064" max="13312" width="9.109375" style="38"/>
    <col min="13313" max="13313" width="8.109375" style="38" customWidth="1"/>
    <col min="13314" max="13314" width="70.44140625" style="38" bestFit="1" customWidth="1"/>
    <col min="13315" max="13315" width="11.44140625" style="38" customWidth="1"/>
    <col min="13316" max="13316" width="10.44140625" style="38" customWidth="1"/>
    <col min="13317" max="13317" width="13.109375" style="38" customWidth="1"/>
    <col min="13318" max="13318" width="14.109375" style="38" customWidth="1"/>
    <col min="13319" max="13319" width="12.33203125" style="38" customWidth="1"/>
    <col min="13320" max="13568" width="9.109375" style="38"/>
    <col min="13569" max="13569" width="8.109375" style="38" customWidth="1"/>
    <col min="13570" max="13570" width="70.44140625" style="38" bestFit="1" customWidth="1"/>
    <col min="13571" max="13571" width="11.44140625" style="38" customWidth="1"/>
    <col min="13572" max="13572" width="10.44140625" style="38" customWidth="1"/>
    <col min="13573" max="13573" width="13.109375" style="38" customWidth="1"/>
    <col min="13574" max="13574" width="14.109375" style="38" customWidth="1"/>
    <col min="13575" max="13575" width="12.33203125" style="38" customWidth="1"/>
    <col min="13576" max="13824" width="9.109375" style="38"/>
    <col min="13825" max="13825" width="8.109375" style="38" customWidth="1"/>
    <col min="13826" max="13826" width="70.44140625" style="38" bestFit="1" customWidth="1"/>
    <col min="13827" max="13827" width="11.44140625" style="38" customWidth="1"/>
    <col min="13828" max="13828" width="10.44140625" style="38" customWidth="1"/>
    <col min="13829" max="13829" width="13.109375" style="38" customWidth="1"/>
    <col min="13830" max="13830" width="14.109375" style="38" customWidth="1"/>
    <col min="13831" max="13831" width="12.33203125" style="38" customWidth="1"/>
    <col min="13832" max="14080" width="9.109375" style="38"/>
    <col min="14081" max="14081" width="8.109375" style="38" customWidth="1"/>
    <col min="14082" max="14082" width="70.44140625" style="38" bestFit="1" customWidth="1"/>
    <col min="14083" max="14083" width="11.44140625" style="38" customWidth="1"/>
    <col min="14084" max="14084" width="10.44140625" style="38" customWidth="1"/>
    <col min="14085" max="14085" width="13.109375" style="38" customWidth="1"/>
    <col min="14086" max="14086" width="14.109375" style="38" customWidth="1"/>
    <col min="14087" max="14087" width="12.33203125" style="38" customWidth="1"/>
    <col min="14088" max="14336" width="9.109375" style="38"/>
    <col min="14337" max="14337" width="8.109375" style="38" customWidth="1"/>
    <col min="14338" max="14338" width="70.44140625" style="38" bestFit="1" customWidth="1"/>
    <col min="14339" max="14339" width="11.44140625" style="38" customWidth="1"/>
    <col min="14340" max="14340" width="10.44140625" style="38" customWidth="1"/>
    <col min="14341" max="14341" width="13.109375" style="38" customWidth="1"/>
    <col min="14342" max="14342" width="14.109375" style="38" customWidth="1"/>
    <col min="14343" max="14343" width="12.33203125" style="38" customWidth="1"/>
    <col min="14344" max="14592" width="9.109375" style="38"/>
    <col min="14593" max="14593" width="8.109375" style="38" customWidth="1"/>
    <col min="14594" max="14594" width="70.44140625" style="38" bestFit="1" customWidth="1"/>
    <col min="14595" max="14595" width="11.44140625" style="38" customWidth="1"/>
    <col min="14596" max="14596" width="10.44140625" style="38" customWidth="1"/>
    <col min="14597" max="14597" width="13.109375" style="38" customWidth="1"/>
    <col min="14598" max="14598" width="14.109375" style="38" customWidth="1"/>
    <col min="14599" max="14599" width="12.33203125" style="38" customWidth="1"/>
    <col min="14600" max="14848" width="9.109375" style="38"/>
    <col min="14849" max="14849" width="8.109375" style="38" customWidth="1"/>
    <col min="14850" max="14850" width="70.44140625" style="38" bestFit="1" customWidth="1"/>
    <col min="14851" max="14851" width="11.44140625" style="38" customWidth="1"/>
    <col min="14852" max="14852" width="10.44140625" style="38" customWidth="1"/>
    <col min="14853" max="14853" width="13.109375" style="38" customWidth="1"/>
    <col min="14854" max="14854" width="14.109375" style="38" customWidth="1"/>
    <col min="14855" max="14855" width="12.33203125" style="38" customWidth="1"/>
    <col min="14856" max="15104" width="9.109375" style="38"/>
    <col min="15105" max="15105" width="8.109375" style="38" customWidth="1"/>
    <col min="15106" max="15106" width="70.44140625" style="38" bestFit="1" customWidth="1"/>
    <col min="15107" max="15107" width="11.44140625" style="38" customWidth="1"/>
    <col min="15108" max="15108" width="10.44140625" style="38" customWidth="1"/>
    <col min="15109" max="15109" width="13.109375" style="38" customWidth="1"/>
    <col min="15110" max="15110" width="14.109375" style="38" customWidth="1"/>
    <col min="15111" max="15111" width="12.33203125" style="38" customWidth="1"/>
    <col min="15112" max="15360" width="9.109375" style="38"/>
    <col min="15361" max="15361" width="8.109375" style="38" customWidth="1"/>
    <col min="15362" max="15362" width="70.44140625" style="38" bestFit="1" customWidth="1"/>
    <col min="15363" max="15363" width="11.44140625" style="38" customWidth="1"/>
    <col min="15364" max="15364" width="10.44140625" style="38" customWidth="1"/>
    <col min="15365" max="15365" width="13.109375" style="38" customWidth="1"/>
    <col min="15366" max="15366" width="14.109375" style="38" customWidth="1"/>
    <col min="15367" max="15367" width="12.33203125" style="38" customWidth="1"/>
    <col min="15368" max="15616" width="9.109375" style="38"/>
    <col min="15617" max="15617" width="8.109375" style="38" customWidth="1"/>
    <col min="15618" max="15618" width="70.44140625" style="38" bestFit="1" customWidth="1"/>
    <col min="15619" max="15619" width="11.44140625" style="38" customWidth="1"/>
    <col min="15620" max="15620" width="10.44140625" style="38" customWidth="1"/>
    <col min="15621" max="15621" width="13.109375" style="38" customWidth="1"/>
    <col min="15622" max="15622" width="14.109375" style="38" customWidth="1"/>
    <col min="15623" max="15623" width="12.33203125" style="38" customWidth="1"/>
    <col min="15624" max="15872" width="9.109375" style="38"/>
    <col min="15873" max="15873" width="8.109375" style="38" customWidth="1"/>
    <col min="15874" max="15874" width="70.44140625" style="38" bestFit="1" customWidth="1"/>
    <col min="15875" max="15875" width="11.44140625" style="38" customWidth="1"/>
    <col min="15876" max="15876" width="10.44140625" style="38" customWidth="1"/>
    <col min="15877" max="15877" width="13.109375" style="38" customWidth="1"/>
    <col min="15878" max="15878" width="14.109375" style="38" customWidth="1"/>
    <col min="15879" max="15879" width="12.33203125" style="38" customWidth="1"/>
    <col min="15880" max="16128" width="9.109375" style="38"/>
    <col min="16129" max="16129" width="8.109375" style="38" customWidth="1"/>
    <col min="16130" max="16130" width="70.44140625" style="38" bestFit="1" customWidth="1"/>
    <col min="16131" max="16131" width="11.44140625" style="38" customWidth="1"/>
    <col min="16132" max="16132" width="10.44140625" style="38" customWidth="1"/>
    <col min="16133" max="16133" width="13.109375" style="38" customWidth="1"/>
    <col min="16134" max="16134" width="14.109375" style="38" customWidth="1"/>
    <col min="16135" max="16135" width="12.33203125" style="38" customWidth="1"/>
    <col min="16136" max="16384" width="9.109375" style="38"/>
  </cols>
  <sheetData>
    <row r="1" spans="1:11" x14ac:dyDescent="0.2">
      <c r="A1" s="42"/>
      <c r="C1" s="42"/>
      <c r="D1" s="42"/>
      <c r="E1" s="44"/>
      <c r="F1" s="44"/>
    </row>
    <row r="2" spans="1:11" x14ac:dyDescent="0.2">
      <c r="A2" s="42"/>
      <c r="C2" s="42"/>
      <c r="D2" s="42"/>
      <c r="E2" s="44"/>
      <c r="F2" s="44"/>
    </row>
    <row r="3" spans="1:11" x14ac:dyDescent="0.2">
      <c r="A3" s="42"/>
      <c r="B3" s="568" t="s">
        <v>1160</v>
      </c>
      <c r="C3" s="568"/>
      <c r="D3" s="568"/>
      <c r="E3" s="568"/>
      <c r="F3" s="568"/>
    </row>
    <row r="4" spans="1:11" ht="10.8" thickBot="1" x14ac:dyDescent="0.25">
      <c r="A4" s="42"/>
      <c r="C4" s="42"/>
      <c r="D4" s="42"/>
      <c r="E4" s="44"/>
      <c r="F4" s="44"/>
    </row>
    <row r="5" spans="1:11" ht="13.95" customHeight="1" thickBot="1" x14ac:dyDescent="0.3">
      <c r="A5" s="42"/>
      <c r="B5" s="544" t="s">
        <v>1161</v>
      </c>
      <c r="C5" s="545"/>
      <c r="D5" s="545"/>
      <c r="E5" s="545"/>
      <c r="F5" s="545"/>
      <c r="G5" s="100"/>
    </row>
    <row r="6" spans="1:11" ht="10.8" thickBot="1" x14ac:dyDescent="0.25">
      <c r="A6" s="42"/>
      <c r="B6" s="87" t="s">
        <v>1162</v>
      </c>
      <c r="C6" s="103" t="s">
        <v>1163</v>
      </c>
      <c r="D6" s="103" t="s">
        <v>229</v>
      </c>
      <c r="E6" s="103" t="s">
        <v>118</v>
      </c>
      <c r="F6" s="111" t="s">
        <v>1164</v>
      </c>
      <c r="G6" s="90"/>
    </row>
    <row r="7" spans="1:11" x14ac:dyDescent="0.2">
      <c r="A7" s="42"/>
      <c r="B7" s="113" t="s">
        <v>1165</v>
      </c>
      <c r="C7" s="115" t="s">
        <v>1166</v>
      </c>
      <c r="D7" s="208" t="s">
        <v>1167</v>
      </c>
      <c r="E7" s="88"/>
      <c r="F7" s="89"/>
      <c r="K7" s="85"/>
    </row>
    <row r="8" spans="1:11" x14ac:dyDescent="0.2">
      <c r="A8" s="42" t="s">
        <v>1168</v>
      </c>
      <c r="B8" s="113" t="s">
        <v>1169</v>
      </c>
      <c r="C8" s="115">
        <v>1</v>
      </c>
      <c r="D8" s="88"/>
      <c r="E8" s="88"/>
      <c r="F8" s="89"/>
      <c r="K8" s="85"/>
    </row>
    <row r="9" spans="1:11" hidden="1" x14ac:dyDescent="0.2">
      <c r="A9" s="42"/>
      <c r="B9" s="90" t="s">
        <v>1170</v>
      </c>
      <c r="C9" s="110" t="s">
        <v>1171</v>
      </c>
      <c r="D9" s="91"/>
      <c r="E9" s="92"/>
      <c r="F9" s="93"/>
      <c r="G9" s="85"/>
    </row>
    <row r="10" spans="1:11" hidden="1" x14ac:dyDescent="0.2">
      <c r="A10" s="42"/>
      <c r="B10" s="90" t="s">
        <v>1172</v>
      </c>
      <c r="C10" s="110" t="s">
        <v>1171</v>
      </c>
      <c r="D10" s="91"/>
      <c r="E10" s="92"/>
      <c r="F10" s="93"/>
      <c r="G10" s="85"/>
    </row>
    <row r="11" spans="1:11" hidden="1" x14ac:dyDescent="0.2">
      <c r="A11" s="42"/>
      <c r="B11" s="90" t="s">
        <v>1173</v>
      </c>
      <c r="C11" s="110" t="s">
        <v>1171</v>
      </c>
      <c r="D11" s="91"/>
      <c r="E11" s="92"/>
      <c r="F11" s="93"/>
      <c r="G11" s="85"/>
    </row>
    <row r="12" spans="1:11" hidden="1" x14ac:dyDescent="0.2">
      <c r="A12" s="42"/>
      <c r="B12" s="90" t="s">
        <v>1174</v>
      </c>
      <c r="C12" s="110" t="s">
        <v>1171</v>
      </c>
      <c r="D12" s="91"/>
      <c r="E12" s="92"/>
      <c r="F12" s="93"/>
      <c r="G12" s="85"/>
    </row>
    <row r="13" spans="1:11" hidden="1" x14ac:dyDescent="0.2">
      <c r="A13" s="42"/>
      <c r="B13" s="90" t="s">
        <v>1175</v>
      </c>
      <c r="C13" s="110" t="s">
        <v>1171</v>
      </c>
      <c r="D13" s="91"/>
      <c r="E13" s="92"/>
      <c r="F13" s="93"/>
      <c r="G13" s="85"/>
    </row>
    <row r="14" spans="1:11" hidden="1" x14ac:dyDescent="0.2">
      <c r="A14" s="42"/>
      <c r="B14" s="90" t="s">
        <v>1176</v>
      </c>
      <c r="C14" s="110" t="s">
        <v>1171</v>
      </c>
      <c r="D14" s="91"/>
      <c r="E14" s="92"/>
      <c r="F14" s="93"/>
      <c r="G14" s="85"/>
    </row>
    <row r="15" spans="1:11" hidden="1" x14ac:dyDescent="0.2">
      <c r="A15" s="42"/>
      <c r="B15" s="90"/>
      <c r="C15" s="91"/>
      <c r="D15" s="91"/>
      <c r="E15" s="92"/>
      <c r="F15" s="93"/>
      <c r="G15" s="85"/>
    </row>
    <row r="16" spans="1:11" hidden="1" x14ac:dyDescent="0.2">
      <c r="A16" s="42"/>
      <c r="B16" s="90"/>
      <c r="C16" s="103" t="s">
        <v>1163</v>
      </c>
      <c r="D16" s="103" t="s">
        <v>229</v>
      </c>
      <c r="E16" s="103" t="s">
        <v>118</v>
      </c>
      <c r="F16" s="111" t="s">
        <v>1164</v>
      </c>
      <c r="G16" s="85"/>
    </row>
    <row r="17" spans="1:11" hidden="1" x14ac:dyDescent="0.2">
      <c r="A17" s="42"/>
      <c r="B17" s="94" t="s">
        <v>1177</v>
      </c>
      <c r="C17" s="91">
        <f>D17/7</f>
        <v>112.85714285714286</v>
      </c>
      <c r="D17" s="92">
        <v>790</v>
      </c>
      <c r="E17" s="91">
        <f>D17*4</f>
        <v>3160</v>
      </c>
      <c r="F17" s="93">
        <f>E17*3</f>
        <v>9480</v>
      </c>
      <c r="G17" s="85"/>
      <c r="H17" s="85"/>
    </row>
    <row r="18" spans="1:11" hidden="1" x14ac:dyDescent="0.2">
      <c r="A18" s="42"/>
      <c r="B18" s="94"/>
      <c r="C18" s="91"/>
      <c r="D18" s="92"/>
      <c r="E18" s="91"/>
      <c r="F18" s="93"/>
      <c r="G18" s="85"/>
    </row>
    <row r="19" spans="1:11" hidden="1" x14ac:dyDescent="0.2">
      <c r="A19" s="42"/>
      <c r="B19" s="112" t="s">
        <v>1178</v>
      </c>
      <c r="C19" s="91">
        <f>D19/7</f>
        <v>0</v>
      </c>
      <c r="D19" s="92">
        <v>0</v>
      </c>
      <c r="E19" s="91">
        <f>D19*4</f>
        <v>0</v>
      </c>
      <c r="F19" s="93">
        <f>E19*3</f>
        <v>0</v>
      </c>
      <c r="G19" s="85"/>
    </row>
    <row r="20" spans="1:11" hidden="1" x14ac:dyDescent="0.2">
      <c r="A20" s="42"/>
      <c r="B20" s="112" t="s">
        <v>1179</v>
      </c>
      <c r="C20" s="91">
        <f t="shared" ref="C20:C23" si="0">D20/7</f>
        <v>0</v>
      </c>
      <c r="D20" s="92">
        <v>0</v>
      </c>
      <c r="E20" s="91">
        <f t="shared" ref="E20:E23" si="1">D20*4</f>
        <v>0</v>
      </c>
      <c r="F20" s="93">
        <f t="shared" ref="F20:F23" si="2">E20*3</f>
        <v>0</v>
      </c>
      <c r="G20" s="85"/>
    </row>
    <row r="21" spans="1:11" hidden="1" x14ac:dyDescent="0.2">
      <c r="A21" s="42"/>
      <c r="B21" s="112" t="s">
        <v>1180</v>
      </c>
      <c r="C21" s="91">
        <f t="shared" si="0"/>
        <v>0</v>
      </c>
      <c r="D21" s="92">
        <v>0</v>
      </c>
      <c r="E21" s="91">
        <f t="shared" si="1"/>
        <v>0</v>
      </c>
      <c r="F21" s="93">
        <f t="shared" si="2"/>
        <v>0</v>
      </c>
      <c r="G21" s="85"/>
    </row>
    <row r="22" spans="1:11" hidden="1" x14ac:dyDescent="0.2">
      <c r="A22" s="42"/>
      <c r="B22" s="112" t="s">
        <v>1181</v>
      </c>
      <c r="C22" s="91">
        <f t="shared" si="0"/>
        <v>0</v>
      </c>
      <c r="D22" s="92">
        <v>0</v>
      </c>
      <c r="E22" s="91">
        <f t="shared" si="1"/>
        <v>0</v>
      </c>
      <c r="F22" s="93">
        <f t="shared" si="2"/>
        <v>0</v>
      </c>
      <c r="G22" s="85"/>
    </row>
    <row r="23" spans="1:11" hidden="1" x14ac:dyDescent="0.2">
      <c r="A23" s="42"/>
      <c r="B23" s="112" t="s">
        <v>1182</v>
      </c>
      <c r="C23" s="91">
        <f t="shared" si="0"/>
        <v>0</v>
      </c>
      <c r="D23" s="92">
        <v>0</v>
      </c>
      <c r="E23" s="91">
        <f t="shared" si="1"/>
        <v>0</v>
      </c>
      <c r="F23" s="93">
        <f t="shared" si="2"/>
        <v>0</v>
      </c>
      <c r="G23" s="85"/>
    </row>
    <row r="24" spans="1:11" hidden="1" x14ac:dyDescent="0.2">
      <c r="A24" s="42"/>
      <c r="B24" s="112"/>
      <c r="C24" s="91"/>
      <c r="D24" s="92"/>
      <c r="E24" s="91"/>
      <c r="F24" s="93"/>
      <c r="G24" s="85"/>
    </row>
    <row r="25" spans="1:11" x14ac:dyDescent="0.2">
      <c r="A25" s="42"/>
      <c r="B25" s="94" t="s">
        <v>1183</v>
      </c>
      <c r="C25" s="92">
        <f>SUM(C17:C24)</f>
        <v>112.85714285714286</v>
      </c>
      <c r="D25" s="92">
        <f>SUM(D17:D24)</f>
        <v>790</v>
      </c>
      <c r="E25" s="92">
        <f>SUM(E17:E24)</f>
        <v>3160</v>
      </c>
      <c r="F25" s="92">
        <f>SUM(F17:F24)</f>
        <v>9480</v>
      </c>
      <c r="G25" s="106"/>
    </row>
    <row r="26" spans="1:11" x14ac:dyDescent="0.2">
      <c r="A26" s="42"/>
      <c r="B26" s="94" t="s">
        <v>1184</v>
      </c>
      <c r="C26" s="91">
        <f>D26/7</f>
        <v>112.85714285714286</v>
      </c>
      <c r="D26" s="92">
        <f>D17/C8</f>
        <v>790</v>
      </c>
      <c r="E26" s="91">
        <f>D26*4</f>
        <v>3160</v>
      </c>
      <c r="F26" s="93">
        <f>E26*3</f>
        <v>9480</v>
      </c>
      <c r="G26" s="85"/>
    </row>
    <row r="27" spans="1:11" ht="10.8" thickBot="1" x14ac:dyDescent="0.25">
      <c r="A27" s="42"/>
      <c r="B27" s="116"/>
      <c r="C27" s="95"/>
      <c r="D27" s="95"/>
      <c r="E27" s="92"/>
      <c r="F27" s="97"/>
      <c r="G27" s="85"/>
    </row>
    <row r="28" spans="1:11" x14ac:dyDescent="0.2">
      <c r="A28" s="42"/>
      <c r="B28" s="267" t="s">
        <v>1165</v>
      </c>
      <c r="C28" s="268" t="s">
        <v>1166</v>
      </c>
      <c r="D28" s="269" t="s">
        <v>1185</v>
      </c>
      <c r="E28" s="270"/>
      <c r="F28" s="271"/>
      <c r="K28" s="85"/>
    </row>
    <row r="29" spans="1:11" x14ac:dyDescent="0.2">
      <c r="A29" s="42" t="s">
        <v>1168</v>
      </c>
      <c r="B29" s="113" t="s">
        <v>1169</v>
      </c>
      <c r="C29" s="115">
        <v>2</v>
      </c>
      <c r="D29" s="88"/>
      <c r="E29" s="88"/>
      <c r="F29" s="89"/>
      <c r="K29" s="85"/>
    </row>
    <row r="30" spans="1:11" hidden="1" x14ac:dyDescent="0.2">
      <c r="A30" s="42"/>
      <c r="B30" s="100"/>
      <c r="C30" s="88"/>
      <c r="D30" s="88"/>
      <c r="E30" s="88"/>
      <c r="F30" s="89"/>
      <c r="K30" s="85"/>
    </row>
    <row r="31" spans="1:11" hidden="1" x14ac:dyDescent="0.2">
      <c r="A31" s="42"/>
      <c r="B31" s="90" t="s">
        <v>1170</v>
      </c>
      <c r="C31" s="110" t="s">
        <v>1171</v>
      </c>
      <c r="D31" s="91"/>
      <c r="E31" s="92"/>
      <c r="F31" s="93"/>
      <c r="G31" s="85"/>
    </row>
    <row r="32" spans="1:11" hidden="1" x14ac:dyDescent="0.2">
      <c r="A32" s="42"/>
      <c r="B32" s="90" t="s">
        <v>1172</v>
      </c>
      <c r="C32" s="110" t="s">
        <v>1171</v>
      </c>
      <c r="D32" s="91"/>
      <c r="E32" s="92"/>
      <c r="F32" s="93"/>
      <c r="G32" s="85"/>
    </row>
    <row r="33" spans="1:7" hidden="1" x14ac:dyDescent="0.2">
      <c r="A33" s="42"/>
      <c r="B33" s="90" t="s">
        <v>1173</v>
      </c>
      <c r="C33" s="117" t="s">
        <v>1186</v>
      </c>
      <c r="D33" s="117" t="s">
        <v>1187</v>
      </c>
      <c r="E33" s="92"/>
      <c r="F33" s="93"/>
      <c r="G33" s="85"/>
    </row>
    <row r="34" spans="1:7" hidden="1" x14ac:dyDescent="0.2">
      <c r="A34" s="42"/>
      <c r="B34" s="90" t="s">
        <v>1174</v>
      </c>
      <c r="C34" s="117" t="s">
        <v>1186</v>
      </c>
      <c r="D34" s="117" t="s">
        <v>1187</v>
      </c>
      <c r="E34" s="92"/>
      <c r="F34" s="93"/>
      <c r="G34" s="85"/>
    </row>
    <row r="35" spans="1:7" hidden="1" x14ac:dyDescent="0.2">
      <c r="A35" s="42"/>
      <c r="B35" s="90" t="s">
        <v>1175</v>
      </c>
      <c r="C35" s="110" t="s">
        <v>1171</v>
      </c>
      <c r="D35" s="91"/>
      <c r="E35" s="92"/>
      <c r="F35" s="93"/>
      <c r="G35" s="85"/>
    </row>
    <row r="36" spans="1:7" hidden="1" x14ac:dyDescent="0.2">
      <c r="A36" s="42"/>
      <c r="B36" s="90" t="s">
        <v>1176</v>
      </c>
      <c r="C36" s="110" t="s">
        <v>1171</v>
      </c>
      <c r="D36" s="91"/>
      <c r="E36" s="92"/>
      <c r="F36" s="93"/>
      <c r="G36" s="85"/>
    </row>
    <row r="37" spans="1:7" hidden="1" x14ac:dyDescent="0.2">
      <c r="A37" s="42"/>
      <c r="B37" s="90"/>
      <c r="C37" s="91"/>
      <c r="D37" s="91"/>
      <c r="E37" s="92"/>
      <c r="F37" s="93"/>
      <c r="G37" s="85"/>
    </row>
    <row r="38" spans="1:7" hidden="1" x14ac:dyDescent="0.2">
      <c r="A38" s="42"/>
      <c r="B38" s="90"/>
      <c r="C38" s="103" t="s">
        <v>1163</v>
      </c>
      <c r="D38" s="103" t="s">
        <v>229</v>
      </c>
      <c r="E38" s="103" t="s">
        <v>118</v>
      </c>
      <c r="F38" s="111" t="s">
        <v>1164</v>
      </c>
      <c r="G38" s="85"/>
    </row>
    <row r="39" spans="1:7" hidden="1" x14ac:dyDescent="0.2">
      <c r="A39" s="42"/>
      <c r="B39" s="94" t="s">
        <v>1177</v>
      </c>
      <c r="C39" s="91">
        <f>D39/7</f>
        <v>101.42857142857143</v>
      </c>
      <c r="D39" s="92">
        <v>710</v>
      </c>
      <c r="E39" s="91">
        <f>D39*4</f>
        <v>2840</v>
      </c>
      <c r="F39" s="93">
        <f>E39*3</f>
        <v>8520</v>
      </c>
      <c r="G39" s="85"/>
    </row>
    <row r="40" spans="1:7" hidden="1" x14ac:dyDescent="0.2">
      <c r="A40" s="42"/>
      <c r="B40" s="94"/>
      <c r="C40" s="91"/>
      <c r="D40" s="92"/>
      <c r="E40" s="91"/>
      <c r="F40" s="93"/>
      <c r="G40" s="85"/>
    </row>
    <row r="41" spans="1:7" hidden="1" x14ac:dyDescent="0.2">
      <c r="A41" s="42"/>
      <c r="B41" s="112" t="s">
        <v>1178</v>
      </c>
      <c r="C41" s="91">
        <f>D41/7</f>
        <v>0</v>
      </c>
      <c r="D41" s="92">
        <v>0</v>
      </c>
      <c r="E41" s="91">
        <f>D41*4</f>
        <v>0</v>
      </c>
      <c r="F41" s="93">
        <f>E41*3</f>
        <v>0</v>
      </c>
      <c r="G41" s="85"/>
    </row>
    <row r="42" spans="1:7" hidden="1" x14ac:dyDescent="0.2">
      <c r="A42" s="42"/>
      <c r="B42" s="112" t="s">
        <v>1179</v>
      </c>
      <c r="C42" s="91">
        <f t="shared" ref="C42:C45" si="3">D42/7</f>
        <v>0</v>
      </c>
      <c r="D42" s="92">
        <v>0</v>
      </c>
      <c r="E42" s="91">
        <f t="shared" ref="E42:E45" si="4">D42*4</f>
        <v>0</v>
      </c>
      <c r="F42" s="93">
        <f t="shared" ref="F42:F45" si="5">E42*3</f>
        <v>0</v>
      </c>
      <c r="G42" s="85"/>
    </row>
    <row r="43" spans="1:7" hidden="1" x14ac:dyDescent="0.2">
      <c r="A43" s="42"/>
      <c r="B43" s="112" t="s">
        <v>1180</v>
      </c>
      <c r="C43" s="91">
        <f t="shared" si="3"/>
        <v>0</v>
      </c>
      <c r="D43" s="92">
        <v>0</v>
      </c>
      <c r="E43" s="91">
        <f t="shared" si="4"/>
        <v>0</v>
      </c>
      <c r="F43" s="93">
        <f t="shared" si="5"/>
        <v>0</v>
      </c>
      <c r="G43" s="85"/>
    </row>
    <row r="44" spans="1:7" hidden="1" x14ac:dyDescent="0.2">
      <c r="A44" s="42"/>
      <c r="B44" s="112" t="s">
        <v>1181</v>
      </c>
      <c r="C44" s="91">
        <f t="shared" si="3"/>
        <v>0</v>
      </c>
      <c r="D44" s="92">
        <v>0</v>
      </c>
      <c r="E44" s="91">
        <f t="shared" si="4"/>
        <v>0</v>
      </c>
      <c r="F44" s="93">
        <f t="shared" si="5"/>
        <v>0</v>
      </c>
      <c r="G44" s="85"/>
    </row>
    <row r="45" spans="1:7" hidden="1" x14ac:dyDescent="0.2">
      <c r="A45" s="42"/>
      <c r="B45" s="112" t="s">
        <v>1182</v>
      </c>
      <c r="C45" s="91">
        <f t="shared" si="3"/>
        <v>0</v>
      </c>
      <c r="D45" s="92">
        <v>0</v>
      </c>
      <c r="E45" s="91">
        <f t="shared" si="4"/>
        <v>0</v>
      </c>
      <c r="F45" s="93">
        <f t="shared" si="5"/>
        <v>0</v>
      </c>
      <c r="G45" s="85"/>
    </row>
    <row r="46" spans="1:7" hidden="1" x14ac:dyDescent="0.2">
      <c r="A46" s="42"/>
      <c r="B46" s="112"/>
      <c r="C46" s="91"/>
      <c r="D46" s="92"/>
      <c r="E46" s="91"/>
      <c r="F46" s="93"/>
      <c r="G46" s="85"/>
    </row>
    <row r="47" spans="1:7" x14ac:dyDescent="0.2">
      <c r="A47" s="42"/>
      <c r="B47" s="94" t="s">
        <v>1183</v>
      </c>
      <c r="C47" s="92">
        <f>SUM(C39:C46)</f>
        <v>101.42857142857143</v>
      </c>
      <c r="D47" s="92">
        <f>SUM(D39:D46)</f>
        <v>710</v>
      </c>
      <c r="E47" s="92">
        <f>SUM(E39:E46)</f>
        <v>2840</v>
      </c>
      <c r="F47" s="92">
        <f>SUM(F39:F46)</f>
        <v>8520</v>
      </c>
      <c r="G47" s="106"/>
    </row>
    <row r="48" spans="1:7" x14ac:dyDescent="0.2">
      <c r="A48" s="42"/>
      <c r="B48" s="94" t="s">
        <v>1184</v>
      </c>
      <c r="C48" s="91">
        <f>D48/7</f>
        <v>50.714285714285715</v>
      </c>
      <c r="D48" s="92">
        <f>D39/C29</f>
        <v>355</v>
      </c>
      <c r="E48" s="91">
        <f>D48*4</f>
        <v>1420</v>
      </c>
      <c r="F48" s="93">
        <f>E48*3</f>
        <v>4260</v>
      </c>
      <c r="G48" s="85"/>
    </row>
    <row r="49" spans="1:11" ht="10.8" thickBot="1" x14ac:dyDescent="0.25">
      <c r="A49" s="42"/>
      <c r="B49" s="112"/>
      <c r="C49" s="91"/>
      <c r="D49" s="96"/>
      <c r="E49" s="91"/>
      <c r="F49" s="93"/>
      <c r="G49" s="85"/>
    </row>
    <row r="50" spans="1:11" x14ac:dyDescent="0.2">
      <c r="A50" s="42"/>
      <c r="B50" s="272" t="s">
        <v>1165</v>
      </c>
      <c r="C50" s="268" t="s">
        <v>1166</v>
      </c>
      <c r="D50" s="269" t="s">
        <v>1185</v>
      </c>
      <c r="E50" s="270"/>
      <c r="F50" s="273"/>
      <c r="K50" s="85"/>
    </row>
    <row r="51" spans="1:11" x14ac:dyDescent="0.2">
      <c r="A51" s="42" t="s">
        <v>1168</v>
      </c>
      <c r="B51" s="113" t="s">
        <v>1169</v>
      </c>
      <c r="C51" s="115">
        <v>3</v>
      </c>
      <c r="D51" s="88"/>
      <c r="E51" s="88"/>
      <c r="F51" s="89"/>
      <c r="K51" s="85"/>
    </row>
    <row r="52" spans="1:11" hidden="1" x14ac:dyDescent="0.2">
      <c r="A52" s="42"/>
      <c r="B52" s="100"/>
      <c r="C52" s="88"/>
      <c r="D52" s="88"/>
      <c r="E52" s="88"/>
      <c r="F52" s="89"/>
      <c r="K52" s="85"/>
    </row>
    <row r="53" spans="1:11" hidden="1" x14ac:dyDescent="0.2">
      <c r="A53" s="42"/>
      <c r="B53" s="90" t="s">
        <v>1170</v>
      </c>
      <c r="C53" s="110" t="s">
        <v>1171</v>
      </c>
      <c r="D53" s="91"/>
      <c r="E53" s="92"/>
      <c r="F53" s="93"/>
      <c r="G53" s="85"/>
    </row>
    <row r="54" spans="1:11" hidden="1" x14ac:dyDescent="0.2">
      <c r="A54" s="42"/>
      <c r="B54" s="90" t="s">
        <v>1172</v>
      </c>
      <c r="C54" s="110" t="s">
        <v>1171</v>
      </c>
      <c r="D54" s="91"/>
      <c r="E54" s="92"/>
      <c r="F54" s="93"/>
      <c r="G54" s="85"/>
    </row>
    <row r="55" spans="1:11" hidden="1" x14ac:dyDescent="0.2">
      <c r="A55" s="42"/>
      <c r="B55" s="90" t="s">
        <v>1173</v>
      </c>
      <c r="C55" s="117" t="s">
        <v>1186</v>
      </c>
      <c r="D55" s="117" t="s">
        <v>1187</v>
      </c>
      <c r="E55" s="92"/>
      <c r="F55" s="93"/>
      <c r="G55" s="85"/>
    </row>
    <row r="56" spans="1:11" hidden="1" x14ac:dyDescent="0.2">
      <c r="A56" s="42"/>
      <c r="B56" s="90" t="s">
        <v>1174</v>
      </c>
      <c r="C56" s="117" t="s">
        <v>1186</v>
      </c>
      <c r="D56" s="117" t="s">
        <v>1187</v>
      </c>
      <c r="E56" s="92"/>
      <c r="F56" s="93"/>
      <c r="G56" s="85"/>
    </row>
    <row r="57" spans="1:11" hidden="1" x14ac:dyDescent="0.2">
      <c r="A57" s="42"/>
      <c r="B57" s="90" t="s">
        <v>1175</v>
      </c>
      <c r="C57" s="110" t="s">
        <v>1171</v>
      </c>
      <c r="D57" s="91"/>
      <c r="E57" s="92"/>
      <c r="F57" s="93"/>
      <c r="G57" s="85"/>
    </row>
    <row r="58" spans="1:11" hidden="1" x14ac:dyDescent="0.2">
      <c r="A58" s="42"/>
      <c r="B58" s="90" t="s">
        <v>1176</v>
      </c>
      <c r="C58" s="110" t="s">
        <v>1171</v>
      </c>
      <c r="D58" s="91"/>
      <c r="E58" s="92"/>
      <c r="F58" s="93"/>
      <c r="G58" s="85"/>
    </row>
    <row r="59" spans="1:11" hidden="1" x14ac:dyDescent="0.2">
      <c r="A59" s="42"/>
      <c r="B59" s="90"/>
      <c r="C59" s="91"/>
      <c r="D59" s="91"/>
      <c r="E59" s="92"/>
      <c r="F59" s="93"/>
      <c r="G59" s="85"/>
    </row>
    <row r="60" spans="1:11" hidden="1" x14ac:dyDescent="0.2">
      <c r="A60" s="42"/>
      <c r="B60" s="90"/>
      <c r="C60" s="103" t="s">
        <v>1163</v>
      </c>
      <c r="D60" s="103" t="s">
        <v>229</v>
      </c>
      <c r="E60" s="103" t="s">
        <v>118</v>
      </c>
      <c r="F60" s="111" t="s">
        <v>1164</v>
      </c>
      <c r="G60" s="85"/>
    </row>
    <row r="61" spans="1:11" hidden="1" x14ac:dyDescent="0.2">
      <c r="A61" s="42"/>
      <c r="B61" s="94" t="s">
        <v>1177</v>
      </c>
      <c r="C61" s="91">
        <f>D61/7</f>
        <v>130.71428571428572</v>
      </c>
      <c r="D61" s="92">
        <v>915</v>
      </c>
      <c r="E61" s="91">
        <f>D61*4</f>
        <v>3660</v>
      </c>
      <c r="F61" s="93">
        <f>E61*3</f>
        <v>10980</v>
      </c>
      <c r="G61" s="85"/>
    </row>
    <row r="62" spans="1:11" hidden="1" x14ac:dyDescent="0.2">
      <c r="A62" s="42"/>
      <c r="B62" s="94"/>
      <c r="C62" s="91"/>
      <c r="D62" s="92"/>
      <c r="E62" s="91"/>
      <c r="F62" s="93"/>
      <c r="G62" s="85"/>
    </row>
    <row r="63" spans="1:11" hidden="1" x14ac:dyDescent="0.2">
      <c r="A63" s="42"/>
      <c r="B63" s="112" t="s">
        <v>1178</v>
      </c>
      <c r="C63" s="91">
        <f>D63/7</f>
        <v>0</v>
      </c>
      <c r="D63" s="92">
        <v>0</v>
      </c>
      <c r="E63" s="91">
        <f>D63*4</f>
        <v>0</v>
      </c>
      <c r="F63" s="93">
        <f>E63*3</f>
        <v>0</v>
      </c>
      <c r="G63" s="85"/>
    </row>
    <row r="64" spans="1:11" hidden="1" x14ac:dyDescent="0.2">
      <c r="A64" s="42"/>
      <c r="B64" s="112" t="s">
        <v>1179</v>
      </c>
      <c r="C64" s="91">
        <f t="shared" ref="C64:C67" si="6">D64/7</f>
        <v>0</v>
      </c>
      <c r="D64" s="92">
        <v>0</v>
      </c>
      <c r="E64" s="91">
        <f t="shared" ref="E64:E67" si="7">D64*4</f>
        <v>0</v>
      </c>
      <c r="F64" s="93">
        <f t="shared" ref="F64:F67" si="8">E64*3</f>
        <v>0</v>
      </c>
      <c r="G64" s="85"/>
    </row>
    <row r="65" spans="1:11" hidden="1" x14ac:dyDescent="0.2">
      <c r="A65" s="42"/>
      <c r="B65" s="112" t="s">
        <v>1180</v>
      </c>
      <c r="C65" s="91">
        <f t="shared" si="6"/>
        <v>0</v>
      </c>
      <c r="D65" s="92">
        <v>0</v>
      </c>
      <c r="E65" s="91">
        <f t="shared" si="7"/>
        <v>0</v>
      </c>
      <c r="F65" s="93">
        <f t="shared" si="8"/>
        <v>0</v>
      </c>
      <c r="G65" s="85"/>
    </row>
    <row r="66" spans="1:11" hidden="1" x14ac:dyDescent="0.2">
      <c r="A66" s="42"/>
      <c r="B66" s="112" t="s">
        <v>1181</v>
      </c>
      <c r="C66" s="91">
        <f t="shared" si="6"/>
        <v>0</v>
      </c>
      <c r="D66" s="92">
        <v>0</v>
      </c>
      <c r="E66" s="91">
        <f t="shared" si="7"/>
        <v>0</v>
      </c>
      <c r="F66" s="93">
        <f t="shared" si="8"/>
        <v>0</v>
      </c>
      <c r="G66" s="85"/>
    </row>
    <row r="67" spans="1:11" hidden="1" x14ac:dyDescent="0.2">
      <c r="A67" s="42"/>
      <c r="B67" s="112" t="s">
        <v>1182</v>
      </c>
      <c r="C67" s="91">
        <f t="shared" si="6"/>
        <v>0</v>
      </c>
      <c r="D67" s="92">
        <v>0</v>
      </c>
      <c r="E67" s="91">
        <f t="shared" si="7"/>
        <v>0</v>
      </c>
      <c r="F67" s="93">
        <f t="shared" si="8"/>
        <v>0</v>
      </c>
      <c r="G67" s="85"/>
    </row>
    <row r="68" spans="1:11" hidden="1" x14ac:dyDescent="0.2">
      <c r="A68" s="42"/>
      <c r="B68" s="112"/>
      <c r="C68" s="91"/>
      <c r="D68" s="92"/>
      <c r="E68" s="91"/>
      <c r="F68" s="93"/>
      <c r="G68" s="85"/>
    </row>
    <row r="69" spans="1:11" x14ac:dyDescent="0.2">
      <c r="A69" s="42"/>
      <c r="B69" s="94" t="s">
        <v>1183</v>
      </c>
      <c r="C69" s="92">
        <f>SUM(C61:C68)</f>
        <v>130.71428571428572</v>
      </c>
      <c r="D69" s="92">
        <f>SUM(D61:D68)</f>
        <v>915</v>
      </c>
      <c r="E69" s="92">
        <f>SUM(E61:E68)</f>
        <v>3660</v>
      </c>
      <c r="F69" s="92">
        <f>SUM(F61:F68)</f>
        <v>10980</v>
      </c>
      <c r="G69" s="106"/>
    </row>
    <row r="70" spans="1:11" x14ac:dyDescent="0.2">
      <c r="A70" s="42"/>
      <c r="B70" s="94" t="s">
        <v>1184</v>
      </c>
      <c r="C70" s="91">
        <f>D70/7</f>
        <v>43.571428571428569</v>
      </c>
      <c r="D70" s="92">
        <f>D69/C51</f>
        <v>305</v>
      </c>
      <c r="E70" s="91">
        <f>D70*4</f>
        <v>1220</v>
      </c>
      <c r="F70" s="93">
        <f>E70*3</f>
        <v>3660</v>
      </c>
      <c r="G70" s="85"/>
    </row>
    <row r="71" spans="1:11" ht="10.8" thickBot="1" x14ac:dyDescent="0.25">
      <c r="A71" s="42"/>
      <c r="B71" s="90"/>
      <c r="C71" s="91"/>
      <c r="D71" s="95"/>
      <c r="E71" s="92"/>
      <c r="F71" s="93"/>
      <c r="G71" s="85"/>
    </row>
    <row r="72" spans="1:11" x14ac:dyDescent="0.2">
      <c r="A72" s="42"/>
      <c r="B72" s="114" t="s">
        <v>1188</v>
      </c>
      <c r="C72" s="115" t="s">
        <v>1166</v>
      </c>
      <c r="D72" s="209" t="s">
        <v>1189</v>
      </c>
      <c r="E72" s="98"/>
      <c r="F72" s="99"/>
      <c r="K72" s="85"/>
    </row>
    <row r="73" spans="1:11" x14ac:dyDescent="0.2">
      <c r="A73" s="42" t="s">
        <v>1168</v>
      </c>
      <c r="B73" s="113" t="s">
        <v>1169</v>
      </c>
      <c r="C73" s="115">
        <v>2</v>
      </c>
      <c r="D73" s="88"/>
      <c r="E73" s="88"/>
      <c r="F73" s="89"/>
      <c r="K73" s="85"/>
    </row>
    <row r="74" spans="1:11" hidden="1" x14ac:dyDescent="0.2">
      <c r="A74" s="42"/>
      <c r="B74" s="100"/>
      <c r="C74" s="88"/>
      <c r="D74" s="88"/>
      <c r="E74" s="88"/>
      <c r="F74" s="89"/>
      <c r="K74" s="85"/>
    </row>
    <row r="75" spans="1:11" hidden="1" x14ac:dyDescent="0.2">
      <c r="A75" s="42"/>
      <c r="B75" s="90" t="s">
        <v>1170</v>
      </c>
      <c r="C75" s="110" t="s">
        <v>1171</v>
      </c>
      <c r="D75" s="91"/>
      <c r="E75" s="92"/>
      <c r="F75" s="93"/>
      <c r="G75" s="85"/>
    </row>
    <row r="76" spans="1:11" hidden="1" x14ac:dyDescent="0.2">
      <c r="A76" s="42"/>
      <c r="B76" s="90" t="s">
        <v>1172</v>
      </c>
      <c r="C76" s="110" t="s">
        <v>1171</v>
      </c>
      <c r="D76" s="91"/>
      <c r="E76" s="92"/>
      <c r="F76" s="93"/>
      <c r="G76" s="85"/>
    </row>
    <row r="77" spans="1:11" hidden="1" x14ac:dyDescent="0.2">
      <c r="A77" s="42"/>
      <c r="B77" s="90" t="s">
        <v>1173</v>
      </c>
      <c r="C77" s="117" t="s">
        <v>1186</v>
      </c>
      <c r="D77" s="117" t="s">
        <v>1187</v>
      </c>
      <c r="E77" s="92"/>
      <c r="F77" s="93"/>
      <c r="G77" s="85"/>
    </row>
    <row r="78" spans="1:11" hidden="1" x14ac:dyDescent="0.2">
      <c r="A78" s="42"/>
      <c r="B78" s="90" t="s">
        <v>1174</v>
      </c>
      <c r="C78" s="117" t="s">
        <v>1186</v>
      </c>
      <c r="D78" s="117" t="s">
        <v>1187</v>
      </c>
      <c r="E78" s="92"/>
      <c r="F78" s="93"/>
      <c r="G78" s="85"/>
    </row>
    <row r="79" spans="1:11" hidden="1" x14ac:dyDescent="0.2">
      <c r="A79" s="42"/>
      <c r="B79" s="90" t="s">
        <v>1175</v>
      </c>
      <c r="C79" s="110" t="s">
        <v>1171</v>
      </c>
      <c r="D79" s="91"/>
      <c r="E79" s="92"/>
      <c r="F79" s="93"/>
      <c r="G79" s="85"/>
    </row>
    <row r="80" spans="1:11" hidden="1" x14ac:dyDescent="0.2">
      <c r="A80" s="42"/>
      <c r="B80" s="90" t="s">
        <v>1176</v>
      </c>
      <c r="C80" s="110" t="s">
        <v>1171</v>
      </c>
      <c r="D80" s="91"/>
      <c r="E80" s="92"/>
      <c r="F80" s="93"/>
      <c r="G80" s="85"/>
    </row>
    <row r="81" spans="1:11" hidden="1" x14ac:dyDescent="0.2">
      <c r="A81" s="42"/>
      <c r="B81" s="90"/>
      <c r="C81" s="91"/>
      <c r="D81" s="91"/>
      <c r="E81" s="92"/>
      <c r="F81" s="93"/>
      <c r="G81" s="85"/>
    </row>
    <row r="82" spans="1:11" hidden="1" x14ac:dyDescent="0.2">
      <c r="A82" s="42"/>
      <c r="B82" s="90"/>
      <c r="C82" s="103" t="s">
        <v>1163</v>
      </c>
      <c r="D82" s="103" t="s">
        <v>229</v>
      </c>
      <c r="E82" s="103" t="s">
        <v>118</v>
      </c>
      <c r="F82" s="111" t="s">
        <v>1164</v>
      </c>
      <c r="G82" s="85"/>
    </row>
    <row r="83" spans="1:11" hidden="1" x14ac:dyDescent="0.2">
      <c r="A83" s="42"/>
      <c r="B83" s="94" t="s">
        <v>1177</v>
      </c>
      <c r="C83" s="91">
        <f>D83/7</f>
        <v>254.28571428571428</v>
      </c>
      <c r="D83" s="92">
        <v>1780</v>
      </c>
      <c r="E83" s="91">
        <f>D83*4</f>
        <v>7120</v>
      </c>
      <c r="F83" s="93">
        <f>E83*3</f>
        <v>21360</v>
      </c>
      <c r="G83" s="85"/>
    </row>
    <row r="84" spans="1:11" hidden="1" x14ac:dyDescent="0.2">
      <c r="A84" s="42"/>
      <c r="B84" s="94"/>
      <c r="C84" s="91"/>
      <c r="D84" s="92"/>
      <c r="E84" s="91"/>
      <c r="F84" s="93"/>
      <c r="G84" s="85"/>
    </row>
    <row r="85" spans="1:11" hidden="1" x14ac:dyDescent="0.2">
      <c r="A85" s="42"/>
      <c r="B85" s="112" t="s">
        <v>1178</v>
      </c>
      <c r="C85" s="91">
        <f>D85/7</f>
        <v>0</v>
      </c>
      <c r="D85" s="92">
        <v>0</v>
      </c>
      <c r="E85" s="91">
        <f>D85*4</f>
        <v>0</v>
      </c>
      <c r="F85" s="93">
        <f>E85*3</f>
        <v>0</v>
      </c>
      <c r="G85" s="85"/>
    </row>
    <row r="86" spans="1:11" hidden="1" x14ac:dyDescent="0.2">
      <c r="A86" s="42"/>
      <c r="B86" s="112" t="s">
        <v>1179</v>
      </c>
      <c r="C86" s="91">
        <f t="shared" ref="C86:C89" si="9">D86/7</f>
        <v>0</v>
      </c>
      <c r="D86" s="92">
        <v>0</v>
      </c>
      <c r="E86" s="91">
        <f t="shared" ref="E86:E89" si="10">D86*4</f>
        <v>0</v>
      </c>
      <c r="F86" s="93">
        <f t="shared" ref="F86:F89" si="11">E86*3</f>
        <v>0</v>
      </c>
      <c r="G86" s="85"/>
    </row>
    <row r="87" spans="1:11" hidden="1" x14ac:dyDescent="0.2">
      <c r="A87" s="42"/>
      <c r="B87" s="112" t="s">
        <v>1180</v>
      </c>
      <c r="C87" s="91">
        <f t="shared" si="9"/>
        <v>0</v>
      </c>
      <c r="D87" s="92">
        <v>0</v>
      </c>
      <c r="E87" s="91">
        <f t="shared" si="10"/>
        <v>0</v>
      </c>
      <c r="F87" s="93">
        <f t="shared" si="11"/>
        <v>0</v>
      </c>
      <c r="G87" s="85"/>
    </row>
    <row r="88" spans="1:11" hidden="1" x14ac:dyDescent="0.2">
      <c r="A88" s="42"/>
      <c r="B88" s="112" t="s">
        <v>1181</v>
      </c>
      <c r="C88" s="91">
        <f t="shared" si="9"/>
        <v>0</v>
      </c>
      <c r="D88" s="92">
        <v>0</v>
      </c>
      <c r="E88" s="91">
        <f t="shared" si="10"/>
        <v>0</v>
      </c>
      <c r="F88" s="93">
        <f t="shared" si="11"/>
        <v>0</v>
      </c>
      <c r="G88" s="85"/>
    </row>
    <row r="89" spans="1:11" hidden="1" x14ac:dyDescent="0.2">
      <c r="A89" s="42"/>
      <c r="B89" s="112" t="s">
        <v>1182</v>
      </c>
      <c r="C89" s="91">
        <f t="shared" si="9"/>
        <v>0</v>
      </c>
      <c r="D89" s="92">
        <v>0</v>
      </c>
      <c r="E89" s="91">
        <f t="shared" si="10"/>
        <v>0</v>
      </c>
      <c r="F89" s="93">
        <f t="shared" si="11"/>
        <v>0</v>
      </c>
      <c r="G89" s="85"/>
    </row>
    <row r="90" spans="1:11" hidden="1" x14ac:dyDescent="0.2">
      <c r="A90" s="42"/>
      <c r="B90" s="112"/>
      <c r="C90" s="91"/>
      <c r="D90" s="92"/>
      <c r="E90" s="91"/>
      <c r="F90" s="93"/>
      <c r="G90" s="85"/>
    </row>
    <row r="91" spans="1:11" x14ac:dyDescent="0.2">
      <c r="A91" s="42"/>
      <c r="B91" s="94" t="s">
        <v>1183</v>
      </c>
      <c r="C91" s="92">
        <f>SUM(C83:C90)</f>
        <v>254.28571428571428</v>
      </c>
      <c r="D91" s="92">
        <f>SUM(D83:D90)</f>
        <v>1780</v>
      </c>
      <c r="E91" s="92">
        <f>SUM(E83:E90)</f>
        <v>7120</v>
      </c>
      <c r="F91" s="92">
        <f>SUM(F83:F90)</f>
        <v>21360</v>
      </c>
      <c r="G91" s="106"/>
    </row>
    <row r="92" spans="1:11" x14ac:dyDescent="0.2">
      <c r="A92" s="42"/>
      <c r="B92" s="94" t="s">
        <v>1184</v>
      </c>
      <c r="C92" s="91">
        <f>D92/7</f>
        <v>127.14285714285714</v>
      </c>
      <c r="D92" s="92">
        <f>D91/C73</f>
        <v>890</v>
      </c>
      <c r="E92" s="91">
        <f>D92*4</f>
        <v>3560</v>
      </c>
      <c r="F92" s="93">
        <f>E92*3</f>
        <v>10680</v>
      </c>
      <c r="G92" s="85"/>
    </row>
    <row r="93" spans="1:11" ht="10.8" thickBot="1" x14ac:dyDescent="0.25">
      <c r="A93" s="42"/>
      <c r="B93" s="116"/>
      <c r="C93" s="95"/>
      <c r="D93" s="95"/>
      <c r="E93" s="96"/>
      <c r="F93" s="97"/>
      <c r="G93" s="85"/>
    </row>
    <row r="94" spans="1:11" ht="10.8" thickBot="1" x14ac:dyDescent="0.25">
      <c r="A94" s="42"/>
      <c r="B94" s="87" t="s">
        <v>1190</v>
      </c>
      <c r="C94" s="103" t="s">
        <v>1163</v>
      </c>
      <c r="D94" s="103" t="s">
        <v>229</v>
      </c>
      <c r="E94" s="103" t="s">
        <v>118</v>
      </c>
      <c r="F94" s="111" t="s">
        <v>1164</v>
      </c>
      <c r="G94" s="90"/>
    </row>
    <row r="95" spans="1:11" x14ac:dyDescent="0.2">
      <c r="A95" s="42"/>
      <c r="B95" s="113" t="s">
        <v>1165</v>
      </c>
      <c r="C95" s="115" t="s">
        <v>1191</v>
      </c>
      <c r="D95" s="208" t="s">
        <v>1167</v>
      </c>
      <c r="E95" s="88"/>
      <c r="F95" s="89"/>
      <c r="K95" s="85"/>
    </row>
    <row r="96" spans="1:11" x14ac:dyDescent="0.2">
      <c r="A96" s="42" t="s">
        <v>1168</v>
      </c>
      <c r="B96" s="113" t="s">
        <v>1169</v>
      </c>
      <c r="C96" s="115">
        <v>1</v>
      </c>
      <c r="D96" s="88"/>
      <c r="E96" s="88"/>
      <c r="F96" s="89"/>
      <c r="K96" s="85"/>
    </row>
    <row r="97" spans="1:7" hidden="1" x14ac:dyDescent="0.2">
      <c r="A97" s="42"/>
      <c r="B97" s="90" t="s">
        <v>1170</v>
      </c>
      <c r="C97" s="110" t="s">
        <v>1171</v>
      </c>
      <c r="D97" s="91"/>
      <c r="E97" s="92"/>
      <c r="F97" s="93"/>
      <c r="G97" s="85"/>
    </row>
    <row r="98" spans="1:7" hidden="1" x14ac:dyDescent="0.2">
      <c r="A98" s="42"/>
      <c r="B98" s="90" t="s">
        <v>1172</v>
      </c>
      <c r="C98" s="110" t="s">
        <v>1171</v>
      </c>
      <c r="D98" s="91"/>
      <c r="E98" s="92"/>
      <c r="F98" s="93"/>
      <c r="G98" s="85"/>
    </row>
    <row r="99" spans="1:7" hidden="1" x14ac:dyDescent="0.2">
      <c r="A99" s="42"/>
      <c r="B99" s="90" t="s">
        <v>1173</v>
      </c>
      <c r="C99" s="110" t="s">
        <v>1171</v>
      </c>
      <c r="D99" s="91"/>
      <c r="E99" s="92"/>
      <c r="F99" s="93"/>
      <c r="G99" s="85"/>
    </row>
    <row r="100" spans="1:7" hidden="1" x14ac:dyDescent="0.2">
      <c r="A100" s="42"/>
      <c r="B100" s="90" t="s">
        <v>1174</v>
      </c>
      <c r="C100" s="110" t="s">
        <v>1171</v>
      </c>
      <c r="D100" s="91"/>
      <c r="E100" s="92"/>
      <c r="F100" s="93"/>
      <c r="G100" s="85"/>
    </row>
    <row r="101" spans="1:7" hidden="1" x14ac:dyDescent="0.2">
      <c r="A101" s="42"/>
      <c r="B101" s="90" t="s">
        <v>1175</v>
      </c>
      <c r="C101" s="110" t="s">
        <v>1171</v>
      </c>
      <c r="D101" s="91"/>
      <c r="E101" s="92"/>
      <c r="F101" s="93"/>
      <c r="G101" s="85"/>
    </row>
    <row r="102" spans="1:7" hidden="1" x14ac:dyDescent="0.2">
      <c r="A102" s="42"/>
      <c r="B102" s="90" t="s">
        <v>1176</v>
      </c>
      <c r="C102" s="110" t="s">
        <v>1171</v>
      </c>
      <c r="D102" s="91"/>
      <c r="E102" s="92"/>
      <c r="F102" s="93"/>
      <c r="G102" s="85"/>
    </row>
    <row r="103" spans="1:7" hidden="1" x14ac:dyDescent="0.2">
      <c r="A103" s="42"/>
      <c r="B103" s="118" t="s">
        <v>1192</v>
      </c>
      <c r="C103" s="91"/>
      <c r="D103" s="91"/>
      <c r="E103" s="92"/>
      <c r="F103" s="93"/>
      <c r="G103" s="85"/>
    </row>
    <row r="104" spans="1:7" hidden="1" x14ac:dyDescent="0.2">
      <c r="A104" s="42"/>
      <c r="B104" s="90"/>
      <c r="C104" s="103" t="s">
        <v>1163</v>
      </c>
      <c r="D104" s="103" t="s">
        <v>229</v>
      </c>
      <c r="E104" s="103" t="s">
        <v>118</v>
      </c>
      <c r="F104" s="111" t="s">
        <v>1164</v>
      </c>
      <c r="G104" s="85"/>
    </row>
    <row r="105" spans="1:7" hidden="1" x14ac:dyDescent="0.2">
      <c r="A105" s="42"/>
      <c r="B105" s="94" t="s">
        <v>1177</v>
      </c>
      <c r="C105" s="91">
        <f>D105/7</f>
        <v>114.28571428571429</v>
      </c>
      <c r="D105" s="92">
        <v>800</v>
      </c>
      <c r="E105" s="91">
        <f>D105*4</f>
        <v>3200</v>
      </c>
      <c r="F105" s="93">
        <f>E105*3</f>
        <v>9600</v>
      </c>
      <c r="G105" s="85"/>
    </row>
    <row r="106" spans="1:7" hidden="1" x14ac:dyDescent="0.2">
      <c r="A106" s="42"/>
      <c r="B106" s="94"/>
      <c r="C106" s="91"/>
      <c r="D106" s="92"/>
      <c r="E106" s="91"/>
      <c r="F106" s="93"/>
      <c r="G106" s="85"/>
    </row>
    <row r="107" spans="1:7" hidden="1" x14ac:dyDescent="0.2">
      <c r="A107" s="42"/>
      <c r="B107" s="112" t="s">
        <v>1178</v>
      </c>
      <c r="C107" s="91">
        <f>D107/7</f>
        <v>0</v>
      </c>
      <c r="D107" s="92">
        <v>0</v>
      </c>
      <c r="E107" s="91">
        <f>D107*4</f>
        <v>0</v>
      </c>
      <c r="F107" s="93">
        <f>E107*3</f>
        <v>0</v>
      </c>
      <c r="G107" s="85"/>
    </row>
    <row r="108" spans="1:7" hidden="1" x14ac:dyDescent="0.2">
      <c r="A108" s="42"/>
      <c r="B108" s="112" t="s">
        <v>1179</v>
      </c>
      <c r="C108" s="91">
        <f t="shared" ref="C108:C111" si="12">D108/7</f>
        <v>0</v>
      </c>
      <c r="D108" s="92">
        <v>0</v>
      </c>
      <c r="E108" s="91">
        <f t="shared" ref="E108:E111" si="13">D108*4</f>
        <v>0</v>
      </c>
      <c r="F108" s="93">
        <f t="shared" ref="F108:F111" si="14">E108*3</f>
        <v>0</v>
      </c>
      <c r="G108" s="85"/>
    </row>
    <row r="109" spans="1:7" hidden="1" x14ac:dyDescent="0.2">
      <c r="A109" s="42"/>
      <c r="B109" s="112" t="s">
        <v>1180</v>
      </c>
      <c r="C109" s="91">
        <f t="shared" si="12"/>
        <v>0</v>
      </c>
      <c r="D109" s="92">
        <v>0</v>
      </c>
      <c r="E109" s="91">
        <f t="shared" si="13"/>
        <v>0</v>
      </c>
      <c r="F109" s="93">
        <f t="shared" si="14"/>
        <v>0</v>
      </c>
      <c r="G109" s="85"/>
    </row>
    <row r="110" spans="1:7" hidden="1" x14ac:dyDescent="0.2">
      <c r="A110" s="42"/>
      <c r="B110" s="112" t="s">
        <v>1181</v>
      </c>
      <c r="C110" s="91">
        <f t="shared" si="12"/>
        <v>0</v>
      </c>
      <c r="D110" s="92">
        <v>0</v>
      </c>
      <c r="E110" s="91">
        <f t="shared" si="13"/>
        <v>0</v>
      </c>
      <c r="F110" s="93">
        <f t="shared" si="14"/>
        <v>0</v>
      </c>
      <c r="G110" s="85"/>
    </row>
    <row r="111" spans="1:7" hidden="1" x14ac:dyDescent="0.2">
      <c r="A111" s="42"/>
      <c r="B111" s="112" t="s">
        <v>1182</v>
      </c>
      <c r="C111" s="91">
        <f t="shared" si="12"/>
        <v>0</v>
      </c>
      <c r="D111" s="92">
        <v>0</v>
      </c>
      <c r="E111" s="91">
        <f t="shared" si="13"/>
        <v>0</v>
      </c>
      <c r="F111" s="93">
        <f t="shared" si="14"/>
        <v>0</v>
      </c>
      <c r="G111" s="85"/>
    </row>
    <row r="112" spans="1:7" hidden="1" x14ac:dyDescent="0.2">
      <c r="A112" s="42"/>
      <c r="B112" s="112"/>
      <c r="C112" s="91"/>
      <c r="D112" s="92"/>
      <c r="E112" s="91"/>
      <c r="F112" s="93"/>
      <c r="G112" s="85"/>
    </row>
    <row r="113" spans="1:11" x14ac:dyDescent="0.2">
      <c r="A113" s="42"/>
      <c r="B113" s="94" t="s">
        <v>1183</v>
      </c>
      <c r="C113" s="92">
        <f>SUM(C105:C112)</f>
        <v>114.28571428571429</v>
      </c>
      <c r="D113" s="92">
        <f>SUM(D105:D112)</f>
        <v>800</v>
      </c>
      <c r="E113" s="92">
        <f>SUM(E105:E112)</f>
        <v>3200</v>
      </c>
      <c r="F113" s="92">
        <f>SUM(F105:F112)</f>
        <v>9600</v>
      </c>
      <c r="G113" s="106"/>
    </row>
    <row r="114" spans="1:11" x14ac:dyDescent="0.2">
      <c r="A114" s="42"/>
      <c r="B114" s="94" t="s">
        <v>1184</v>
      </c>
      <c r="C114" s="91">
        <f>D114/7</f>
        <v>114.28571428571429</v>
      </c>
      <c r="D114" s="92">
        <f>D113/C96</f>
        <v>800</v>
      </c>
      <c r="E114" s="91">
        <f>D114*4</f>
        <v>3200</v>
      </c>
      <c r="F114" s="93">
        <f>E114*3</f>
        <v>9600</v>
      </c>
      <c r="G114" s="85"/>
    </row>
    <row r="115" spans="1:11" ht="10.8" thickBot="1" x14ac:dyDescent="0.25">
      <c r="A115" s="42"/>
      <c r="B115" s="116"/>
      <c r="C115" s="95"/>
      <c r="D115" s="95"/>
      <c r="E115" s="96"/>
      <c r="F115" s="97"/>
      <c r="G115" s="85"/>
    </row>
    <row r="116" spans="1:11" x14ac:dyDescent="0.2">
      <c r="A116" s="42" t="s">
        <v>1168</v>
      </c>
      <c r="B116" s="267" t="s">
        <v>1165</v>
      </c>
      <c r="C116" s="268" t="s">
        <v>1193</v>
      </c>
      <c r="D116" s="269" t="s">
        <v>1185</v>
      </c>
      <c r="E116" s="88"/>
      <c r="F116" s="89"/>
      <c r="K116" s="85"/>
    </row>
    <row r="117" spans="1:11" hidden="1" x14ac:dyDescent="0.2">
      <c r="B117" s="113" t="s">
        <v>1169</v>
      </c>
      <c r="C117" s="115">
        <v>2</v>
      </c>
      <c r="D117" s="88"/>
      <c r="E117" s="88"/>
      <c r="F117" s="89"/>
      <c r="K117" s="85"/>
    </row>
    <row r="118" spans="1:11" hidden="1" x14ac:dyDescent="0.2">
      <c r="A118" s="42"/>
      <c r="B118" s="90" t="s">
        <v>1170</v>
      </c>
      <c r="C118" s="110" t="s">
        <v>1171</v>
      </c>
      <c r="D118" s="91"/>
      <c r="E118" s="92"/>
      <c r="F118" s="93"/>
      <c r="G118" s="85"/>
    </row>
    <row r="119" spans="1:11" hidden="1" x14ac:dyDescent="0.2">
      <c r="A119" s="42"/>
      <c r="B119" s="90" t="s">
        <v>1172</v>
      </c>
      <c r="C119" s="110" t="s">
        <v>1171</v>
      </c>
      <c r="D119" s="91"/>
      <c r="E119" s="92"/>
      <c r="F119" s="93"/>
      <c r="G119" s="85"/>
    </row>
    <row r="120" spans="1:11" hidden="1" x14ac:dyDescent="0.2">
      <c r="A120" s="42"/>
      <c r="B120" s="90" t="s">
        <v>1173</v>
      </c>
      <c r="C120" s="117" t="s">
        <v>1186</v>
      </c>
      <c r="D120" s="117" t="s">
        <v>1187</v>
      </c>
      <c r="E120" s="92"/>
      <c r="F120" s="93"/>
      <c r="G120" s="85"/>
    </row>
    <row r="121" spans="1:11" hidden="1" x14ac:dyDescent="0.2">
      <c r="A121" s="42"/>
      <c r="B121" s="90" t="s">
        <v>1174</v>
      </c>
      <c r="C121" s="117" t="s">
        <v>1186</v>
      </c>
      <c r="D121" s="117" t="s">
        <v>1187</v>
      </c>
      <c r="E121" s="92"/>
      <c r="F121" s="93"/>
      <c r="G121" s="85"/>
    </row>
    <row r="122" spans="1:11" hidden="1" x14ac:dyDescent="0.2">
      <c r="A122" s="42"/>
      <c r="B122" s="90" t="s">
        <v>1175</v>
      </c>
      <c r="C122" s="110" t="s">
        <v>1171</v>
      </c>
      <c r="D122" s="91"/>
      <c r="E122" s="92"/>
      <c r="F122" s="93"/>
      <c r="G122" s="85"/>
    </row>
    <row r="123" spans="1:11" hidden="1" x14ac:dyDescent="0.2">
      <c r="A123" s="42"/>
      <c r="B123" s="90" t="s">
        <v>1176</v>
      </c>
      <c r="C123" s="110" t="s">
        <v>1171</v>
      </c>
      <c r="D123" s="91"/>
      <c r="E123" s="92"/>
      <c r="F123" s="93"/>
      <c r="G123" s="85"/>
    </row>
    <row r="124" spans="1:11" hidden="1" x14ac:dyDescent="0.2">
      <c r="A124" s="42"/>
      <c r="B124" s="118" t="s">
        <v>1192</v>
      </c>
      <c r="C124" s="91"/>
      <c r="D124" s="91"/>
      <c r="E124" s="92"/>
      <c r="F124" s="93"/>
      <c r="G124" s="85"/>
    </row>
    <row r="125" spans="1:11" hidden="1" x14ac:dyDescent="0.2">
      <c r="A125" s="42"/>
      <c r="B125" s="90"/>
      <c r="C125" s="103" t="s">
        <v>1163</v>
      </c>
      <c r="D125" s="103" t="s">
        <v>229</v>
      </c>
      <c r="E125" s="103" t="s">
        <v>118</v>
      </c>
      <c r="F125" s="111" t="s">
        <v>1164</v>
      </c>
      <c r="G125" s="85"/>
    </row>
    <row r="126" spans="1:11" hidden="1" x14ac:dyDescent="0.2">
      <c r="A126" s="42"/>
      <c r="B126" s="94" t="s">
        <v>1177</v>
      </c>
      <c r="C126" s="91">
        <f>D126/7</f>
        <v>142.85714285714286</v>
      </c>
      <c r="D126" s="92">
        <v>1000</v>
      </c>
      <c r="E126" s="91">
        <f>D126*4</f>
        <v>4000</v>
      </c>
      <c r="F126" s="93">
        <f>E126*3</f>
        <v>12000</v>
      </c>
      <c r="G126" s="85"/>
    </row>
    <row r="127" spans="1:11" hidden="1" x14ac:dyDescent="0.2">
      <c r="A127" s="42"/>
      <c r="B127" s="94"/>
      <c r="C127" s="91"/>
      <c r="D127" s="92"/>
      <c r="E127" s="91"/>
      <c r="F127" s="93"/>
      <c r="G127" s="85"/>
    </row>
    <row r="128" spans="1:11" hidden="1" x14ac:dyDescent="0.2">
      <c r="A128" s="42"/>
      <c r="B128" s="112" t="s">
        <v>1178</v>
      </c>
      <c r="C128" s="91">
        <f>D128/7</f>
        <v>0</v>
      </c>
      <c r="D128" s="92">
        <v>0</v>
      </c>
      <c r="E128" s="91">
        <f>D128*4</f>
        <v>0</v>
      </c>
      <c r="F128" s="93">
        <f>E128*3</f>
        <v>0</v>
      </c>
      <c r="G128" s="85"/>
    </row>
    <row r="129" spans="1:11" hidden="1" x14ac:dyDescent="0.2">
      <c r="A129" s="42"/>
      <c r="B129" s="112" t="s">
        <v>1179</v>
      </c>
      <c r="C129" s="91">
        <f t="shared" ref="C129:C132" si="15">D129/7</f>
        <v>0</v>
      </c>
      <c r="D129" s="92">
        <v>0</v>
      </c>
      <c r="E129" s="91">
        <f t="shared" ref="E129:E132" si="16">D129*4</f>
        <v>0</v>
      </c>
      <c r="F129" s="93">
        <f t="shared" ref="F129:F132" si="17">E129*3</f>
        <v>0</v>
      </c>
      <c r="G129" s="85"/>
    </row>
    <row r="130" spans="1:11" hidden="1" x14ac:dyDescent="0.2">
      <c r="A130" s="42"/>
      <c r="B130" s="112" t="s">
        <v>1180</v>
      </c>
      <c r="C130" s="91">
        <f t="shared" si="15"/>
        <v>0</v>
      </c>
      <c r="D130" s="92">
        <v>0</v>
      </c>
      <c r="E130" s="91">
        <f t="shared" si="16"/>
        <v>0</v>
      </c>
      <c r="F130" s="93">
        <f t="shared" si="17"/>
        <v>0</v>
      </c>
      <c r="G130" s="85"/>
    </row>
    <row r="131" spans="1:11" hidden="1" x14ac:dyDescent="0.2">
      <c r="A131" s="42"/>
      <c r="B131" s="112" t="s">
        <v>1181</v>
      </c>
      <c r="C131" s="91">
        <f t="shared" si="15"/>
        <v>0</v>
      </c>
      <c r="D131" s="92">
        <v>0</v>
      </c>
      <c r="E131" s="91">
        <f t="shared" si="16"/>
        <v>0</v>
      </c>
      <c r="F131" s="93">
        <f t="shared" si="17"/>
        <v>0</v>
      </c>
      <c r="G131" s="85"/>
    </row>
    <row r="132" spans="1:11" hidden="1" x14ac:dyDescent="0.2">
      <c r="A132" s="42"/>
      <c r="B132" s="112" t="s">
        <v>1182</v>
      </c>
      <c r="C132" s="91">
        <f t="shared" si="15"/>
        <v>0</v>
      </c>
      <c r="D132" s="92">
        <v>0</v>
      </c>
      <c r="E132" s="91">
        <f t="shared" si="16"/>
        <v>0</v>
      </c>
      <c r="F132" s="93">
        <f t="shared" si="17"/>
        <v>0</v>
      </c>
      <c r="G132" s="85"/>
    </row>
    <row r="133" spans="1:11" hidden="1" x14ac:dyDescent="0.2">
      <c r="A133" s="42"/>
      <c r="B133" s="112"/>
      <c r="C133" s="91"/>
      <c r="D133" s="92"/>
      <c r="E133" s="91"/>
      <c r="F133" s="93"/>
      <c r="G133" s="85"/>
    </row>
    <row r="134" spans="1:11" hidden="1" x14ac:dyDescent="0.2">
      <c r="A134" s="42"/>
      <c r="B134" s="94" t="s">
        <v>1183</v>
      </c>
      <c r="C134" s="92">
        <f>SUM(C126:C133)</f>
        <v>142.85714285714286</v>
      </c>
      <c r="D134" s="92">
        <f>SUM(D126:D133)</f>
        <v>1000</v>
      </c>
      <c r="E134" s="92">
        <f>SUM(E126:E133)</f>
        <v>4000</v>
      </c>
      <c r="F134" s="92">
        <f>SUM(F126:F133)</f>
        <v>12000</v>
      </c>
      <c r="G134" s="106"/>
    </row>
    <row r="135" spans="1:11" hidden="1" x14ac:dyDescent="0.2">
      <c r="A135" s="42"/>
      <c r="B135" s="94" t="s">
        <v>1184</v>
      </c>
      <c r="C135" s="91">
        <f>D135/7</f>
        <v>71.428571428571431</v>
      </c>
      <c r="D135" s="92">
        <f>D134/C117</f>
        <v>500</v>
      </c>
      <c r="E135" s="91">
        <f>D135*4</f>
        <v>2000</v>
      </c>
      <c r="F135" s="93">
        <f>E135*3</f>
        <v>6000</v>
      </c>
      <c r="G135" s="85"/>
    </row>
    <row r="136" spans="1:11" ht="10.8" thickBot="1" x14ac:dyDescent="0.25">
      <c r="A136" s="42"/>
      <c r="B136" s="119"/>
      <c r="C136" s="95"/>
      <c r="D136" s="96"/>
      <c r="E136" s="95"/>
      <c r="F136" s="97"/>
      <c r="G136" s="85"/>
    </row>
    <row r="137" spans="1:11" x14ac:dyDescent="0.2">
      <c r="A137" s="42" t="s">
        <v>1168</v>
      </c>
      <c r="B137" s="267" t="s">
        <v>1165</v>
      </c>
      <c r="C137" s="268" t="s">
        <v>1193</v>
      </c>
      <c r="D137" s="269" t="s">
        <v>1185</v>
      </c>
      <c r="E137" s="274"/>
      <c r="F137" s="271"/>
      <c r="K137" s="85"/>
    </row>
    <row r="138" spans="1:11" hidden="1" x14ac:dyDescent="0.2">
      <c r="B138" s="113" t="s">
        <v>1169</v>
      </c>
      <c r="C138" s="115">
        <v>3</v>
      </c>
      <c r="D138" s="88"/>
      <c r="E138" s="88"/>
      <c r="F138" s="89"/>
      <c r="K138" s="85"/>
    </row>
    <row r="139" spans="1:11" hidden="1" x14ac:dyDescent="0.2">
      <c r="A139" s="42"/>
      <c r="B139" s="90" t="s">
        <v>1170</v>
      </c>
      <c r="C139" s="110" t="s">
        <v>1171</v>
      </c>
      <c r="D139" s="91"/>
      <c r="E139" s="92"/>
      <c r="F139" s="93"/>
      <c r="G139" s="85"/>
    </row>
    <row r="140" spans="1:11" hidden="1" x14ac:dyDescent="0.2">
      <c r="A140" s="42"/>
      <c r="B140" s="90" t="s">
        <v>1172</v>
      </c>
      <c r="C140" s="110" t="s">
        <v>1171</v>
      </c>
      <c r="D140" s="91"/>
      <c r="E140" s="92"/>
      <c r="F140" s="93"/>
      <c r="G140" s="85"/>
    </row>
    <row r="141" spans="1:11" hidden="1" x14ac:dyDescent="0.2">
      <c r="A141" s="42"/>
      <c r="B141" s="90" t="s">
        <v>1173</v>
      </c>
      <c r="C141" s="110" t="s">
        <v>1171</v>
      </c>
      <c r="D141" s="91"/>
      <c r="E141" s="92"/>
      <c r="F141" s="93"/>
      <c r="G141" s="85"/>
    </row>
    <row r="142" spans="1:11" hidden="1" x14ac:dyDescent="0.2">
      <c r="A142" s="42"/>
      <c r="B142" s="90" t="s">
        <v>1174</v>
      </c>
      <c r="C142" s="110" t="s">
        <v>1171</v>
      </c>
      <c r="D142" s="91"/>
      <c r="E142" s="92"/>
      <c r="F142" s="93"/>
      <c r="G142" s="85"/>
    </row>
    <row r="143" spans="1:11" hidden="1" x14ac:dyDescent="0.2">
      <c r="A143" s="42"/>
      <c r="B143" s="90" t="s">
        <v>1175</v>
      </c>
      <c r="C143" s="110" t="s">
        <v>1171</v>
      </c>
      <c r="D143" s="91"/>
      <c r="E143" s="92"/>
      <c r="F143" s="93"/>
      <c r="G143" s="85"/>
    </row>
    <row r="144" spans="1:11" hidden="1" x14ac:dyDescent="0.2">
      <c r="A144" s="42"/>
      <c r="B144" s="90" t="s">
        <v>1176</v>
      </c>
      <c r="C144" s="110" t="s">
        <v>1171</v>
      </c>
      <c r="D144" s="91"/>
      <c r="E144" s="92"/>
      <c r="F144" s="93"/>
      <c r="G144" s="85"/>
    </row>
    <row r="145" spans="1:11" hidden="1" x14ac:dyDescent="0.2">
      <c r="A145" s="42"/>
      <c r="B145" s="118" t="s">
        <v>1192</v>
      </c>
      <c r="C145" s="91"/>
      <c r="D145" s="91"/>
      <c r="E145" s="92"/>
      <c r="F145" s="93"/>
      <c r="G145" s="85"/>
    </row>
    <row r="146" spans="1:11" hidden="1" x14ac:dyDescent="0.2">
      <c r="A146" s="42"/>
      <c r="B146" s="90"/>
      <c r="C146" s="103" t="s">
        <v>1163</v>
      </c>
      <c r="D146" s="103" t="s">
        <v>229</v>
      </c>
      <c r="E146" s="103" t="s">
        <v>118</v>
      </c>
      <c r="F146" s="111" t="s">
        <v>1164</v>
      </c>
      <c r="G146" s="85"/>
    </row>
    <row r="147" spans="1:11" hidden="1" x14ac:dyDescent="0.2">
      <c r="A147" s="42"/>
      <c r="B147" s="94" t="s">
        <v>1177</v>
      </c>
      <c r="C147" s="91">
        <f>D147/7</f>
        <v>178.57142857142858</v>
      </c>
      <c r="D147" s="92">
        <v>1250</v>
      </c>
      <c r="E147" s="91">
        <f>D147*4</f>
        <v>5000</v>
      </c>
      <c r="F147" s="93">
        <f>E147*3</f>
        <v>15000</v>
      </c>
      <c r="G147" s="85"/>
    </row>
    <row r="148" spans="1:11" hidden="1" x14ac:dyDescent="0.2">
      <c r="A148" s="42"/>
      <c r="B148" s="94"/>
      <c r="C148" s="91"/>
      <c r="D148" s="92"/>
      <c r="E148" s="91"/>
      <c r="F148" s="93"/>
      <c r="G148" s="85"/>
    </row>
    <row r="149" spans="1:11" hidden="1" x14ac:dyDescent="0.2">
      <c r="A149" s="42"/>
      <c r="B149" s="112" t="s">
        <v>1178</v>
      </c>
      <c r="C149" s="91">
        <f>D149/7</f>
        <v>0</v>
      </c>
      <c r="D149" s="92">
        <v>0</v>
      </c>
      <c r="E149" s="91">
        <f>D149*4</f>
        <v>0</v>
      </c>
      <c r="F149" s="93">
        <f>E149*3</f>
        <v>0</v>
      </c>
      <c r="G149" s="85"/>
    </row>
    <row r="150" spans="1:11" hidden="1" x14ac:dyDescent="0.2">
      <c r="A150" s="42"/>
      <c r="B150" s="112" t="s">
        <v>1179</v>
      </c>
      <c r="C150" s="91">
        <f t="shared" ref="C150:C153" si="18">D150/7</f>
        <v>0</v>
      </c>
      <c r="D150" s="92">
        <v>0</v>
      </c>
      <c r="E150" s="91">
        <f t="shared" ref="E150:E153" si="19">D150*4</f>
        <v>0</v>
      </c>
      <c r="F150" s="93">
        <f t="shared" ref="F150:F153" si="20">E150*3</f>
        <v>0</v>
      </c>
      <c r="G150" s="85"/>
    </row>
    <row r="151" spans="1:11" hidden="1" x14ac:dyDescent="0.2">
      <c r="A151" s="42"/>
      <c r="B151" s="112" t="s">
        <v>1180</v>
      </c>
      <c r="C151" s="91">
        <f t="shared" si="18"/>
        <v>0</v>
      </c>
      <c r="D151" s="92">
        <v>0</v>
      </c>
      <c r="E151" s="91">
        <f t="shared" si="19"/>
        <v>0</v>
      </c>
      <c r="F151" s="93">
        <f t="shared" si="20"/>
        <v>0</v>
      </c>
      <c r="G151" s="85"/>
    </row>
    <row r="152" spans="1:11" hidden="1" x14ac:dyDescent="0.2">
      <c r="A152" s="42"/>
      <c r="B152" s="112" t="s">
        <v>1181</v>
      </c>
      <c r="C152" s="91">
        <f t="shared" si="18"/>
        <v>0</v>
      </c>
      <c r="D152" s="92">
        <v>0</v>
      </c>
      <c r="E152" s="91">
        <f t="shared" si="19"/>
        <v>0</v>
      </c>
      <c r="F152" s="93">
        <f t="shared" si="20"/>
        <v>0</v>
      </c>
      <c r="G152" s="85"/>
    </row>
    <row r="153" spans="1:11" hidden="1" x14ac:dyDescent="0.2">
      <c r="A153" s="42"/>
      <c r="B153" s="112" t="s">
        <v>1182</v>
      </c>
      <c r="C153" s="91">
        <f t="shared" si="18"/>
        <v>0</v>
      </c>
      <c r="D153" s="92">
        <v>0</v>
      </c>
      <c r="E153" s="91">
        <f t="shared" si="19"/>
        <v>0</v>
      </c>
      <c r="F153" s="93">
        <f t="shared" si="20"/>
        <v>0</v>
      </c>
      <c r="G153" s="85"/>
    </row>
    <row r="154" spans="1:11" hidden="1" x14ac:dyDescent="0.2">
      <c r="A154" s="42"/>
      <c r="B154" s="112"/>
      <c r="C154" s="91"/>
      <c r="D154" s="92"/>
      <c r="E154" s="91"/>
      <c r="F154" s="93"/>
      <c r="G154" s="85"/>
    </row>
    <row r="155" spans="1:11" hidden="1" x14ac:dyDescent="0.2">
      <c r="A155" s="42"/>
      <c r="B155" s="94" t="s">
        <v>1183</v>
      </c>
      <c r="C155" s="92">
        <f>SUM(C147:C154)</f>
        <v>178.57142857142858</v>
      </c>
      <c r="D155" s="92">
        <f>SUM(D147:D154)</f>
        <v>1250</v>
      </c>
      <c r="E155" s="92">
        <f>SUM(E147:E154)</f>
        <v>5000</v>
      </c>
      <c r="F155" s="92">
        <f>SUM(F147:F154)</f>
        <v>15000</v>
      </c>
      <c r="G155" s="106"/>
    </row>
    <row r="156" spans="1:11" hidden="1" x14ac:dyDescent="0.2">
      <c r="A156" s="42"/>
      <c r="B156" s="94" t="s">
        <v>1184</v>
      </c>
      <c r="C156" s="91">
        <f>D156/7</f>
        <v>59.523809523809526</v>
      </c>
      <c r="D156" s="92">
        <f>D155/C138</f>
        <v>416.66666666666669</v>
      </c>
      <c r="E156" s="91">
        <f>D156*4</f>
        <v>1666.6666666666667</v>
      </c>
      <c r="F156" s="93">
        <f>E156*3</f>
        <v>5000</v>
      </c>
      <c r="G156" s="85"/>
    </row>
    <row r="157" spans="1:11" ht="10.8" thickBot="1" x14ac:dyDescent="0.25">
      <c r="A157" s="42"/>
      <c r="B157" s="119"/>
      <c r="C157" s="95"/>
      <c r="D157" s="96"/>
      <c r="E157" s="95"/>
      <c r="F157" s="97"/>
      <c r="G157" s="85"/>
    </row>
    <row r="158" spans="1:11" x14ac:dyDescent="0.2">
      <c r="A158" s="42"/>
      <c r="B158" s="113" t="s">
        <v>1188</v>
      </c>
      <c r="C158" s="115" t="s">
        <v>1193</v>
      </c>
      <c r="D158" s="209" t="s">
        <v>1189</v>
      </c>
      <c r="E158" s="88"/>
      <c r="F158" s="89"/>
      <c r="K158" s="85"/>
    </row>
    <row r="159" spans="1:11" x14ac:dyDescent="0.2">
      <c r="A159" s="42" t="s">
        <v>1168</v>
      </c>
      <c r="B159" s="113" t="s">
        <v>1169</v>
      </c>
      <c r="C159" s="115">
        <v>2</v>
      </c>
      <c r="D159" s="88"/>
      <c r="E159" s="88"/>
      <c r="F159" s="89"/>
      <c r="K159" s="85"/>
    </row>
    <row r="160" spans="1:11" hidden="1" x14ac:dyDescent="0.2">
      <c r="A160" s="42"/>
      <c r="B160" s="90" t="s">
        <v>1170</v>
      </c>
      <c r="C160" s="110" t="s">
        <v>1171</v>
      </c>
      <c r="D160" s="91"/>
      <c r="E160" s="92"/>
      <c r="F160" s="93"/>
      <c r="G160" s="85"/>
    </row>
    <row r="161" spans="1:7" hidden="1" x14ac:dyDescent="0.2">
      <c r="A161" s="42"/>
      <c r="B161" s="90" t="s">
        <v>1172</v>
      </c>
      <c r="C161" s="110" t="s">
        <v>1171</v>
      </c>
      <c r="D161" s="91"/>
      <c r="E161" s="92"/>
      <c r="F161" s="93"/>
      <c r="G161" s="85"/>
    </row>
    <row r="162" spans="1:7" hidden="1" x14ac:dyDescent="0.2">
      <c r="A162" s="42"/>
      <c r="B162" s="90" t="s">
        <v>1173</v>
      </c>
      <c r="C162" s="110" t="s">
        <v>1171</v>
      </c>
      <c r="D162" s="91"/>
      <c r="E162" s="92"/>
      <c r="F162" s="93"/>
      <c r="G162" s="85"/>
    </row>
    <row r="163" spans="1:7" hidden="1" x14ac:dyDescent="0.2">
      <c r="A163" s="42"/>
      <c r="B163" s="90" t="s">
        <v>1174</v>
      </c>
      <c r="C163" s="110" t="s">
        <v>1171</v>
      </c>
      <c r="D163" s="91"/>
      <c r="E163" s="92"/>
      <c r="F163" s="93"/>
      <c r="G163" s="85"/>
    </row>
    <row r="164" spans="1:7" hidden="1" x14ac:dyDescent="0.2">
      <c r="A164" s="42"/>
      <c r="B164" s="90" t="s">
        <v>1175</v>
      </c>
      <c r="C164" s="110" t="s">
        <v>1171</v>
      </c>
      <c r="D164" s="91"/>
      <c r="E164" s="92"/>
      <c r="F164" s="93"/>
      <c r="G164" s="85"/>
    </row>
    <row r="165" spans="1:7" hidden="1" x14ac:dyDescent="0.2">
      <c r="A165" s="42"/>
      <c r="B165" s="90" t="s">
        <v>1176</v>
      </c>
      <c r="C165" s="110" t="s">
        <v>1171</v>
      </c>
      <c r="D165" s="91"/>
      <c r="E165" s="92"/>
      <c r="F165" s="93"/>
      <c r="G165" s="85"/>
    </row>
    <row r="166" spans="1:7" hidden="1" x14ac:dyDescent="0.2">
      <c r="A166" s="42"/>
      <c r="B166" s="118" t="s">
        <v>1192</v>
      </c>
      <c r="C166" s="91"/>
      <c r="D166" s="91"/>
      <c r="E166" s="92"/>
      <c r="F166" s="93"/>
      <c r="G166" s="85"/>
    </row>
    <row r="167" spans="1:7" hidden="1" x14ac:dyDescent="0.2">
      <c r="A167" s="42"/>
      <c r="B167" s="90"/>
      <c r="C167" s="103" t="s">
        <v>1163</v>
      </c>
      <c r="D167" s="103" t="s">
        <v>229</v>
      </c>
      <c r="E167" s="103" t="s">
        <v>118</v>
      </c>
      <c r="F167" s="111" t="s">
        <v>1164</v>
      </c>
      <c r="G167" s="85"/>
    </row>
    <row r="168" spans="1:7" hidden="1" x14ac:dyDescent="0.2">
      <c r="A168" s="42"/>
      <c r="B168" s="94" t="s">
        <v>1177</v>
      </c>
      <c r="C168" s="91">
        <f>D168/7</f>
        <v>185.71428571428572</v>
      </c>
      <c r="D168" s="92">
        <v>1300</v>
      </c>
      <c r="E168" s="91">
        <f>D168*4</f>
        <v>5200</v>
      </c>
      <c r="F168" s="93">
        <f>E168*3</f>
        <v>15600</v>
      </c>
      <c r="G168" s="85"/>
    </row>
    <row r="169" spans="1:7" hidden="1" x14ac:dyDescent="0.2">
      <c r="A169" s="42"/>
      <c r="B169" s="94"/>
      <c r="C169" s="91"/>
      <c r="D169" s="92"/>
      <c r="E169" s="91"/>
      <c r="F169" s="93"/>
      <c r="G169" s="85"/>
    </row>
    <row r="170" spans="1:7" hidden="1" x14ac:dyDescent="0.2">
      <c r="A170" s="42"/>
      <c r="B170" s="112" t="s">
        <v>1178</v>
      </c>
      <c r="C170" s="91">
        <f>D170/7</f>
        <v>0</v>
      </c>
      <c r="D170" s="92">
        <v>0</v>
      </c>
      <c r="E170" s="91">
        <f>D170*4</f>
        <v>0</v>
      </c>
      <c r="F170" s="93">
        <f>E170*3</f>
        <v>0</v>
      </c>
      <c r="G170" s="85"/>
    </row>
    <row r="171" spans="1:7" hidden="1" x14ac:dyDescent="0.2">
      <c r="A171" s="42"/>
      <c r="B171" s="112" t="s">
        <v>1179</v>
      </c>
      <c r="C171" s="91">
        <f t="shared" ref="C171:C174" si="21">D171/7</f>
        <v>0</v>
      </c>
      <c r="D171" s="92">
        <v>0</v>
      </c>
      <c r="E171" s="91">
        <f t="shared" ref="E171:E174" si="22">D171*4</f>
        <v>0</v>
      </c>
      <c r="F171" s="93">
        <f t="shared" ref="F171:F174" si="23">E171*3</f>
        <v>0</v>
      </c>
      <c r="G171" s="85"/>
    </row>
    <row r="172" spans="1:7" hidden="1" x14ac:dyDescent="0.2">
      <c r="A172" s="42"/>
      <c r="B172" s="112" t="s">
        <v>1180</v>
      </c>
      <c r="C172" s="91">
        <f t="shared" si="21"/>
        <v>0</v>
      </c>
      <c r="D172" s="92">
        <v>0</v>
      </c>
      <c r="E172" s="91">
        <f t="shared" si="22"/>
        <v>0</v>
      </c>
      <c r="F172" s="93">
        <f t="shared" si="23"/>
        <v>0</v>
      </c>
      <c r="G172" s="85"/>
    </row>
    <row r="173" spans="1:7" hidden="1" x14ac:dyDescent="0.2">
      <c r="A173" s="42"/>
      <c r="B173" s="112" t="s">
        <v>1181</v>
      </c>
      <c r="C173" s="91">
        <f t="shared" si="21"/>
        <v>0</v>
      </c>
      <c r="D173" s="92">
        <v>0</v>
      </c>
      <c r="E173" s="91">
        <f t="shared" si="22"/>
        <v>0</v>
      </c>
      <c r="F173" s="93">
        <f t="shared" si="23"/>
        <v>0</v>
      </c>
      <c r="G173" s="85"/>
    </row>
    <row r="174" spans="1:7" hidden="1" x14ac:dyDescent="0.2">
      <c r="A174" s="42"/>
      <c r="B174" s="112" t="s">
        <v>1182</v>
      </c>
      <c r="C174" s="91">
        <f t="shared" si="21"/>
        <v>0</v>
      </c>
      <c r="D174" s="92">
        <v>0</v>
      </c>
      <c r="E174" s="91">
        <f t="shared" si="22"/>
        <v>0</v>
      </c>
      <c r="F174" s="93">
        <f t="shared" si="23"/>
        <v>0</v>
      </c>
      <c r="G174" s="85"/>
    </row>
    <row r="175" spans="1:7" x14ac:dyDescent="0.2">
      <c r="A175" s="42"/>
      <c r="B175" s="112"/>
      <c r="C175" s="91"/>
      <c r="D175" s="92"/>
      <c r="E175" s="91"/>
      <c r="F175" s="93"/>
      <c r="G175" s="85"/>
    </row>
    <row r="176" spans="1:7" x14ac:dyDescent="0.2">
      <c r="A176" s="42"/>
      <c r="B176" s="94" t="s">
        <v>1183</v>
      </c>
      <c r="C176" s="92">
        <f>SUM(C168:C175)</f>
        <v>185.71428571428572</v>
      </c>
      <c r="D176" s="92">
        <f>SUM(D168:D175)</f>
        <v>1300</v>
      </c>
      <c r="E176" s="92">
        <f>SUM(E168:E175)</f>
        <v>5200</v>
      </c>
      <c r="F176" s="92">
        <f>SUM(F168:F175)</f>
        <v>15600</v>
      </c>
      <c r="G176" s="106"/>
    </row>
    <row r="177" spans="1:11" x14ac:dyDescent="0.2">
      <c r="A177" s="42"/>
      <c r="B177" s="94" t="s">
        <v>1184</v>
      </c>
      <c r="C177" s="91">
        <f>D177/7</f>
        <v>92.857142857142861</v>
      </c>
      <c r="D177" s="92">
        <f>D176/C159</f>
        <v>650</v>
      </c>
      <c r="E177" s="91">
        <f>D177*4</f>
        <v>2600</v>
      </c>
      <c r="F177" s="93">
        <f>E177*3</f>
        <v>7800</v>
      </c>
      <c r="G177" s="85"/>
    </row>
    <row r="178" spans="1:11" ht="10.8" thickBot="1" x14ac:dyDescent="0.25">
      <c r="A178" s="42"/>
      <c r="B178" s="116"/>
      <c r="C178" s="95"/>
      <c r="D178" s="95"/>
      <c r="E178" s="96"/>
      <c r="F178" s="97"/>
      <c r="G178" s="85"/>
    </row>
    <row r="179" spans="1:11" x14ac:dyDescent="0.2">
      <c r="A179" s="275" t="s">
        <v>1168</v>
      </c>
      <c r="B179" s="267" t="s">
        <v>1188</v>
      </c>
      <c r="C179" s="268" t="s">
        <v>1193</v>
      </c>
      <c r="D179" s="269" t="s">
        <v>1185</v>
      </c>
      <c r="E179" s="274"/>
      <c r="F179" s="271"/>
      <c r="K179" s="85"/>
    </row>
    <row r="180" spans="1:11" hidden="1" x14ac:dyDescent="0.2">
      <c r="A180" s="42"/>
      <c r="B180" s="113" t="s">
        <v>1169</v>
      </c>
      <c r="C180" s="115">
        <v>4</v>
      </c>
      <c r="D180" s="88"/>
      <c r="E180" s="88"/>
      <c r="F180" s="89"/>
      <c r="K180" s="85"/>
    </row>
    <row r="181" spans="1:11" hidden="1" x14ac:dyDescent="0.2">
      <c r="A181" s="42"/>
      <c r="B181" s="90" t="s">
        <v>1170</v>
      </c>
      <c r="C181" s="110" t="s">
        <v>1171</v>
      </c>
      <c r="D181" s="91"/>
      <c r="E181" s="92"/>
      <c r="F181" s="93"/>
      <c r="G181" s="85"/>
    </row>
    <row r="182" spans="1:11" hidden="1" x14ac:dyDescent="0.2">
      <c r="A182" s="42"/>
      <c r="B182" s="90" t="s">
        <v>1172</v>
      </c>
      <c r="C182" s="110" t="s">
        <v>1171</v>
      </c>
      <c r="D182" s="91"/>
      <c r="E182" s="92"/>
      <c r="F182" s="93"/>
      <c r="G182" s="85"/>
    </row>
    <row r="183" spans="1:11" hidden="1" x14ac:dyDescent="0.2">
      <c r="A183" s="42"/>
      <c r="B183" s="90" t="s">
        <v>1173</v>
      </c>
      <c r="C183" s="110" t="s">
        <v>1171</v>
      </c>
      <c r="D183" s="91"/>
      <c r="E183" s="92"/>
      <c r="F183" s="93"/>
      <c r="G183" s="85"/>
    </row>
    <row r="184" spans="1:11" hidden="1" x14ac:dyDescent="0.2">
      <c r="A184" s="42"/>
      <c r="B184" s="90" t="s">
        <v>1174</v>
      </c>
      <c r="C184" s="110" t="s">
        <v>1171</v>
      </c>
      <c r="D184" s="91"/>
      <c r="E184" s="92"/>
      <c r="F184" s="93"/>
      <c r="G184" s="85"/>
    </row>
    <row r="185" spans="1:11" hidden="1" x14ac:dyDescent="0.2">
      <c r="A185" s="42"/>
      <c r="B185" s="90" t="s">
        <v>1175</v>
      </c>
      <c r="C185" s="110" t="s">
        <v>1171</v>
      </c>
      <c r="D185" s="91"/>
      <c r="E185" s="92"/>
      <c r="F185" s="93"/>
      <c r="G185" s="85"/>
    </row>
    <row r="186" spans="1:11" hidden="1" x14ac:dyDescent="0.2">
      <c r="A186" s="42"/>
      <c r="B186" s="90" t="s">
        <v>1176</v>
      </c>
      <c r="C186" s="110" t="s">
        <v>1171</v>
      </c>
      <c r="D186" s="91"/>
      <c r="E186" s="92"/>
      <c r="F186" s="93"/>
      <c r="G186" s="85"/>
    </row>
    <row r="187" spans="1:11" hidden="1" x14ac:dyDescent="0.2">
      <c r="A187" s="42"/>
      <c r="B187" s="118" t="s">
        <v>1192</v>
      </c>
      <c r="C187" s="91"/>
      <c r="D187" s="91"/>
      <c r="E187" s="92"/>
      <c r="F187" s="93"/>
      <c r="G187" s="85"/>
    </row>
    <row r="188" spans="1:11" hidden="1" x14ac:dyDescent="0.2">
      <c r="A188" s="42"/>
      <c r="B188" s="90"/>
      <c r="C188" s="103" t="s">
        <v>1163</v>
      </c>
      <c r="D188" s="103" t="s">
        <v>229</v>
      </c>
      <c r="E188" s="103" t="s">
        <v>118</v>
      </c>
      <c r="F188" s="111" t="s">
        <v>1164</v>
      </c>
      <c r="G188" s="85"/>
    </row>
    <row r="189" spans="1:11" hidden="1" x14ac:dyDescent="0.2">
      <c r="A189" s="42"/>
      <c r="B189" s="94" t="s">
        <v>1177</v>
      </c>
      <c r="C189" s="91">
        <f>D189/7</f>
        <v>240</v>
      </c>
      <c r="D189" s="92">
        <v>1680</v>
      </c>
      <c r="E189" s="91">
        <f>D189*4</f>
        <v>6720</v>
      </c>
      <c r="F189" s="93">
        <f>E189*3</f>
        <v>20160</v>
      </c>
      <c r="G189" s="85"/>
    </row>
    <row r="190" spans="1:11" hidden="1" x14ac:dyDescent="0.2">
      <c r="A190" s="42"/>
      <c r="B190" s="94"/>
      <c r="C190" s="91"/>
      <c r="D190" s="92"/>
      <c r="E190" s="91"/>
      <c r="F190" s="93"/>
      <c r="G190" s="85"/>
    </row>
    <row r="191" spans="1:11" hidden="1" x14ac:dyDescent="0.2">
      <c r="A191" s="42"/>
      <c r="B191" s="112" t="s">
        <v>1178</v>
      </c>
      <c r="C191" s="91">
        <f>D191/7</f>
        <v>0</v>
      </c>
      <c r="D191" s="92">
        <v>0</v>
      </c>
      <c r="E191" s="91">
        <f>D191*4</f>
        <v>0</v>
      </c>
      <c r="F191" s="93">
        <f>E191*3</f>
        <v>0</v>
      </c>
      <c r="G191" s="85"/>
    </row>
    <row r="192" spans="1:11" hidden="1" x14ac:dyDescent="0.2">
      <c r="A192" s="42"/>
      <c r="B192" s="112" t="s">
        <v>1179</v>
      </c>
      <c r="C192" s="91">
        <f t="shared" ref="C192:C195" si="24">D192/7</f>
        <v>0</v>
      </c>
      <c r="D192" s="92">
        <v>0</v>
      </c>
      <c r="E192" s="91">
        <f t="shared" ref="E192:E195" si="25">D192*4</f>
        <v>0</v>
      </c>
      <c r="F192" s="93">
        <f t="shared" ref="F192:F195" si="26">E192*3</f>
        <v>0</v>
      </c>
      <c r="G192" s="85"/>
    </row>
    <row r="193" spans="1:11" hidden="1" x14ac:dyDescent="0.2">
      <c r="A193" s="42"/>
      <c r="B193" s="112" t="s">
        <v>1180</v>
      </c>
      <c r="C193" s="91">
        <f t="shared" si="24"/>
        <v>0</v>
      </c>
      <c r="D193" s="92">
        <v>0</v>
      </c>
      <c r="E193" s="91">
        <f t="shared" si="25"/>
        <v>0</v>
      </c>
      <c r="F193" s="93">
        <f t="shared" si="26"/>
        <v>0</v>
      </c>
      <c r="G193" s="85"/>
    </row>
    <row r="194" spans="1:11" hidden="1" x14ac:dyDescent="0.2">
      <c r="A194" s="42"/>
      <c r="B194" s="112" t="s">
        <v>1181</v>
      </c>
      <c r="C194" s="91">
        <f t="shared" si="24"/>
        <v>0</v>
      </c>
      <c r="D194" s="92">
        <v>0</v>
      </c>
      <c r="E194" s="91">
        <f t="shared" si="25"/>
        <v>0</v>
      </c>
      <c r="F194" s="93">
        <f t="shared" si="26"/>
        <v>0</v>
      </c>
      <c r="G194" s="85"/>
    </row>
    <row r="195" spans="1:11" hidden="1" x14ac:dyDescent="0.2">
      <c r="A195" s="42"/>
      <c r="B195" s="112" t="s">
        <v>1182</v>
      </c>
      <c r="C195" s="91">
        <f t="shared" si="24"/>
        <v>0</v>
      </c>
      <c r="D195" s="92">
        <v>0</v>
      </c>
      <c r="E195" s="91">
        <f t="shared" si="25"/>
        <v>0</v>
      </c>
      <c r="F195" s="93">
        <f t="shared" si="26"/>
        <v>0</v>
      </c>
      <c r="G195" s="85"/>
    </row>
    <row r="196" spans="1:11" hidden="1" x14ac:dyDescent="0.2">
      <c r="A196" s="42"/>
      <c r="B196" s="112"/>
      <c r="C196" s="91"/>
      <c r="D196" s="92"/>
      <c r="E196" s="91"/>
      <c r="F196" s="93"/>
      <c r="G196" s="85"/>
    </row>
    <row r="197" spans="1:11" hidden="1" x14ac:dyDescent="0.2">
      <c r="A197" s="42"/>
      <c r="B197" s="94" t="s">
        <v>1183</v>
      </c>
      <c r="C197" s="92">
        <f>SUM(C189:C196)</f>
        <v>240</v>
      </c>
      <c r="D197" s="92">
        <f>SUM(D189:D196)</f>
        <v>1680</v>
      </c>
      <c r="E197" s="92">
        <f>SUM(E189:E196)</f>
        <v>6720</v>
      </c>
      <c r="F197" s="92">
        <f>SUM(F189:F196)</f>
        <v>20160</v>
      </c>
      <c r="G197" s="106"/>
    </row>
    <row r="198" spans="1:11" hidden="1" x14ac:dyDescent="0.2">
      <c r="A198" s="42"/>
      <c r="B198" s="94" t="s">
        <v>1184</v>
      </c>
      <c r="C198" s="91">
        <f>D198/7</f>
        <v>60</v>
      </c>
      <c r="D198" s="92">
        <f>D197/C180</f>
        <v>420</v>
      </c>
      <c r="E198" s="91">
        <f>D198*4</f>
        <v>1680</v>
      </c>
      <c r="F198" s="93">
        <f>E198*3</f>
        <v>5040</v>
      </c>
      <c r="G198" s="85"/>
    </row>
    <row r="199" spans="1:11" ht="10.8" thickBot="1" x14ac:dyDescent="0.25">
      <c r="A199" s="42"/>
      <c r="B199" s="116"/>
      <c r="C199" s="95"/>
      <c r="D199" s="95"/>
      <c r="E199" s="96"/>
      <c r="F199" s="97"/>
      <c r="G199" s="85"/>
    </row>
    <row r="200" spans="1:11" x14ac:dyDescent="0.2">
      <c r="A200" s="42"/>
      <c r="B200" s="113" t="s">
        <v>1194</v>
      </c>
      <c r="C200" s="115" t="s">
        <v>1193</v>
      </c>
      <c r="D200" s="209" t="s">
        <v>1189</v>
      </c>
      <c r="E200" s="88"/>
      <c r="F200" s="89"/>
      <c r="K200" s="85"/>
    </row>
    <row r="201" spans="1:11" x14ac:dyDescent="0.2">
      <c r="A201" s="42" t="s">
        <v>1168</v>
      </c>
      <c r="B201" s="113" t="s">
        <v>1169</v>
      </c>
      <c r="C201" s="115">
        <v>3</v>
      </c>
      <c r="D201" s="88"/>
      <c r="E201" s="88"/>
      <c r="F201" s="89"/>
      <c r="K201" s="85"/>
    </row>
    <row r="202" spans="1:11" hidden="1" x14ac:dyDescent="0.2">
      <c r="A202" s="42"/>
      <c r="B202" s="90" t="s">
        <v>1170</v>
      </c>
      <c r="C202" s="110" t="s">
        <v>1171</v>
      </c>
      <c r="D202" s="91"/>
      <c r="E202" s="92"/>
      <c r="F202" s="93"/>
      <c r="G202" s="85"/>
    </row>
    <row r="203" spans="1:11" hidden="1" x14ac:dyDescent="0.2">
      <c r="A203" s="42"/>
      <c r="B203" s="90" t="s">
        <v>1172</v>
      </c>
      <c r="C203" s="110" t="s">
        <v>1171</v>
      </c>
      <c r="D203" s="91"/>
      <c r="E203" s="92"/>
      <c r="F203" s="93"/>
      <c r="G203" s="85"/>
    </row>
    <row r="204" spans="1:11" hidden="1" x14ac:dyDescent="0.2">
      <c r="A204" s="42"/>
      <c r="B204" s="90" t="s">
        <v>1173</v>
      </c>
      <c r="C204" s="110" t="s">
        <v>1171</v>
      </c>
      <c r="D204" s="91"/>
      <c r="E204" s="92"/>
      <c r="F204" s="93"/>
      <c r="G204" s="85"/>
    </row>
    <row r="205" spans="1:11" hidden="1" x14ac:dyDescent="0.2">
      <c r="A205" s="42"/>
      <c r="B205" s="90" t="s">
        <v>1174</v>
      </c>
      <c r="C205" s="110" t="s">
        <v>1171</v>
      </c>
      <c r="D205" s="91"/>
      <c r="E205" s="92"/>
      <c r="F205" s="93"/>
      <c r="G205" s="85"/>
    </row>
    <row r="206" spans="1:11" hidden="1" x14ac:dyDescent="0.2">
      <c r="A206" s="42"/>
      <c r="B206" s="90" t="s">
        <v>1175</v>
      </c>
      <c r="C206" s="110" t="s">
        <v>1171</v>
      </c>
      <c r="D206" s="91"/>
      <c r="E206" s="92"/>
      <c r="F206" s="93"/>
      <c r="G206" s="85"/>
    </row>
    <row r="207" spans="1:11" hidden="1" x14ac:dyDescent="0.2">
      <c r="A207" s="42"/>
      <c r="B207" s="90" t="s">
        <v>1176</v>
      </c>
      <c r="C207" s="110" t="s">
        <v>1171</v>
      </c>
      <c r="D207" s="91"/>
      <c r="E207" s="92"/>
      <c r="F207" s="93"/>
      <c r="G207" s="85"/>
    </row>
    <row r="208" spans="1:11" hidden="1" x14ac:dyDescent="0.2">
      <c r="A208" s="42"/>
      <c r="B208" s="118" t="s">
        <v>1192</v>
      </c>
      <c r="C208" s="91"/>
      <c r="D208" s="91"/>
      <c r="E208" s="92"/>
      <c r="F208" s="93"/>
      <c r="G208" s="85"/>
    </row>
    <row r="209" spans="1:11" hidden="1" x14ac:dyDescent="0.2">
      <c r="A209" s="42"/>
      <c r="B209" s="90"/>
      <c r="C209" s="103" t="s">
        <v>1163</v>
      </c>
      <c r="D209" s="103" t="s">
        <v>229</v>
      </c>
      <c r="E209" s="103" t="s">
        <v>118</v>
      </c>
      <c r="F209" s="111" t="s">
        <v>1164</v>
      </c>
      <c r="G209" s="85"/>
    </row>
    <row r="210" spans="1:11" hidden="1" x14ac:dyDescent="0.2">
      <c r="A210" s="42"/>
      <c r="B210" s="94" t="s">
        <v>1177</v>
      </c>
      <c r="C210" s="91">
        <f>D210/7</f>
        <v>328.57142857142856</v>
      </c>
      <c r="D210" s="92">
        <v>2300</v>
      </c>
      <c r="E210" s="91">
        <f>D210*4</f>
        <v>9200</v>
      </c>
      <c r="F210" s="93">
        <f>E210*3</f>
        <v>27600</v>
      </c>
      <c r="G210" s="85"/>
    </row>
    <row r="211" spans="1:11" hidden="1" x14ac:dyDescent="0.2">
      <c r="A211" s="42"/>
      <c r="B211" s="94"/>
      <c r="C211" s="91"/>
      <c r="D211" s="92"/>
      <c r="E211" s="91"/>
      <c r="F211" s="93"/>
      <c r="G211" s="85"/>
    </row>
    <row r="212" spans="1:11" hidden="1" x14ac:dyDescent="0.2">
      <c r="A212" s="42"/>
      <c r="B212" s="112" t="s">
        <v>1178</v>
      </c>
      <c r="C212" s="91">
        <f>D212/7</f>
        <v>0</v>
      </c>
      <c r="D212" s="92">
        <v>0</v>
      </c>
      <c r="E212" s="91">
        <f>D212*4</f>
        <v>0</v>
      </c>
      <c r="F212" s="93">
        <f>E212*3</f>
        <v>0</v>
      </c>
      <c r="G212" s="85"/>
    </row>
    <row r="213" spans="1:11" hidden="1" x14ac:dyDescent="0.2">
      <c r="A213" s="42"/>
      <c r="B213" s="112" t="s">
        <v>1179</v>
      </c>
      <c r="C213" s="91">
        <f t="shared" ref="C213:C216" si="27">D213/7</f>
        <v>0</v>
      </c>
      <c r="D213" s="92">
        <v>0</v>
      </c>
      <c r="E213" s="91">
        <f t="shared" ref="E213:E216" si="28">D213*4</f>
        <v>0</v>
      </c>
      <c r="F213" s="93">
        <f t="shared" ref="F213:F216" si="29">E213*3</f>
        <v>0</v>
      </c>
      <c r="G213" s="85"/>
    </row>
    <row r="214" spans="1:11" hidden="1" x14ac:dyDescent="0.2">
      <c r="A214" s="42"/>
      <c r="B214" s="112" t="s">
        <v>1180</v>
      </c>
      <c r="C214" s="91">
        <f t="shared" si="27"/>
        <v>0</v>
      </c>
      <c r="D214" s="92">
        <v>0</v>
      </c>
      <c r="E214" s="91">
        <f t="shared" si="28"/>
        <v>0</v>
      </c>
      <c r="F214" s="93">
        <f t="shared" si="29"/>
        <v>0</v>
      </c>
      <c r="G214" s="85"/>
    </row>
    <row r="215" spans="1:11" hidden="1" x14ac:dyDescent="0.2">
      <c r="A215" s="42"/>
      <c r="B215" s="112" t="s">
        <v>1181</v>
      </c>
      <c r="C215" s="91">
        <f t="shared" si="27"/>
        <v>0</v>
      </c>
      <c r="D215" s="92">
        <v>0</v>
      </c>
      <c r="E215" s="91">
        <f t="shared" si="28"/>
        <v>0</v>
      </c>
      <c r="F215" s="93">
        <f t="shared" si="29"/>
        <v>0</v>
      </c>
      <c r="G215" s="85"/>
    </row>
    <row r="216" spans="1:11" hidden="1" x14ac:dyDescent="0.2">
      <c r="A216" s="42"/>
      <c r="B216" s="112" t="s">
        <v>1182</v>
      </c>
      <c r="C216" s="91">
        <f t="shared" si="27"/>
        <v>0</v>
      </c>
      <c r="D216" s="92">
        <v>0</v>
      </c>
      <c r="E216" s="91">
        <f t="shared" si="28"/>
        <v>0</v>
      </c>
      <c r="F216" s="93">
        <f t="shared" si="29"/>
        <v>0</v>
      </c>
      <c r="G216" s="85"/>
    </row>
    <row r="217" spans="1:11" x14ac:dyDescent="0.2">
      <c r="A217" s="42"/>
      <c r="B217" s="112"/>
      <c r="C217" s="91"/>
      <c r="D217" s="92"/>
      <c r="E217" s="91"/>
      <c r="F217" s="93"/>
      <c r="G217" s="85"/>
    </row>
    <row r="218" spans="1:11" x14ac:dyDescent="0.2">
      <c r="A218" s="42"/>
      <c r="B218" s="94" t="s">
        <v>1183</v>
      </c>
      <c r="C218" s="92">
        <f>SUM(C210:C217)</f>
        <v>328.57142857142856</v>
      </c>
      <c r="D218" s="92">
        <f>SUM(D210:D217)</f>
        <v>2300</v>
      </c>
      <c r="E218" s="92">
        <f>SUM(E210:E217)</f>
        <v>9200</v>
      </c>
      <c r="F218" s="92">
        <f>SUM(F210:F217)</f>
        <v>27600</v>
      </c>
      <c r="G218" s="106"/>
    </row>
    <row r="219" spans="1:11" x14ac:dyDescent="0.2">
      <c r="A219" s="42"/>
      <c r="B219" s="94" t="s">
        <v>1184</v>
      </c>
      <c r="C219" s="91">
        <f>D219/7</f>
        <v>109.52380952380952</v>
      </c>
      <c r="D219" s="92">
        <f>D218/C201</f>
        <v>766.66666666666663</v>
      </c>
      <c r="E219" s="91">
        <f>D219*4</f>
        <v>3066.6666666666665</v>
      </c>
      <c r="F219" s="93">
        <f>E219*3</f>
        <v>9200</v>
      </c>
      <c r="G219" s="85"/>
    </row>
    <row r="220" spans="1:11" ht="10.8" thickBot="1" x14ac:dyDescent="0.25">
      <c r="A220" s="42"/>
      <c r="B220" s="116"/>
      <c r="C220" s="95"/>
      <c r="D220" s="95"/>
      <c r="E220" s="96"/>
      <c r="F220" s="97"/>
      <c r="G220" s="85"/>
    </row>
    <row r="221" spans="1:11" x14ac:dyDescent="0.2">
      <c r="A221" s="42" t="s">
        <v>1168</v>
      </c>
      <c r="B221" s="267" t="s">
        <v>1194</v>
      </c>
      <c r="C221" s="268" t="s">
        <v>1193</v>
      </c>
      <c r="D221" s="269" t="s">
        <v>1185</v>
      </c>
      <c r="E221" s="274"/>
      <c r="F221" s="271"/>
      <c r="K221" s="85"/>
    </row>
    <row r="222" spans="1:11" hidden="1" x14ac:dyDescent="0.2">
      <c r="A222" s="42"/>
      <c r="B222" s="113" t="s">
        <v>1169</v>
      </c>
      <c r="C222" s="115">
        <v>6</v>
      </c>
      <c r="D222" s="88"/>
      <c r="E222" s="88"/>
      <c r="F222" s="89"/>
      <c r="K222" s="85"/>
    </row>
    <row r="223" spans="1:11" hidden="1" x14ac:dyDescent="0.2">
      <c r="A223" s="42"/>
      <c r="B223" s="90" t="s">
        <v>1170</v>
      </c>
      <c r="C223" s="110" t="s">
        <v>1171</v>
      </c>
      <c r="D223" s="91"/>
      <c r="E223" s="92"/>
      <c r="F223" s="93"/>
      <c r="G223" s="85"/>
    </row>
    <row r="224" spans="1:11" hidden="1" x14ac:dyDescent="0.2">
      <c r="A224" s="42"/>
      <c r="B224" s="90" t="s">
        <v>1172</v>
      </c>
      <c r="C224" s="110" t="s">
        <v>1171</v>
      </c>
      <c r="D224" s="91"/>
      <c r="E224" s="92"/>
      <c r="F224" s="93"/>
      <c r="G224" s="85"/>
    </row>
    <row r="225" spans="1:7" hidden="1" x14ac:dyDescent="0.2">
      <c r="A225" s="42"/>
      <c r="B225" s="90" t="s">
        <v>1173</v>
      </c>
      <c r="C225" s="110" t="s">
        <v>1171</v>
      </c>
      <c r="D225" s="91"/>
      <c r="E225" s="92"/>
      <c r="F225" s="93"/>
      <c r="G225" s="85"/>
    </row>
    <row r="226" spans="1:7" hidden="1" x14ac:dyDescent="0.2">
      <c r="A226" s="42"/>
      <c r="B226" s="90" t="s">
        <v>1174</v>
      </c>
      <c r="C226" s="110" t="s">
        <v>1171</v>
      </c>
      <c r="D226" s="91"/>
      <c r="E226" s="92"/>
      <c r="F226" s="93"/>
      <c r="G226" s="85"/>
    </row>
    <row r="227" spans="1:7" hidden="1" x14ac:dyDescent="0.2">
      <c r="A227" s="42"/>
      <c r="B227" s="90" t="s">
        <v>1175</v>
      </c>
      <c r="C227" s="110" t="s">
        <v>1171</v>
      </c>
      <c r="D227" s="91"/>
      <c r="E227" s="92"/>
      <c r="F227" s="93"/>
      <c r="G227" s="85"/>
    </row>
    <row r="228" spans="1:7" hidden="1" x14ac:dyDescent="0.2">
      <c r="A228" s="42"/>
      <c r="B228" s="90" t="s">
        <v>1176</v>
      </c>
      <c r="C228" s="110" t="s">
        <v>1171</v>
      </c>
      <c r="D228" s="91"/>
      <c r="E228" s="92"/>
      <c r="F228" s="93"/>
      <c r="G228" s="85"/>
    </row>
    <row r="229" spans="1:7" hidden="1" x14ac:dyDescent="0.2">
      <c r="A229" s="42"/>
      <c r="B229" s="118" t="s">
        <v>1192</v>
      </c>
      <c r="C229" s="91"/>
      <c r="D229" s="91"/>
      <c r="E229" s="92"/>
      <c r="F229" s="93"/>
      <c r="G229" s="85"/>
    </row>
    <row r="230" spans="1:7" hidden="1" x14ac:dyDescent="0.2">
      <c r="A230" s="42"/>
      <c r="B230" s="90"/>
      <c r="C230" s="103" t="s">
        <v>1163</v>
      </c>
      <c r="D230" s="103" t="s">
        <v>229</v>
      </c>
      <c r="E230" s="103" t="s">
        <v>118</v>
      </c>
      <c r="F230" s="111" t="s">
        <v>1164</v>
      </c>
      <c r="G230" s="85"/>
    </row>
    <row r="231" spans="1:7" hidden="1" x14ac:dyDescent="0.2">
      <c r="A231" s="42"/>
      <c r="B231" s="94" t="s">
        <v>1177</v>
      </c>
      <c r="C231" s="91">
        <f>D231/7</f>
        <v>378.57142857142856</v>
      </c>
      <c r="D231" s="92">
        <v>2650</v>
      </c>
      <c r="E231" s="91">
        <f>D231*4</f>
        <v>10600</v>
      </c>
      <c r="F231" s="93">
        <f>E231*3</f>
        <v>31800</v>
      </c>
      <c r="G231" s="85"/>
    </row>
    <row r="232" spans="1:7" hidden="1" x14ac:dyDescent="0.2">
      <c r="A232" s="42"/>
      <c r="B232" s="94"/>
      <c r="C232" s="91"/>
      <c r="D232" s="92"/>
      <c r="E232" s="91"/>
      <c r="F232" s="93"/>
      <c r="G232" s="85"/>
    </row>
    <row r="233" spans="1:7" hidden="1" x14ac:dyDescent="0.2">
      <c r="A233" s="42"/>
      <c r="B233" s="112" t="s">
        <v>1178</v>
      </c>
      <c r="C233" s="91">
        <f>D233/7</f>
        <v>0</v>
      </c>
      <c r="D233" s="92">
        <v>0</v>
      </c>
      <c r="E233" s="91">
        <f>D233*4</f>
        <v>0</v>
      </c>
      <c r="F233" s="93">
        <f>E233*3</f>
        <v>0</v>
      </c>
      <c r="G233" s="85"/>
    </row>
    <row r="234" spans="1:7" hidden="1" x14ac:dyDescent="0.2">
      <c r="A234" s="42"/>
      <c r="B234" s="112" t="s">
        <v>1179</v>
      </c>
      <c r="C234" s="91">
        <f t="shared" ref="C234:C237" si="30">D234/7</f>
        <v>0</v>
      </c>
      <c r="D234" s="92">
        <v>0</v>
      </c>
      <c r="E234" s="91">
        <f t="shared" ref="E234:E237" si="31">D234*4</f>
        <v>0</v>
      </c>
      <c r="F234" s="93">
        <f t="shared" ref="F234:F237" si="32">E234*3</f>
        <v>0</v>
      </c>
      <c r="G234" s="85"/>
    </row>
    <row r="235" spans="1:7" hidden="1" x14ac:dyDescent="0.2">
      <c r="A235" s="42"/>
      <c r="B235" s="112" t="s">
        <v>1180</v>
      </c>
      <c r="C235" s="91">
        <f t="shared" si="30"/>
        <v>0</v>
      </c>
      <c r="D235" s="92">
        <v>0</v>
      </c>
      <c r="E235" s="91">
        <f t="shared" si="31"/>
        <v>0</v>
      </c>
      <c r="F235" s="93">
        <f t="shared" si="32"/>
        <v>0</v>
      </c>
      <c r="G235" s="85"/>
    </row>
    <row r="236" spans="1:7" hidden="1" x14ac:dyDescent="0.2">
      <c r="A236" s="42"/>
      <c r="B236" s="112" t="s">
        <v>1181</v>
      </c>
      <c r="C236" s="91">
        <f t="shared" si="30"/>
        <v>0</v>
      </c>
      <c r="D236" s="92">
        <v>0</v>
      </c>
      <c r="E236" s="91">
        <f t="shared" si="31"/>
        <v>0</v>
      </c>
      <c r="F236" s="93">
        <f t="shared" si="32"/>
        <v>0</v>
      </c>
      <c r="G236" s="85"/>
    </row>
    <row r="237" spans="1:7" hidden="1" x14ac:dyDescent="0.2">
      <c r="A237" s="42"/>
      <c r="B237" s="112" t="s">
        <v>1182</v>
      </c>
      <c r="C237" s="91">
        <f t="shared" si="30"/>
        <v>0</v>
      </c>
      <c r="D237" s="92">
        <v>0</v>
      </c>
      <c r="E237" s="91">
        <f t="shared" si="31"/>
        <v>0</v>
      </c>
      <c r="F237" s="93">
        <f t="shared" si="32"/>
        <v>0</v>
      </c>
      <c r="G237" s="85"/>
    </row>
    <row r="238" spans="1:7" hidden="1" x14ac:dyDescent="0.2">
      <c r="A238" s="42"/>
      <c r="B238" s="112"/>
      <c r="C238" s="91"/>
      <c r="D238" s="92"/>
      <c r="E238" s="91"/>
      <c r="F238" s="93"/>
      <c r="G238" s="85"/>
    </row>
    <row r="239" spans="1:7" hidden="1" x14ac:dyDescent="0.2">
      <c r="A239" s="42"/>
      <c r="B239" s="94" t="s">
        <v>1183</v>
      </c>
      <c r="C239" s="92">
        <f>SUM(C231:C238)</f>
        <v>378.57142857142856</v>
      </c>
      <c r="D239" s="92">
        <f>SUM(D231:D238)</f>
        <v>2650</v>
      </c>
      <c r="E239" s="92">
        <f>SUM(E231:E238)</f>
        <v>10600</v>
      </c>
      <c r="F239" s="92">
        <f>SUM(F231:F238)</f>
        <v>31800</v>
      </c>
      <c r="G239" s="106"/>
    </row>
    <row r="240" spans="1:7" hidden="1" x14ac:dyDescent="0.2">
      <c r="A240" s="42"/>
      <c r="B240" s="94" t="s">
        <v>1184</v>
      </c>
      <c r="C240" s="91">
        <f>D240/7</f>
        <v>63.095238095238095</v>
      </c>
      <c r="D240" s="92">
        <f>D239/C222</f>
        <v>441.66666666666669</v>
      </c>
      <c r="E240" s="91">
        <f>D240*4</f>
        <v>1766.6666666666667</v>
      </c>
      <c r="F240" s="93">
        <f>E240*3</f>
        <v>5300</v>
      </c>
      <c r="G240" s="85"/>
    </row>
    <row r="241" spans="1:11" ht="10.8" hidden="1" thickBot="1" x14ac:dyDescent="0.25">
      <c r="A241" s="42"/>
      <c r="B241" s="116"/>
      <c r="C241" s="95"/>
      <c r="D241" s="95"/>
      <c r="E241" s="96"/>
      <c r="F241" s="97"/>
      <c r="G241" s="85"/>
    </row>
    <row r="242" spans="1:11" ht="10.8" thickBot="1" x14ac:dyDescent="0.25">
      <c r="A242" s="42"/>
      <c r="F242" s="84"/>
      <c r="G242" s="85"/>
    </row>
    <row r="243" spans="1:11" ht="10.8" thickBot="1" x14ac:dyDescent="0.25">
      <c r="A243" s="42"/>
      <c r="B243" s="87" t="s">
        <v>1195</v>
      </c>
      <c r="C243" s="86"/>
      <c r="D243" s="86"/>
      <c r="E243" s="86"/>
      <c r="F243" s="86"/>
      <c r="G243" s="90"/>
    </row>
    <row r="244" spans="1:11" x14ac:dyDescent="0.2">
      <c r="A244" s="42"/>
      <c r="B244" s="113" t="s">
        <v>1194</v>
      </c>
      <c r="C244" s="115" t="s">
        <v>1196</v>
      </c>
      <c r="D244" s="209" t="s">
        <v>1189</v>
      </c>
      <c r="E244" s="88"/>
      <c r="F244" s="89"/>
      <c r="K244" s="85"/>
    </row>
    <row r="245" spans="1:11" x14ac:dyDescent="0.2">
      <c r="A245" s="42"/>
      <c r="B245" s="113" t="s">
        <v>1169</v>
      </c>
      <c r="C245" s="115">
        <v>3</v>
      </c>
      <c r="D245" s="88"/>
      <c r="E245" s="88"/>
      <c r="F245" s="89"/>
      <c r="K245" s="85"/>
    </row>
    <row r="246" spans="1:11" hidden="1" x14ac:dyDescent="0.2">
      <c r="A246" s="42"/>
      <c r="B246" s="90" t="s">
        <v>1170</v>
      </c>
      <c r="C246" s="110" t="s">
        <v>1171</v>
      </c>
      <c r="D246" s="91"/>
      <c r="E246" s="92"/>
      <c r="F246" s="93"/>
      <c r="G246" s="85"/>
    </row>
    <row r="247" spans="1:11" hidden="1" x14ac:dyDescent="0.2">
      <c r="A247" s="42"/>
      <c r="B247" s="90" t="s">
        <v>1172</v>
      </c>
      <c r="C247" s="110" t="s">
        <v>1171</v>
      </c>
      <c r="D247" s="91" t="s">
        <v>1197</v>
      </c>
      <c r="E247" s="92"/>
      <c r="F247" s="93"/>
      <c r="G247" s="85"/>
    </row>
    <row r="248" spans="1:11" hidden="1" x14ac:dyDescent="0.2">
      <c r="A248" s="42"/>
      <c r="B248" s="90" t="s">
        <v>1173</v>
      </c>
      <c r="C248" s="110" t="s">
        <v>1171</v>
      </c>
      <c r="D248" s="91" t="s">
        <v>1198</v>
      </c>
      <c r="E248" s="92"/>
      <c r="F248" s="93"/>
      <c r="G248" s="85"/>
    </row>
    <row r="249" spans="1:11" hidden="1" x14ac:dyDescent="0.2">
      <c r="A249" s="42"/>
      <c r="B249" s="90" t="s">
        <v>1174</v>
      </c>
      <c r="C249" s="110" t="s">
        <v>1171</v>
      </c>
      <c r="D249" s="91"/>
      <c r="E249" s="92"/>
      <c r="F249" s="93"/>
      <c r="G249" s="85"/>
    </row>
    <row r="250" spans="1:11" hidden="1" x14ac:dyDescent="0.2">
      <c r="A250" s="42"/>
      <c r="B250" s="90" t="s">
        <v>1175</v>
      </c>
      <c r="C250" s="110" t="s">
        <v>1171</v>
      </c>
      <c r="D250" s="91"/>
      <c r="E250" s="92"/>
      <c r="F250" s="93"/>
      <c r="G250" s="85"/>
    </row>
    <row r="251" spans="1:11" hidden="1" x14ac:dyDescent="0.2">
      <c r="A251" s="42"/>
      <c r="B251" s="90" t="s">
        <v>1176</v>
      </c>
      <c r="C251" s="110" t="s">
        <v>1171</v>
      </c>
      <c r="D251" s="91"/>
      <c r="E251" s="92"/>
      <c r="F251" s="93"/>
      <c r="G251" s="85"/>
    </row>
    <row r="252" spans="1:11" hidden="1" x14ac:dyDescent="0.2">
      <c r="A252" s="42"/>
      <c r="B252" s="118"/>
      <c r="C252" s="91"/>
      <c r="D252" s="91"/>
      <c r="E252" s="92"/>
      <c r="F252" s="93"/>
      <c r="G252" s="85"/>
    </row>
    <row r="253" spans="1:11" hidden="1" x14ac:dyDescent="0.2">
      <c r="A253" s="42"/>
      <c r="B253" s="90"/>
      <c r="C253" s="103" t="s">
        <v>1163</v>
      </c>
      <c r="D253" s="103" t="s">
        <v>229</v>
      </c>
      <c r="E253" s="103" t="s">
        <v>118</v>
      </c>
      <c r="F253" s="111" t="s">
        <v>1164</v>
      </c>
      <c r="G253" s="85"/>
    </row>
    <row r="254" spans="1:11" hidden="1" x14ac:dyDescent="0.2">
      <c r="A254" s="42"/>
      <c r="B254" s="94" t="s">
        <v>1177</v>
      </c>
      <c r="C254" s="91">
        <f>F254/90</f>
        <v>144.44444444444446</v>
      </c>
      <c r="D254" s="91">
        <f>E254/4</f>
        <v>1083.3333333333333</v>
      </c>
      <c r="E254" s="91">
        <f>F254/3</f>
        <v>4333.333333333333</v>
      </c>
      <c r="F254" s="105">
        <v>13000</v>
      </c>
      <c r="G254" s="85"/>
    </row>
    <row r="255" spans="1:11" hidden="1" x14ac:dyDescent="0.2">
      <c r="A255" s="42"/>
      <c r="B255" s="94"/>
      <c r="C255" s="91"/>
      <c r="D255" s="92"/>
      <c r="E255" s="91"/>
      <c r="F255" s="93"/>
      <c r="G255" s="85"/>
    </row>
    <row r="256" spans="1:11" hidden="1" x14ac:dyDescent="0.2">
      <c r="A256" s="42"/>
      <c r="B256" s="112" t="s">
        <v>1178</v>
      </c>
      <c r="C256" s="91">
        <f>F256/90</f>
        <v>4.4444444444444446</v>
      </c>
      <c r="D256" s="91">
        <f>E256/4</f>
        <v>33.333333333333336</v>
      </c>
      <c r="E256" s="91">
        <f>F256/3</f>
        <v>133.33333333333334</v>
      </c>
      <c r="F256" s="109">
        <v>400</v>
      </c>
      <c r="G256" s="85"/>
    </row>
    <row r="257" spans="1:11" hidden="1" x14ac:dyDescent="0.2">
      <c r="A257" s="42"/>
      <c r="B257" s="112" t="s">
        <v>1179</v>
      </c>
      <c r="C257" s="91">
        <f t="shared" ref="C257:C259" si="33">D257/7</f>
        <v>0</v>
      </c>
      <c r="D257" s="92">
        <v>0</v>
      </c>
      <c r="E257" s="91">
        <f t="shared" ref="E257:E259" si="34">D257*4</f>
        <v>0</v>
      </c>
      <c r="F257" s="93">
        <f t="shared" ref="F257:F259" si="35">E257*3</f>
        <v>0</v>
      </c>
      <c r="G257" s="85"/>
    </row>
    <row r="258" spans="1:11" hidden="1" x14ac:dyDescent="0.2">
      <c r="A258" s="42"/>
      <c r="B258" s="112" t="s">
        <v>1180</v>
      </c>
      <c r="C258" s="91">
        <f t="shared" si="33"/>
        <v>0</v>
      </c>
      <c r="D258" s="92">
        <v>0</v>
      </c>
      <c r="E258" s="91">
        <f t="shared" si="34"/>
        <v>0</v>
      </c>
      <c r="F258" s="93">
        <f t="shared" si="35"/>
        <v>0</v>
      </c>
      <c r="G258" s="85"/>
    </row>
    <row r="259" spans="1:11" hidden="1" x14ac:dyDescent="0.2">
      <c r="A259" s="42"/>
      <c r="B259" s="112" t="s">
        <v>1181</v>
      </c>
      <c r="C259" s="91">
        <f t="shared" si="33"/>
        <v>0</v>
      </c>
      <c r="D259" s="92">
        <v>0</v>
      </c>
      <c r="E259" s="91">
        <f t="shared" si="34"/>
        <v>0</v>
      </c>
      <c r="F259" s="93">
        <f t="shared" si="35"/>
        <v>0</v>
      </c>
      <c r="G259" s="85"/>
    </row>
    <row r="260" spans="1:11" hidden="1" x14ac:dyDescent="0.2">
      <c r="A260" s="42"/>
      <c r="B260" s="112" t="s">
        <v>1182</v>
      </c>
      <c r="C260" s="91">
        <f>F260/90</f>
        <v>3.3333333333333335</v>
      </c>
      <c r="D260" s="91">
        <f>E260/4</f>
        <v>25</v>
      </c>
      <c r="E260" s="91">
        <f>F260/3</f>
        <v>100</v>
      </c>
      <c r="F260" s="109">
        <v>300</v>
      </c>
      <c r="G260" s="85"/>
    </row>
    <row r="261" spans="1:11" hidden="1" x14ac:dyDescent="0.2">
      <c r="A261" s="42"/>
      <c r="B261" s="112"/>
      <c r="C261" s="91"/>
      <c r="D261" s="92"/>
      <c r="E261" s="91"/>
      <c r="F261" s="93"/>
      <c r="G261" s="85"/>
    </row>
    <row r="262" spans="1:11" x14ac:dyDescent="0.2">
      <c r="A262" s="42"/>
      <c r="B262" s="94" t="s">
        <v>1183</v>
      </c>
      <c r="C262" s="92">
        <f>SUM(C254:C261)</f>
        <v>152.22222222222226</v>
      </c>
      <c r="D262" s="92">
        <f>SUM(D254:D261)</f>
        <v>1141.6666666666665</v>
      </c>
      <c r="E262" s="92">
        <f>SUM(E254:E261)</f>
        <v>4566.6666666666661</v>
      </c>
      <c r="F262" s="92">
        <f>SUM(F254:F261)</f>
        <v>13700</v>
      </c>
      <c r="G262" s="106"/>
    </row>
    <row r="263" spans="1:11" x14ac:dyDescent="0.2">
      <c r="A263" s="42"/>
      <c r="B263" s="94" t="s">
        <v>1184</v>
      </c>
      <c r="C263" s="91">
        <f>D263/7</f>
        <v>54.365079365079353</v>
      </c>
      <c r="D263" s="92">
        <f>D262/C245</f>
        <v>380.55555555555549</v>
      </c>
      <c r="E263" s="91">
        <f>D263*4</f>
        <v>1522.2222222222219</v>
      </c>
      <c r="F263" s="93">
        <f>E263*3</f>
        <v>4566.6666666666661</v>
      </c>
      <c r="G263" s="85"/>
    </row>
    <row r="264" spans="1:11" ht="10.8" thickBot="1" x14ac:dyDescent="0.25">
      <c r="A264" s="42"/>
      <c r="B264" s="116"/>
      <c r="C264" s="95"/>
      <c r="D264" s="95"/>
      <c r="E264" s="96"/>
      <c r="F264" s="97"/>
      <c r="G264" s="85"/>
    </row>
    <row r="265" spans="1:11" ht="10.8" thickBot="1" x14ac:dyDescent="0.25">
      <c r="A265" s="42"/>
      <c r="B265" s="104"/>
      <c r="C265" s="91"/>
      <c r="D265" s="92"/>
      <c r="E265" s="91"/>
      <c r="F265" s="84"/>
      <c r="G265" s="85"/>
    </row>
    <row r="266" spans="1:11" ht="10.8" thickBot="1" x14ac:dyDescent="0.25">
      <c r="A266" s="42"/>
      <c r="B266" s="87" t="s">
        <v>1199</v>
      </c>
      <c r="C266" s="86"/>
      <c r="D266" s="86"/>
      <c r="E266" s="86"/>
      <c r="F266" s="86"/>
      <c r="G266" s="90"/>
    </row>
    <row r="267" spans="1:11" x14ac:dyDescent="0.2">
      <c r="A267" s="42"/>
      <c r="B267" s="113" t="s">
        <v>1194</v>
      </c>
      <c r="C267" s="115" t="s">
        <v>1200</v>
      </c>
      <c r="D267" s="209" t="s">
        <v>1189</v>
      </c>
      <c r="E267" s="88"/>
      <c r="F267" s="89"/>
      <c r="K267" s="85"/>
    </row>
    <row r="268" spans="1:11" x14ac:dyDescent="0.2">
      <c r="A268" s="42"/>
      <c r="B268" s="113" t="s">
        <v>1169</v>
      </c>
      <c r="C268" s="115">
        <v>3</v>
      </c>
      <c r="D268" s="88"/>
      <c r="E268" s="88"/>
      <c r="F268" s="89"/>
      <c r="K268" s="85"/>
    </row>
    <row r="269" spans="1:11" hidden="1" x14ac:dyDescent="0.2">
      <c r="A269" s="42"/>
      <c r="B269" s="90" t="s">
        <v>1170</v>
      </c>
      <c r="C269" s="117" t="s">
        <v>1186</v>
      </c>
      <c r="D269" s="91"/>
      <c r="E269" s="92"/>
      <c r="F269" s="93"/>
      <c r="G269" s="85"/>
    </row>
    <row r="270" spans="1:11" hidden="1" x14ac:dyDescent="0.2">
      <c r="A270" s="42"/>
      <c r="B270" s="90" t="s">
        <v>1172</v>
      </c>
      <c r="C270" s="117" t="s">
        <v>1186</v>
      </c>
      <c r="D270" s="91"/>
      <c r="E270" s="92"/>
      <c r="F270" s="93"/>
      <c r="G270" s="85"/>
    </row>
    <row r="271" spans="1:11" hidden="1" x14ac:dyDescent="0.2">
      <c r="A271" s="42"/>
      <c r="B271" s="90" t="s">
        <v>1173</v>
      </c>
      <c r="C271" s="110" t="s">
        <v>1171</v>
      </c>
      <c r="D271" s="91"/>
      <c r="E271" s="92"/>
      <c r="F271" s="93"/>
      <c r="G271" s="85"/>
    </row>
    <row r="272" spans="1:11" hidden="1" x14ac:dyDescent="0.2">
      <c r="A272" s="42"/>
      <c r="B272" s="90" t="s">
        <v>1174</v>
      </c>
      <c r="C272" s="110" t="s">
        <v>1171</v>
      </c>
      <c r="D272" s="91"/>
      <c r="E272" s="92"/>
      <c r="F272" s="93"/>
      <c r="G272" s="85"/>
    </row>
    <row r="273" spans="1:7" hidden="1" x14ac:dyDescent="0.2">
      <c r="A273" s="42"/>
      <c r="B273" s="90" t="s">
        <v>1175</v>
      </c>
      <c r="C273" s="110" t="s">
        <v>1171</v>
      </c>
      <c r="D273" s="91"/>
      <c r="E273" s="92"/>
      <c r="F273" s="93"/>
      <c r="G273" s="85"/>
    </row>
    <row r="274" spans="1:7" hidden="1" x14ac:dyDescent="0.2">
      <c r="A274" s="42"/>
      <c r="B274" s="90" t="s">
        <v>1176</v>
      </c>
      <c r="C274" s="110" t="s">
        <v>1171</v>
      </c>
      <c r="D274" s="91"/>
      <c r="E274" s="92"/>
      <c r="F274" s="93"/>
      <c r="G274" s="85"/>
    </row>
    <row r="275" spans="1:7" hidden="1" x14ac:dyDescent="0.2">
      <c r="A275" s="42"/>
      <c r="B275" s="118"/>
      <c r="C275" s="91"/>
      <c r="D275" s="91"/>
      <c r="E275" s="92"/>
      <c r="F275" s="93"/>
      <c r="G275" s="85"/>
    </row>
    <row r="276" spans="1:7" hidden="1" x14ac:dyDescent="0.2">
      <c r="A276" s="42"/>
      <c r="B276" s="90"/>
      <c r="C276" s="103" t="s">
        <v>1163</v>
      </c>
      <c r="D276" s="103" t="s">
        <v>229</v>
      </c>
      <c r="E276" s="103" t="s">
        <v>118</v>
      </c>
      <c r="F276" s="111" t="s">
        <v>1164</v>
      </c>
      <c r="G276" s="85"/>
    </row>
    <row r="277" spans="1:7" hidden="1" x14ac:dyDescent="0.2">
      <c r="A277" s="42"/>
      <c r="B277" s="94" t="s">
        <v>1177</v>
      </c>
      <c r="C277" s="91">
        <f>F277/90</f>
        <v>77.777777777777771</v>
      </c>
      <c r="D277" s="91">
        <f>E277/4</f>
        <v>583.33333333333337</v>
      </c>
      <c r="E277" s="91">
        <f>F277/3</f>
        <v>2333.3333333333335</v>
      </c>
      <c r="F277" s="105">
        <v>7000</v>
      </c>
      <c r="G277" s="85"/>
    </row>
    <row r="278" spans="1:7" hidden="1" x14ac:dyDescent="0.2">
      <c r="A278" s="42"/>
      <c r="B278" s="94"/>
      <c r="C278" s="91"/>
      <c r="D278" s="92"/>
      <c r="E278" s="91"/>
      <c r="F278" s="93"/>
      <c r="G278" s="85"/>
    </row>
    <row r="279" spans="1:7" hidden="1" x14ac:dyDescent="0.2">
      <c r="A279" s="42"/>
      <c r="B279" s="112" t="s">
        <v>1178</v>
      </c>
      <c r="C279" s="91">
        <f>F279/90</f>
        <v>4.4444444444444446</v>
      </c>
      <c r="D279" s="91">
        <f>E279/4</f>
        <v>33.333333333333336</v>
      </c>
      <c r="E279" s="91">
        <f>F279/3</f>
        <v>133.33333333333334</v>
      </c>
      <c r="F279" s="109">
        <v>400</v>
      </c>
      <c r="G279" s="85"/>
    </row>
    <row r="280" spans="1:7" hidden="1" x14ac:dyDescent="0.2">
      <c r="A280" s="42"/>
      <c r="B280" s="112" t="s">
        <v>1179</v>
      </c>
      <c r="C280" s="91">
        <f t="shared" ref="C280:C283" si="36">F280/90</f>
        <v>0</v>
      </c>
      <c r="D280" s="91">
        <f t="shared" ref="D280:D284" si="37">E280/4</f>
        <v>0</v>
      </c>
      <c r="E280" s="91">
        <f t="shared" ref="E280:E284" si="38">F280/3</f>
        <v>0</v>
      </c>
      <c r="F280" s="105">
        <v>0</v>
      </c>
      <c r="G280" s="85"/>
    </row>
    <row r="281" spans="1:7" hidden="1" x14ac:dyDescent="0.2">
      <c r="A281" s="42"/>
      <c r="B281" s="112" t="s">
        <v>1180</v>
      </c>
      <c r="C281" s="91">
        <f t="shared" si="36"/>
        <v>0</v>
      </c>
      <c r="D281" s="91">
        <f t="shared" si="37"/>
        <v>0</v>
      </c>
      <c r="E281" s="91">
        <f t="shared" si="38"/>
        <v>0</v>
      </c>
      <c r="F281" s="105">
        <v>0</v>
      </c>
      <c r="G281" s="85"/>
    </row>
    <row r="282" spans="1:7" hidden="1" x14ac:dyDescent="0.2">
      <c r="A282" s="42"/>
      <c r="B282" s="112" t="s">
        <v>1181</v>
      </c>
      <c r="C282" s="91">
        <f t="shared" si="36"/>
        <v>31.111111111111111</v>
      </c>
      <c r="D282" s="91">
        <f t="shared" si="37"/>
        <v>233.33333333333334</v>
      </c>
      <c r="E282" s="91">
        <f t="shared" si="38"/>
        <v>933.33333333333337</v>
      </c>
      <c r="F282" s="109">
        <v>2800</v>
      </c>
      <c r="G282" s="85"/>
    </row>
    <row r="283" spans="1:7" hidden="1" x14ac:dyDescent="0.2">
      <c r="A283" s="42"/>
      <c r="B283" s="112" t="s">
        <v>1182</v>
      </c>
      <c r="C283" s="91">
        <f t="shared" si="36"/>
        <v>16.666666666666668</v>
      </c>
      <c r="D283" s="91">
        <f t="shared" si="37"/>
        <v>125</v>
      </c>
      <c r="E283" s="91">
        <f t="shared" si="38"/>
        <v>500</v>
      </c>
      <c r="F283" s="109">
        <v>1500</v>
      </c>
      <c r="G283" s="85"/>
    </row>
    <row r="284" spans="1:7" hidden="1" x14ac:dyDescent="0.2">
      <c r="A284" s="42"/>
      <c r="B284" s="112" t="s">
        <v>1201</v>
      </c>
      <c r="C284" s="91">
        <f t="shared" ref="C284" si="39">F284/90</f>
        <v>11.111111111111111</v>
      </c>
      <c r="D284" s="91">
        <f t="shared" si="37"/>
        <v>83.333333333333329</v>
      </c>
      <c r="E284" s="91">
        <f t="shared" si="38"/>
        <v>333.33333333333331</v>
      </c>
      <c r="F284" s="109">
        <v>1000</v>
      </c>
      <c r="G284" s="85"/>
    </row>
    <row r="285" spans="1:7" hidden="1" x14ac:dyDescent="0.2">
      <c r="A285" s="42"/>
      <c r="B285" s="112"/>
      <c r="C285" s="91"/>
      <c r="D285" s="92"/>
      <c r="E285" s="91"/>
      <c r="F285" s="93"/>
      <c r="G285" s="85"/>
    </row>
    <row r="286" spans="1:7" x14ac:dyDescent="0.2">
      <c r="A286" s="42"/>
      <c r="B286" s="94" t="s">
        <v>1183</v>
      </c>
      <c r="C286" s="92">
        <f>SUM(C277:C285)</f>
        <v>141.11111111111111</v>
      </c>
      <c r="D286" s="92">
        <f>SUM(D277:D285)</f>
        <v>1058.3333333333335</v>
      </c>
      <c r="E286" s="92">
        <f>SUM(E277:E285)</f>
        <v>4233.3333333333339</v>
      </c>
      <c r="F286" s="92">
        <f>SUM(F277:F285)</f>
        <v>12700</v>
      </c>
      <c r="G286" s="106"/>
    </row>
    <row r="287" spans="1:7" x14ac:dyDescent="0.2">
      <c r="A287" s="42"/>
      <c r="B287" s="94" t="s">
        <v>1184</v>
      </c>
      <c r="C287" s="91">
        <f>D287/7</f>
        <v>50.396825396825406</v>
      </c>
      <c r="D287" s="92">
        <f>D286/C268</f>
        <v>352.77777777777783</v>
      </c>
      <c r="E287" s="91">
        <f>D287*4</f>
        <v>1411.1111111111113</v>
      </c>
      <c r="F287" s="93">
        <f>E287*3</f>
        <v>4233.3333333333339</v>
      </c>
      <c r="G287" s="85"/>
    </row>
    <row r="288" spans="1:7" ht="10.8" thickBot="1" x14ac:dyDescent="0.25">
      <c r="A288" s="42"/>
      <c r="B288" s="116"/>
      <c r="C288" s="95"/>
      <c r="D288" s="95"/>
      <c r="E288" s="96"/>
      <c r="F288" s="97"/>
      <c r="G288" s="85"/>
    </row>
    <row r="289" spans="1:11" x14ac:dyDescent="0.2">
      <c r="A289" s="42"/>
      <c r="B289" s="113" t="s">
        <v>1202</v>
      </c>
      <c r="C289" s="115" t="s">
        <v>1200</v>
      </c>
      <c r="D289" s="88"/>
      <c r="E289" s="88"/>
      <c r="F289" s="89"/>
      <c r="K289" s="85"/>
    </row>
    <row r="290" spans="1:11" x14ac:dyDescent="0.2">
      <c r="A290" s="42" t="s">
        <v>498</v>
      </c>
      <c r="B290" s="113" t="s">
        <v>1169</v>
      </c>
      <c r="C290" s="115">
        <v>4</v>
      </c>
      <c r="D290" s="88"/>
      <c r="E290" s="88"/>
      <c r="F290" s="89"/>
      <c r="K290" s="85"/>
    </row>
    <row r="291" spans="1:11" x14ac:dyDescent="0.2">
      <c r="A291" s="42"/>
      <c r="B291" s="90" t="s">
        <v>1170</v>
      </c>
      <c r="C291" s="117" t="s">
        <v>1186</v>
      </c>
      <c r="D291" s="91"/>
      <c r="E291" s="92"/>
      <c r="F291" s="93"/>
      <c r="G291" s="85"/>
    </row>
    <row r="292" spans="1:11" x14ac:dyDescent="0.2">
      <c r="A292" s="42"/>
      <c r="B292" s="90" t="s">
        <v>1172</v>
      </c>
      <c r="C292" s="117" t="s">
        <v>1186</v>
      </c>
      <c r="D292" s="91"/>
      <c r="E292" s="92"/>
      <c r="F292" s="93"/>
      <c r="G292" s="85"/>
    </row>
    <row r="293" spans="1:11" x14ac:dyDescent="0.2">
      <c r="A293" s="42"/>
      <c r="B293" s="90" t="s">
        <v>1173</v>
      </c>
      <c r="C293" s="110" t="s">
        <v>1171</v>
      </c>
      <c r="D293" s="91"/>
      <c r="E293" s="92"/>
      <c r="F293" s="93"/>
      <c r="G293" s="85"/>
    </row>
    <row r="294" spans="1:11" x14ac:dyDescent="0.2">
      <c r="A294" s="42"/>
      <c r="B294" s="90" t="s">
        <v>1174</v>
      </c>
      <c r="C294" s="110" t="s">
        <v>1171</v>
      </c>
      <c r="D294" s="91"/>
      <c r="E294" s="92"/>
      <c r="F294" s="93"/>
      <c r="G294" s="85"/>
    </row>
    <row r="295" spans="1:11" x14ac:dyDescent="0.2">
      <c r="A295" s="42"/>
      <c r="B295" s="90" t="s">
        <v>1175</v>
      </c>
      <c r="C295" s="110" t="s">
        <v>1171</v>
      </c>
      <c r="D295" s="91"/>
      <c r="E295" s="92"/>
      <c r="F295" s="93"/>
      <c r="G295" s="85"/>
    </row>
    <row r="296" spans="1:11" x14ac:dyDescent="0.2">
      <c r="A296" s="42"/>
      <c r="B296" s="90" t="s">
        <v>1176</v>
      </c>
      <c r="C296" s="110" t="s">
        <v>1171</v>
      </c>
      <c r="D296" s="91"/>
      <c r="E296" s="92"/>
      <c r="F296" s="93"/>
      <c r="G296" s="85"/>
    </row>
    <row r="297" spans="1:11" x14ac:dyDescent="0.2">
      <c r="A297" s="42"/>
      <c r="B297" s="118"/>
      <c r="C297" s="91"/>
      <c r="D297" s="91"/>
      <c r="E297" s="92"/>
      <c r="F297" s="93"/>
      <c r="G297" s="85"/>
    </row>
    <row r="298" spans="1:11" x14ac:dyDescent="0.2">
      <c r="A298" s="42"/>
      <c r="B298" s="90"/>
      <c r="C298" s="103" t="s">
        <v>1163</v>
      </c>
      <c r="D298" s="103" t="s">
        <v>229</v>
      </c>
      <c r="E298" s="103" t="s">
        <v>118</v>
      </c>
      <c r="F298" s="111" t="s">
        <v>1164</v>
      </c>
      <c r="G298" s="85"/>
    </row>
    <row r="299" spans="1:11" x14ac:dyDescent="0.2">
      <c r="A299" s="42"/>
      <c r="B299" s="94" t="s">
        <v>1177</v>
      </c>
      <c r="C299" s="91">
        <f>F299/90</f>
        <v>87.222222222222229</v>
      </c>
      <c r="D299" s="91">
        <f>E299/4</f>
        <v>654.16666666666663</v>
      </c>
      <c r="E299" s="91">
        <f>F299/3</f>
        <v>2616.6666666666665</v>
      </c>
      <c r="F299" s="105">
        <v>7850</v>
      </c>
      <c r="G299" s="85"/>
    </row>
    <row r="300" spans="1:11" x14ac:dyDescent="0.2">
      <c r="A300" s="42"/>
      <c r="B300" s="94"/>
      <c r="C300" s="91"/>
      <c r="D300" s="92"/>
      <c r="E300" s="91"/>
      <c r="F300" s="93"/>
      <c r="G300" s="85"/>
    </row>
    <row r="301" spans="1:11" x14ac:dyDescent="0.2">
      <c r="A301" s="42"/>
      <c r="B301" s="112" t="s">
        <v>1178</v>
      </c>
      <c r="C301" s="91">
        <f>F301/90</f>
        <v>4.4444444444444446</v>
      </c>
      <c r="D301" s="91">
        <f>E301/4</f>
        <v>33.333333333333336</v>
      </c>
      <c r="E301" s="91">
        <f>F301/3</f>
        <v>133.33333333333334</v>
      </c>
      <c r="F301" s="109">
        <v>400</v>
      </c>
      <c r="G301" s="85"/>
    </row>
    <row r="302" spans="1:11" x14ac:dyDescent="0.2">
      <c r="A302" s="42"/>
      <c r="B302" s="112" t="s">
        <v>1179</v>
      </c>
      <c r="C302" s="91">
        <f t="shared" ref="C302:C306" si="40">F302/90</f>
        <v>0</v>
      </c>
      <c r="D302" s="91">
        <f t="shared" ref="D302:D306" si="41">E302/4</f>
        <v>0</v>
      </c>
      <c r="E302" s="91">
        <f t="shared" ref="E302:E306" si="42">F302/3</f>
        <v>0</v>
      </c>
      <c r="F302" s="105">
        <v>0</v>
      </c>
      <c r="G302" s="85"/>
    </row>
    <row r="303" spans="1:11" x14ac:dyDescent="0.2">
      <c r="A303" s="42"/>
      <c r="B303" s="112" t="s">
        <v>1180</v>
      </c>
      <c r="C303" s="91">
        <f t="shared" si="40"/>
        <v>0</v>
      </c>
      <c r="D303" s="91">
        <f t="shared" si="41"/>
        <v>0</v>
      </c>
      <c r="E303" s="91">
        <f t="shared" si="42"/>
        <v>0</v>
      </c>
      <c r="F303" s="105">
        <v>0</v>
      </c>
      <c r="G303" s="85"/>
    </row>
    <row r="304" spans="1:11" x14ac:dyDescent="0.2">
      <c r="A304" s="42"/>
      <c r="B304" s="112" t="s">
        <v>1181</v>
      </c>
      <c r="C304" s="91">
        <f t="shared" si="40"/>
        <v>38.888888888888886</v>
      </c>
      <c r="D304" s="91">
        <f t="shared" si="41"/>
        <v>291.66666666666669</v>
      </c>
      <c r="E304" s="91">
        <f t="shared" si="42"/>
        <v>1166.6666666666667</v>
      </c>
      <c r="F304" s="109">
        <v>3500</v>
      </c>
      <c r="G304" s="85"/>
    </row>
    <row r="305" spans="1:7" x14ac:dyDescent="0.2">
      <c r="A305" s="42"/>
      <c r="B305" s="112" t="s">
        <v>1182</v>
      </c>
      <c r="C305" s="91">
        <f t="shared" si="40"/>
        <v>20.555555555555557</v>
      </c>
      <c r="D305" s="91">
        <f t="shared" si="41"/>
        <v>154.16666666666666</v>
      </c>
      <c r="E305" s="91">
        <f t="shared" si="42"/>
        <v>616.66666666666663</v>
      </c>
      <c r="F305" s="109">
        <v>1850</v>
      </c>
      <c r="G305" s="85"/>
    </row>
    <row r="306" spans="1:7" x14ac:dyDescent="0.2">
      <c r="A306" s="42"/>
      <c r="B306" s="112" t="s">
        <v>1201</v>
      </c>
      <c r="C306" s="91">
        <f t="shared" si="40"/>
        <v>17.777777777777779</v>
      </c>
      <c r="D306" s="91">
        <f t="shared" si="41"/>
        <v>133.33333333333334</v>
      </c>
      <c r="E306" s="91">
        <f t="shared" si="42"/>
        <v>533.33333333333337</v>
      </c>
      <c r="F306" s="109">
        <v>1600</v>
      </c>
      <c r="G306" s="85"/>
    </row>
    <row r="307" spans="1:7" x14ac:dyDescent="0.2">
      <c r="A307" s="42"/>
      <c r="B307" s="112"/>
      <c r="C307" s="91"/>
      <c r="D307" s="92"/>
      <c r="E307" s="91"/>
      <c r="F307" s="93"/>
      <c r="G307" s="85"/>
    </row>
    <row r="308" spans="1:7" x14ac:dyDescent="0.2">
      <c r="A308" s="42"/>
      <c r="B308" s="94" t="s">
        <v>1183</v>
      </c>
      <c r="C308" s="92">
        <f>SUM(C299:C307)</f>
        <v>168.88888888888886</v>
      </c>
      <c r="D308" s="92">
        <f>SUM(D299:D307)</f>
        <v>1266.6666666666667</v>
      </c>
      <c r="E308" s="318">
        <f>SUM(E299:E307)</f>
        <v>5066.666666666667</v>
      </c>
      <c r="F308" s="92">
        <f>SUM(F299:F307)</f>
        <v>15200</v>
      </c>
      <c r="G308" s="106"/>
    </row>
    <row r="309" spans="1:7" x14ac:dyDescent="0.2">
      <c r="A309" s="42"/>
      <c r="B309" s="94" t="s">
        <v>1184</v>
      </c>
      <c r="C309" s="91">
        <f>D309/7</f>
        <v>45.238095238095241</v>
      </c>
      <c r="D309" s="92">
        <f>D308/C290</f>
        <v>316.66666666666669</v>
      </c>
      <c r="E309" s="91">
        <f>D309*4</f>
        <v>1266.6666666666667</v>
      </c>
      <c r="F309" s="93">
        <f>E309*3</f>
        <v>3800</v>
      </c>
      <c r="G309" s="85"/>
    </row>
    <row r="310" spans="1:7" ht="10.8" thickBot="1" x14ac:dyDescent="0.25">
      <c r="A310" s="42"/>
      <c r="B310" s="116"/>
      <c r="C310" s="95"/>
      <c r="D310" s="95"/>
      <c r="E310" s="96"/>
      <c r="F310" s="97"/>
      <c r="G310" s="85"/>
    </row>
    <row r="311" spans="1:7" x14ac:dyDescent="0.2">
      <c r="A311" s="42"/>
    </row>
    <row r="312" spans="1:7" ht="10.8" thickBot="1" x14ac:dyDescent="0.25">
      <c r="A312" s="42"/>
    </row>
    <row r="313" spans="1:7" ht="10.8" thickBot="1" x14ac:dyDescent="0.25">
      <c r="A313" s="42"/>
      <c r="B313" s="569" t="s">
        <v>1203</v>
      </c>
      <c r="C313" s="570"/>
      <c r="D313" s="570"/>
      <c r="E313" s="570"/>
      <c r="F313" s="571"/>
      <c r="G313" s="85"/>
    </row>
    <row r="314" spans="1:7" x14ac:dyDescent="0.2">
      <c r="A314" s="42"/>
      <c r="B314" s="246"/>
      <c r="C314" s="159"/>
      <c r="D314" s="159"/>
      <c r="E314" s="159"/>
      <c r="F314" s="105"/>
      <c r="G314" s="85"/>
    </row>
    <row r="315" spans="1:7" x14ac:dyDescent="0.2">
      <c r="A315" s="42"/>
      <c r="B315" s="566" t="s">
        <v>1204</v>
      </c>
      <c r="C315" s="567"/>
      <c r="D315" s="567"/>
      <c r="E315" s="567"/>
      <c r="F315" s="105">
        <f>E26</f>
        <v>3160</v>
      </c>
      <c r="G315" s="85"/>
    </row>
    <row r="316" spans="1:7" x14ac:dyDescent="0.2">
      <c r="A316" s="42"/>
      <c r="B316" s="246"/>
      <c r="C316" s="159"/>
      <c r="D316" s="159"/>
      <c r="E316" s="159"/>
      <c r="F316" s="105"/>
      <c r="G316" s="85"/>
    </row>
    <row r="317" spans="1:7" x14ac:dyDescent="0.2">
      <c r="A317" s="42"/>
      <c r="B317" s="566" t="s">
        <v>1205</v>
      </c>
      <c r="C317" s="567"/>
      <c r="D317" s="567"/>
      <c r="E317" s="567"/>
      <c r="F317" s="105">
        <f>AVERAGE(E92)</f>
        <v>3560</v>
      </c>
      <c r="G317" s="85"/>
    </row>
    <row r="318" spans="1:7" x14ac:dyDescent="0.2">
      <c r="A318" s="42"/>
      <c r="B318" s="246"/>
      <c r="C318" s="159"/>
      <c r="D318" s="159"/>
      <c r="E318" s="149"/>
      <c r="F318" s="105"/>
      <c r="G318" s="85"/>
    </row>
    <row r="319" spans="1:7" x14ac:dyDescent="0.2">
      <c r="A319" s="42"/>
      <c r="B319" s="566" t="s">
        <v>1206</v>
      </c>
      <c r="C319" s="567"/>
      <c r="D319" s="567"/>
      <c r="E319" s="567"/>
      <c r="F319" s="206">
        <f>AVERAGE(E48,E70)</f>
        <v>1320</v>
      </c>
      <c r="G319" s="85"/>
    </row>
    <row r="320" spans="1:7" x14ac:dyDescent="0.2">
      <c r="A320" s="42"/>
      <c r="B320" s="246"/>
      <c r="C320" s="159"/>
      <c r="D320" s="159"/>
      <c r="E320" s="159"/>
      <c r="F320" s="105"/>
      <c r="G320" s="85"/>
    </row>
    <row r="321" spans="1:7" ht="6" customHeight="1" x14ac:dyDescent="0.2">
      <c r="A321" s="42"/>
      <c r="B321" s="107"/>
      <c r="C321" s="130"/>
      <c r="D321" s="130"/>
      <c r="E321" s="130"/>
      <c r="F321" s="108"/>
      <c r="G321" s="85"/>
    </row>
    <row r="322" spans="1:7" x14ac:dyDescent="0.2">
      <c r="A322" s="42"/>
      <c r="B322" s="566" t="s">
        <v>1207</v>
      </c>
      <c r="C322" s="567"/>
      <c r="D322" s="567"/>
      <c r="E322" s="567"/>
      <c r="F322" s="105">
        <f>E114</f>
        <v>3200</v>
      </c>
      <c r="G322" s="85"/>
    </row>
    <row r="323" spans="1:7" x14ac:dyDescent="0.2">
      <c r="A323" s="42"/>
      <c r="B323" s="246"/>
      <c r="C323" s="159"/>
      <c r="D323" s="159"/>
      <c r="E323" s="159"/>
      <c r="F323" s="105"/>
      <c r="G323" s="85"/>
    </row>
    <row r="324" spans="1:7" x14ac:dyDescent="0.2">
      <c r="A324" s="42"/>
      <c r="B324" s="566" t="s">
        <v>1208</v>
      </c>
      <c r="C324" s="567"/>
      <c r="D324" s="567"/>
      <c r="E324" s="567"/>
      <c r="F324" s="105">
        <f>AVERAGE(E177,E219)</f>
        <v>2833.333333333333</v>
      </c>
      <c r="G324" s="85"/>
    </row>
    <row r="325" spans="1:7" x14ac:dyDescent="0.2">
      <c r="A325" s="42"/>
      <c r="B325" s="246"/>
      <c r="C325" s="159"/>
      <c r="D325" s="159"/>
      <c r="E325" s="159"/>
      <c r="F325" s="105"/>
      <c r="G325" s="85"/>
    </row>
    <row r="326" spans="1:7" x14ac:dyDescent="0.2">
      <c r="A326" s="42"/>
      <c r="B326" s="566" t="s">
        <v>1209</v>
      </c>
      <c r="C326" s="567"/>
      <c r="D326" s="567"/>
      <c r="E326" s="567"/>
      <c r="F326" s="206">
        <f>AVERAGE(E240,E198,E156,E135)</f>
        <v>1778.3333333333335</v>
      </c>
      <c r="G326" s="85"/>
    </row>
    <row r="327" spans="1:7" x14ac:dyDescent="0.2">
      <c r="A327" s="42"/>
      <c r="B327" s="246"/>
      <c r="C327" s="159"/>
      <c r="D327" s="159"/>
      <c r="E327" s="159"/>
      <c r="F327" s="105"/>
      <c r="G327" s="85"/>
    </row>
    <row r="328" spans="1:7" ht="6" customHeight="1" x14ac:dyDescent="0.2">
      <c r="A328" s="42"/>
      <c r="B328" s="107"/>
      <c r="C328" s="130"/>
      <c r="D328" s="130"/>
      <c r="E328" s="130"/>
      <c r="F328" s="108"/>
      <c r="G328" s="85"/>
    </row>
    <row r="329" spans="1:7" x14ac:dyDescent="0.2">
      <c r="A329" s="42"/>
      <c r="B329" s="566" t="s">
        <v>1210</v>
      </c>
      <c r="C329" s="567"/>
      <c r="D329" s="567"/>
      <c r="E329" s="567"/>
      <c r="F329" s="105">
        <f>E263</f>
        <v>1522.2222222222219</v>
      </c>
      <c r="G329" s="85"/>
    </row>
    <row r="330" spans="1:7" x14ac:dyDescent="0.2">
      <c r="A330" s="42"/>
      <c r="B330" s="566"/>
      <c r="C330" s="567"/>
      <c r="D330" s="567"/>
      <c r="E330" s="567"/>
      <c r="F330" s="105"/>
      <c r="G330" s="85"/>
    </row>
    <row r="331" spans="1:7" ht="6" customHeight="1" x14ac:dyDescent="0.2">
      <c r="A331" s="42"/>
      <c r="B331" s="107"/>
      <c r="C331" s="130"/>
      <c r="D331" s="130"/>
      <c r="E331" s="130"/>
      <c r="F331" s="108"/>
      <c r="G331" s="85"/>
    </row>
    <row r="332" spans="1:7" x14ac:dyDescent="0.2">
      <c r="A332" s="42"/>
      <c r="B332" s="566" t="s">
        <v>1211</v>
      </c>
      <c r="C332" s="567"/>
      <c r="D332" s="567"/>
      <c r="E332" s="567"/>
      <c r="F332" s="105">
        <f>AVERAGE(E309,E287)</f>
        <v>1338.8888888888891</v>
      </c>
      <c r="G332" s="85"/>
    </row>
    <row r="333" spans="1:7" ht="10.8" thickBot="1" x14ac:dyDescent="0.25">
      <c r="A333" s="42"/>
      <c r="B333" s="153"/>
      <c r="C333" s="156"/>
      <c r="D333" s="159"/>
      <c r="E333" s="156"/>
      <c r="F333" s="155"/>
      <c r="G333" s="85"/>
    </row>
    <row r="334" spans="1:7" x14ac:dyDescent="0.2">
      <c r="A334" s="42"/>
      <c r="D334" s="53"/>
      <c r="F334" s="51"/>
    </row>
    <row r="335" spans="1:7" ht="10.8" thickBot="1" x14ac:dyDescent="0.25">
      <c r="A335" s="42"/>
      <c r="E335" s="51"/>
      <c r="F335" s="38"/>
      <c r="G335" s="47"/>
    </row>
    <row r="336" spans="1:7" x14ac:dyDescent="0.2">
      <c r="A336" s="42"/>
      <c r="B336" s="150" t="s">
        <v>1149</v>
      </c>
      <c r="C336" s="151"/>
      <c r="D336" s="160"/>
      <c r="E336" s="161"/>
      <c r="F336" s="162"/>
    </row>
    <row r="337" spans="1:7" ht="20.399999999999999" x14ac:dyDescent="0.2">
      <c r="A337" s="42"/>
      <c r="B337" s="157" t="str">
        <f>'LabourProject Rates_Master'!B7</f>
        <v>Work ROSTER Example #3 - 6-Day Week, 10Hr Days, Stay @ Rocky for W/E, Return Every 2nd W/E. (FLY)</v>
      </c>
      <c r="C337" s="152"/>
      <c r="D337" s="42"/>
      <c r="E337" s="44"/>
      <c r="F337" s="163"/>
    </row>
    <row r="338" spans="1:7" x14ac:dyDescent="0.2">
      <c r="A338" s="42"/>
      <c r="B338" s="246" t="str">
        <f>'LabourProject Rates_Master'!B8</f>
        <v>Working Days/Month</v>
      </c>
      <c r="C338" s="158">
        <f>'LabourProject Rates_Master'!C8</f>
        <v>21</v>
      </c>
      <c r="D338" s="575" t="s">
        <v>1212</v>
      </c>
      <c r="E338" s="576"/>
      <c r="F338" s="577"/>
    </row>
    <row r="339" spans="1:7" x14ac:dyDescent="0.2">
      <c r="A339" s="42"/>
      <c r="B339" s="246" t="str">
        <f>'LabourProject Rates_Master'!B9</f>
        <v>No-Work Days/Month</v>
      </c>
      <c r="C339" s="158">
        <f>'LabourProject Rates_Master'!C9</f>
        <v>7</v>
      </c>
      <c r="D339" s="42"/>
      <c r="E339" s="44"/>
      <c r="F339" s="163"/>
    </row>
    <row r="340" spans="1:7" ht="10.8" thickBot="1" x14ac:dyDescent="0.25">
      <c r="A340" s="42"/>
      <c r="B340" s="153" t="str">
        <f>'LabourProject Rates_Master'!B10</f>
        <v>Avrg Hours / Month</v>
      </c>
      <c r="C340" s="158">
        <f>'LabourProject Rates_Master'!C10</f>
        <v>210</v>
      </c>
      <c r="D340" s="164"/>
      <c r="E340" s="165"/>
      <c r="F340" s="166"/>
    </row>
    <row r="341" spans="1:7" ht="10.8" thickBot="1" x14ac:dyDescent="0.25">
      <c r="A341" s="42"/>
      <c r="B341" s="569" t="s">
        <v>1213</v>
      </c>
      <c r="C341" s="570"/>
      <c r="D341" s="570"/>
      <c r="E341" s="570"/>
      <c r="F341" s="571"/>
      <c r="G341" s="85"/>
    </row>
    <row r="342" spans="1:7" x14ac:dyDescent="0.2">
      <c r="A342" s="42"/>
      <c r="B342" s="246"/>
      <c r="C342" s="159"/>
      <c r="D342" s="159"/>
      <c r="E342" s="159"/>
      <c r="F342" s="105"/>
      <c r="G342" s="85"/>
    </row>
    <row r="343" spans="1:7" x14ac:dyDescent="0.2">
      <c r="A343" s="42"/>
      <c r="B343" s="566" t="s">
        <v>1214</v>
      </c>
      <c r="C343" s="567"/>
      <c r="D343" s="567"/>
      <c r="E343" s="567"/>
      <c r="F343" s="105">
        <f>C26</f>
        <v>112.85714285714286</v>
      </c>
      <c r="G343" s="85" t="s">
        <v>1215</v>
      </c>
    </row>
    <row r="344" spans="1:7" x14ac:dyDescent="0.2">
      <c r="A344" s="42"/>
      <c r="B344" s="246"/>
      <c r="C344" s="159"/>
      <c r="D344" s="159"/>
      <c r="E344" s="159"/>
      <c r="F344" s="105"/>
      <c r="G344" s="85"/>
    </row>
    <row r="345" spans="1:7" x14ac:dyDescent="0.2">
      <c r="A345" s="42"/>
      <c r="B345" s="566" t="s">
        <v>1216</v>
      </c>
      <c r="C345" s="567"/>
      <c r="D345" s="567"/>
      <c r="E345" s="567"/>
      <c r="F345" s="105">
        <f>C92</f>
        <v>127.14285714285714</v>
      </c>
      <c r="G345" s="85" t="s">
        <v>1215</v>
      </c>
    </row>
    <row r="346" spans="1:7" x14ac:dyDescent="0.2">
      <c r="A346" s="42"/>
      <c r="B346" s="246"/>
      <c r="C346" s="159"/>
      <c r="D346" s="159"/>
      <c r="E346" s="149"/>
      <c r="F346" s="105"/>
      <c r="G346" s="85"/>
    </row>
    <row r="347" spans="1:7" x14ac:dyDescent="0.2">
      <c r="A347" s="42"/>
      <c r="B347" s="578" t="s">
        <v>1217</v>
      </c>
      <c r="C347" s="579"/>
      <c r="D347" s="579"/>
      <c r="E347" s="579"/>
      <c r="F347" s="206">
        <f>F319/$C$338</f>
        <v>62.857142857142854</v>
      </c>
      <c r="G347" s="85"/>
    </row>
    <row r="348" spans="1:7" x14ac:dyDescent="0.2">
      <c r="A348" s="42"/>
      <c r="B348" s="246"/>
      <c r="C348" s="159"/>
      <c r="D348" s="159"/>
      <c r="E348" s="159"/>
      <c r="F348" s="105"/>
      <c r="G348" s="85"/>
    </row>
    <row r="349" spans="1:7" ht="6" customHeight="1" x14ac:dyDescent="0.2">
      <c r="A349" s="42"/>
      <c r="B349" s="107"/>
      <c r="C349" s="130"/>
      <c r="D349" s="130"/>
      <c r="E349" s="130"/>
      <c r="F349" s="108"/>
      <c r="G349" s="85"/>
    </row>
    <row r="350" spans="1:7" x14ac:dyDescent="0.2">
      <c r="A350" s="42"/>
      <c r="B350" s="566" t="s">
        <v>1218</v>
      </c>
      <c r="C350" s="567"/>
      <c r="D350" s="567"/>
      <c r="E350" s="567"/>
      <c r="F350" s="105">
        <f>C114</f>
        <v>114.28571428571429</v>
      </c>
      <c r="G350" s="85" t="s">
        <v>1215</v>
      </c>
    </row>
    <row r="351" spans="1:7" x14ac:dyDescent="0.2">
      <c r="A351" s="42"/>
      <c r="B351" s="246"/>
      <c r="C351" s="159"/>
      <c r="D351" s="159"/>
      <c r="E351" s="159"/>
      <c r="F351" s="105"/>
      <c r="G351" s="85"/>
    </row>
    <row r="352" spans="1:7" x14ac:dyDescent="0.2">
      <c r="A352" s="42"/>
      <c r="B352" s="566" t="s">
        <v>1219</v>
      </c>
      <c r="C352" s="567"/>
      <c r="D352" s="567"/>
      <c r="E352" s="567"/>
      <c r="F352" s="105">
        <f>F324/$C$338</f>
        <v>134.92063492063491</v>
      </c>
      <c r="G352" s="85" t="s">
        <v>1220</v>
      </c>
    </row>
    <row r="353" spans="1:7" x14ac:dyDescent="0.2">
      <c r="A353" s="42"/>
      <c r="B353" s="246"/>
      <c r="C353" s="159"/>
      <c r="D353" s="159"/>
      <c r="E353" s="159"/>
      <c r="F353" s="105"/>
      <c r="G353" s="85"/>
    </row>
    <row r="354" spans="1:7" x14ac:dyDescent="0.2">
      <c r="A354" s="42"/>
      <c r="B354" s="578" t="s">
        <v>1221</v>
      </c>
      <c r="C354" s="579"/>
      <c r="D354" s="579"/>
      <c r="E354" s="579"/>
      <c r="F354" s="206">
        <f>F326/$C$338</f>
        <v>84.682539682539684</v>
      </c>
      <c r="G354" s="85"/>
    </row>
    <row r="355" spans="1:7" x14ac:dyDescent="0.2">
      <c r="A355" s="42"/>
      <c r="B355" s="246"/>
      <c r="C355" s="159"/>
      <c r="D355" s="159"/>
      <c r="E355" s="159"/>
      <c r="F355" s="105"/>
      <c r="G355" s="85"/>
    </row>
    <row r="356" spans="1:7" ht="6" customHeight="1" x14ac:dyDescent="0.2">
      <c r="A356" s="42"/>
      <c r="B356" s="107"/>
      <c r="C356" s="130"/>
      <c r="D356" s="130"/>
      <c r="E356" s="130"/>
      <c r="F356" s="108"/>
      <c r="G356" s="85"/>
    </row>
    <row r="357" spans="1:7" x14ac:dyDescent="0.2">
      <c r="A357" s="42"/>
      <c r="B357" s="566" t="s">
        <v>1222</v>
      </c>
      <c r="C357" s="567"/>
      <c r="D357" s="567"/>
      <c r="E357" s="567"/>
      <c r="F357" s="105">
        <f>F329/$C$338</f>
        <v>72.48677248677248</v>
      </c>
      <c r="G357" s="85" t="s">
        <v>1220</v>
      </c>
    </row>
    <row r="358" spans="1:7" x14ac:dyDescent="0.2">
      <c r="A358" s="42"/>
      <c r="B358" s="566"/>
      <c r="C358" s="567"/>
      <c r="D358" s="567"/>
      <c r="E358" s="567"/>
      <c r="F358" s="105"/>
      <c r="G358" s="85"/>
    </row>
    <row r="359" spans="1:7" ht="6" customHeight="1" x14ac:dyDescent="0.2">
      <c r="A359" s="42"/>
      <c r="B359" s="107"/>
      <c r="C359" s="130"/>
      <c r="D359" s="130"/>
      <c r="E359" s="130"/>
      <c r="F359" s="108"/>
      <c r="G359" s="85"/>
    </row>
    <row r="360" spans="1:7" x14ac:dyDescent="0.2">
      <c r="A360" s="42"/>
      <c r="B360" s="566" t="s">
        <v>1223</v>
      </c>
      <c r="C360" s="567"/>
      <c r="D360" s="567"/>
      <c r="E360" s="567"/>
      <c r="F360" s="105">
        <f>F332/$C$338</f>
        <v>63.756613756613767</v>
      </c>
      <c r="G360" s="85" t="s">
        <v>1220</v>
      </c>
    </row>
    <row r="361" spans="1:7" ht="10.8" thickBot="1" x14ac:dyDescent="0.25">
      <c r="A361" s="42"/>
      <c r="B361" s="153"/>
      <c r="C361" s="156"/>
      <c r="D361" s="156"/>
      <c r="E361" s="156"/>
      <c r="F361" s="155"/>
      <c r="G361" s="85"/>
    </row>
    <row r="362" spans="1:7" ht="10.8" thickBot="1" x14ac:dyDescent="0.25">
      <c r="A362" s="42"/>
      <c r="F362" s="54"/>
    </row>
    <row r="363" spans="1:7" ht="10.8" thickBot="1" x14ac:dyDescent="0.25">
      <c r="A363" s="42"/>
      <c r="B363" s="572" t="s">
        <v>1224</v>
      </c>
      <c r="C363" s="573"/>
      <c r="D363" s="573"/>
      <c r="E363" s="573"/>
      <c r="F363" s="574"/>
      <c r="G363" s="85"/>
    </row>
    <row r="364" spans="1:7" x14ac:dyDescent="0.2">
      <c r="A364" s="42"/>
      <c r="B364" s="566" t="s">
        <v>1225</v>
      </c>
      <c r="C364" s="567"/>
      <c r="D364" s="567"/>
      <c r="E364" s="567"/>
      <c r="F364" s="109">
        <f>AVERAGE(F343,F350)</f>
        <v>113.57142857142858</v>
      </c>
      <c r="G364" s="85"/>
    </row>
    <row r="365" spans="1:7" x14ac:dyDescent="0.2">
      <c r="A365" s="42"/>
      <c r="B365" s="566" t="s">
        <v>1226</v>
      </c>
      <c r="C365" s="567"/>
      <c r="D365" s="567"/>
      <c r="E365" s="567"/>
      <c r="F365" s="109">
        <f>AVERAGE(F357,F360)</f>
        <v>68.121693121693127</v>
      </c>
      <c r="G365" s="85"/>
    </row>
    <row r="366" spans="1:7" ht="6" customHeight="1" x14ac:dyDescent="0.2">
      <c r="A366" s="42"/>
      <c r="B366" s="107"/>
      <c r="C366" s="130"/>
      <c r="D366" s="130"/>
      <c r="E366" s="130"/>
      <c r="F366" s="108"/>
      <c r="G366" s="85"/>
    </row>
    <row r="367" spans="1:7" x14ac:dyDescent="0.2">
      <c r="F367" s="47"/>
    </row>
    <row r="368" spans="1:7" x14ac:dyDescent="0.2">
      <c r="B368" s="56"/>
      <c r="C368" s="38"/>
      <c r="F368" s="38"/>
    </row>
  </sheetData>
  <mergeCells count="26">
    <mergeCell ref="B363:F363"/>
    <mergeCell ref="B364:E364"/>
    <mergeCell ref="B365:E365"/>
    <mergeCell ref="D338:F338"/>
    <mergeCell ref="B354:E354"/>
    <mergeCell ref="B357:E357"/>
    <mergeCell ref="B358:E358"/>
    <mergeCell ref="B360:E360"/>
    <mergeCell ref="B341:F341"/>
    <mergeCell ref="B343:E343"/>
    <mergeCell ref="B345:E345"/>
    <mergeCell ref="B347:E347"/>
    <mergeCell ref="B350:E350"/>
    <mergeCell ref="B352:E352"/>
    <mergeCell ref="B332:E332"/>
    <mergeCell ref="B322:E322"/>
    <mergeCell ref="B5:F5"/>
    <mergeCell ref="B3:F3"/>
    <mergeCell ref="B313:F313"/>
    <mergeCell ref="B315:E315"/>
    <mergeCell ref="B317:E317"/>
    <mergeCell ref="B319:E319"/>
    <mergeCell ref="B326:E326"/>
    <mergeCell ref="B324:E324"/>
    <mergeCell ref="B329:E329"/>
    <mergeCell ref="B330:E330"/>
  </mergeCells>
  <phoneticPr fontId="9" type="noConversion"/>
  <printOptions gridLines="1"/>
  <pageMargins left="0.46" right="0.42" top="0.37" bottom="0.4" header="0.39" footer="0.38"/>
  <pageSetup paperSize="8" scale="80" orientation="portrait"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9257C8-D1AA-49BB-800A-AE687A362806}">
  <ds:schemaRefs>
    <ds:schemaRef ds:uri="http://schemas.microsoft.com/office/2006/metadata/properties"/>
    <ds:schemaRef ds:uri="http://schemas.microsoft.com/office/infopath/2007/PartnerControls"/>
    <ds:schemaRef ds:uri="bc8d7e70-4053-43da-ae2e-3bb26002d663"/>
    <ds:schemaRef ds:uri="adfb0090-8606-4b89-a68a-b73ca1d6b587"/>
  </ds:schemaRefs>
</ds:datastoreItem>
</file>

<file path=customXml/itemProps2.xml><?xml version="1.0" encoding="utf-8"?>
<ds:datastoreItem xmlns:ds="http://schemas.openxmlformats.org/officeDocument/2006/customXml" ds:itemID="{DAA4F82E-DBBC-4ACD-A994-B860D1CDFBA3}">
  <ds:schemaRefs>
    <ds:schemaRef ds:uri="http://schemas.microsoft.com/sharepoint/v3/contenttype/forms"/>
  </ds:schemaRefs>
</ds:datastoreItem>
</file>

<file path=customXml/itemProps3.xml><?xml version="1.0" encoding="utf-8"?>
<ds:datastoreItem xmlns:ds="http://schemas.openxmlformats.org/officeDocument/2006/customXml" ds:itemID="{A4576245-A0FD-4C24-83AC-CD2A24346A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8d7e70-4053-43da-ae2e-3bb26002d663"/>
    <ds:schemaRef ds:uri="adfb0090-8606-4b89-a68a-b73ca1d6b5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TCS $ Sched</vt:lpstr>
      <vt:lpstr>00_ TCS Prelim &amp; OH</vt:lpstr>
      <vt:lpstr>MISC &amp; SITEWIDE</vt:lpstr>
      <vt:lpstr>ROK092</vt:lpstr>
      <vt:lpstr>ROK21A</vt:lpstr>
      <vt:lpstr>ROK019</vt:lpstr>
      <vt:lpstr>ROK033</vt:lpstr>
      <vt:lpstr>ROK034</vt:lpstr>
      <vt:lpstr>ROK036</vt:lpstr>
      <vt:lpstr>ROK076</vt:lpstr>
      <vt:lpstr>LabourProject Rates_Master</vt:lpstr>
      <vt:lpstr>Material Rates_Master</vt:lpstr>
      <vt:lpstr>Equip&amp;HIRE_Master</vt:lpstr>
      <vt:lpstr>Misc Subbie Rates_Master</vt:lpstr>
      <vt:lpstr>Accomodation_Master</vt:lpstr>
      <vt:lpstr>'Material Rates_Master'!Print_Area</vt:lpstr>
      <vt:lpstr>'TCS $ Sched'!Print_Area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 Hannan</dc:creator>
  <cp:keywords/>
  <dc:description/>
  <cp:lastModifiedBy>Mitch - TPS</cp:lastModifiedBy>
  <cp:revision/>
  <dcterms:created xsi:type="dcterms:W3CDTF">2019-11-28T02:17:14Z</dcterms:created>
  <dcterms:modified xsi:type="dcterms:W3CDTF">2026-06-12T21:01:53Z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y fmtid="{D5CDD505-2E9C-101B-9397-08002B2CF9AE}" pid="3" name="Order">
    <vt:r8>5182200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MediaServiceImageTags">
    <vt:lpwstr/>
  </property>
  <property fmtid="{D5CDD505-2E9C-101B-9397-08002B2CF9AE}" pid="10" name="TriggerFlowInfo">
    <vt:lpwstr/>
  </property>
</Properties>
</file>